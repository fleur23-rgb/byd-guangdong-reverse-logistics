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e4cf7745e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0570173e014d9c"/>
    <x:sheet xmlns:r="http://schemas.openxmlformats.org/officeDocument/2006/relationships" name="已核验数据" sheetId="2" r:id="R60f0de61ac2747ab"/>
    <x:sheet xmlns:r="http://schemas.openxmlformats.org/officeDocument/2006/relationships" name="广东21市模板" sheetId="3" r:id="R4d0dd663e9cf409e"/>
    <x:sheet xmlns:r="http://schemas.openxmlformats.org/officeDocument/2006/relationships" name="模型参数字典" sheetId="4" r:id="Rdffb2808a92c4920"/>
    <x:sheet xmlns:r="http://schemas.openxmlformats.org/officeDocument/2006/relationships" name="RELOG映射" sheetId="5" r:id="R97408426a0fe4c50"/>
    <x:sheet xmlns:r="http://schemas.openxmlformats.org/officeDocument/2006/relationships" name="情景参数模板" sheetId="6" r:id="R4062036fe7544d53"/>
    <x:sheet xmlns:r="http://schemas.openxmlformats.org/officeDocument/2006/relationships" name="BYD退役量估算" sheetId="7" r:id="R1a07e35db98446ff"/>
    <x:sheet xmlns:r="http://schemas.openxmlformats.org/officeDocument/2006/relationships" name="来源目录" sheetId="8" r:id="R85aef18bef8243e8"/>
    <x:sheet xmlns:r="http://schemas.openxmlformats.org/officeDocument/2006/relationships" name="审查落实" sheetId="9" r:id="R876a1cffb9f3488a"/>
    <x:sheet xmlns:r="http://schemas.openxmlformats.org/officeDocument/2006/relationships" name="候选设施" sheetId="10" r:id="Rc677445640dc4e8c"/>
    <x:sheet xmlns:r="http://schemas.openxmlformats.org/officeDocument/2006/relationships" name="facilities_input" sheetId="11" r:id="R7faa7697f9be48d4"/>
    <x:sheet xmlns:r="http://schemas.openxmlformats.org/officeDocument/2006/relationships" name="scenario_input" sheetId="12" r:id="R85d0cd709a9e4b9b"/>
    <x:sheet xmlns:r="http://schemas.openxmlformats.org/officeDocument/2006/relationships" name="network_arcs_input" sheetId="13" r:id="R59b9c502275143ac"/>
    <x:sheet xmlns:r="http://schemas.openxmlformats.org/officeDocument/2006/relationships" name="距离矩阵_代理" sheetId="14" r:id="R36ff9b491e704821"/>
    <x:sheet xmlns:r="http://schemas.openxmlformats.org/officeDocument/2006/relationships" name="regions_input" sheetId="15" r:id="Ra5d7874b291f4ce9"/>
    <x:sheet xmlns:r="http://schemas.openxmlformats.org/officeDocument/2006/relationships" name="旧对话纠错" sheetId="16" r:id="R868143c8eb4b4a7c"/>
    <x:sheet xmlns:r="http://schemas.openxmlformats.org/officeDocument/2006/relationships" name="缺口复核_2026" sheetId="17" r:id="R18f37c0838964a9e"/>
    <x:sheet xmlns:r="http://schemas.openxmlformats.org/officeDocument/2006/relationships" name="BYD官方回收点" sheetId="18" r:id="R5062547586df409b"/>
    <x:sheet xmlns:r="http://schemas.openxmlformats.org/officeDocument/2006/relationships" name="道路距离_OSRM" sheetId="19" r:id="R6f551c3c9f904e3c"/>
    <x:sheet xmlns:r="http://schemas.openxmlformats.org/officeDocument/2006/relationships" name="距离升级摘要" sheetId="20" r:id="R04495351667647ec"/>
    <x:sheet xmlns:r="http://schemas.openxmlformats.org/officeDocument/2006/relationships" name="政策时点与候选集" sheetId="21" r:id="R449cea9a981547da"/>
    <x:sheet xmlns:r="http://schemas.openxmlformats.org/officeDocument/2006/relationships" name="最低处理量依据" sheetId="22" r:id="Rc9b3bc137886434b"/>
    <x:sheet xmlns:r="http://schemas.openxmlformats.org/officeDocument/2006/relationships" name="P01运行证据" sheetId="23" r:id="R7eb0a9c7dfd6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00000"/>
    <x:numFmt numFmtId="202" formatCode="0.00%"/>
    <x:numFmt numFmtId="203" formatCode="0.0%"/>
    <x:numFmt numFmtId="204" formatCode="0"/>
    <x:numFmt numFmtId="205" formatCode="0.000"/>
    <x:numFmt numFmtId="206" formatCode="0.0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1"/>
      <x:color rgb="FF7F6000"/>
      <x:name val="Carlito"/>
    </x:font>
    <x:font>
      <x:i/>
      <x:sz val="11"/>
      <x:color rgb="FF595959"/>
      <x:name val="Carlito"/>
    </x:font>
    <x:font>
      <x:sz val="9"/>
      <x:color rgb="FF17365D"/>
      <x:name val="Carlito"/>
    </x:font>
    <x:font>
      <x:b/>
      <x:sz val="11"/>
      <x:color rgb="FF9C000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DF3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5F7FA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7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  <x:xf numFmtId="206" fontId="2" fillId="3" borderId="0" xfId="0" applyNumberFormat="1" applyFont="1" applyFill="1" applyBorder="1"/>
    <x:xf numFmtId="203" fontId="4" fillId="0" borderId="0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200" fontId="4" fillId="0" xfId="0" applyNumberFormat="1" applyFont="1" applyFill="1" applyBorder="0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 wrapText="1"/>
    </x:xf>
    <x:xf numFmtId="204" fontId="4" fillId="0" xfId="0" applyNumberFormat="1" applyFont="1" applyFill="1" applyBorder="0" applyAlignment="1">
      <x:alignment vertical="top" wrapText="1"/>
    </x:xf>
    <x:xf numFmtId="201" fontId="4" fillId="0" xfId="0" applyNumberFormat="1" applyFont="1" applyFill="1" applyBorder="0" applyAlignment="1">
      <x:alignment vertical="top"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202" fontId="4" fillId="0" xfId="0" applyNumberFormat="1" applyFont="1" applyFill="1" applyBorder="0" applyAlignment="1">
      <x:alignment vertical="top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f7b0f6b5a4a35" /><Relationship Type="http://schemas.openxmlformats.org/officeDocument/2006/relationships/theme" Target="/xl/theme/theme1.xml" Id="R309ae6b40a824141" /><Relationship Type="http://schemas.openxmlformats.org/officeDocument/2006/relationships/sharedStrings" Target="/xl/sharedStrings.xml" Id="R4afa3c2b995d4566" /><Relationship Type="http://schemas.openxmlformats.org/officeDocument/2006/relationships/worksheet" Target="/xl/worksheets/sheet1.xml" Id="R9d0570173e014d9c" /><Relationship Type="http://schemas.openxmlformats.org/officeDocument/2006/relationships/worksheet" Target="/xl/worksheets/sheet2.xml" Id="R60f0de61ac2747ab" /><Relationship Type="http://schemas.openxmlformats.org/officeDocument/2006/relationships/worksheet" Target="/xl/worksheets/sheet3.xml" Id="R4d0dd663e9cf409e" /><Relationship Type="http://schemas.openxmlformats.org/officeDocument/2006/relationships/worksheet" Target="/xl/worksheets/sheet4.xml" Id="Rdffb2808a92c4920" /><Relationship Type="http://schemas.openxmlformats.org/officeDocument/2006/relationships/worksheet" Target="/xl/worksheets/sheet5.xml" Id="R97408426a0fe4c50" /><Relationship Type="http://schemas.openxmlformats.org/officeDocument/2006/relationships/worksheet" Target="/xl/worksheets/sheet6.xml" Id="R4062036fe7544d53" /><Relationship Type="http://schemas.openxmlformats.org/officeDocument/2006/relationships/worksheet" Target="/xl/worksheets/sheet7.xml" Id="R1a07e35db98446ff" /><Relationship Type="http://schemas.openxmlformats.org/officeDocument/2006/relationships/worksheet" Target="/xl/worksheets/sheet8.xml" Id="R85aef18bef8243e8" /><Relationship Type="http://schemas.openxmlformats.org/officeDocument/2006/relationships/worksheet" Target="/xl/worksheets/sheet9.xml" Id="R876a1cffb9f3488a" /><Relationship Type="http://schemas.openxmlformats.org/officeDocument/2006/relationships/worksheet" Target="/xl/worksheets/sheet10.xml" Id="Rc677445640dc4e8c" /><Relationship Type="http://schemas.openxmlformats.org/officeDocument/2006/relationships/worksheet" Target="/xl/worksheets/sheet11.xml" Id="R7faa7697f9be48d4" /><Relationship Type="http://schemas.openxmlformats.org/officeDocument/2006/relationships/worksheet" Target="/xl/worksheets/sheet12.xml" Id="R85d0cd709a9e4b9b" /><Relationship Type="http://schemas.openxmlformats.org/officeDocument/2006/relationships/worksheet" Target="/xl/worksheets/sheet13.xml" Id="R59b9c502275143ac" /><Relationship Type="http://schemas.openxmlformats.org/officeDocument/2006/relationships/worksheet" Target="/xl/worksheets/sheet14.xml" Id="R36ff9b491e704821" /><Relationship Type="http://schemas.openxmlformats.org/officeDocument/2006/relationships/worksheet" Target="/xl/worksheets/sheet15.xml" Id="Ra5d7874b291f4ce9" /><Relationship Type="http://schemas.openxmlformats.org/officeDocument/2006/relationships/worksheet" Target="/xl/worksheets/sheet16.xml" Id="R868143c8eb4b4a7c" /><Relationship Type="http://schemas.openxmlformats.org/officeDocument/2006/relationships/worksheet" Target="/xl/worksheets/sheet17.xml" Id="R18f37c0838964a9e" /><Relationship Type="http://schemas.openxmlformats.org/officeDocument/2006/relationships/worksheet" Target="/xl/worksheets/sheet18.xml" Id="R5062547586df409b" /><Relationship Type="http://schemas.openxmlformats.org/officeDocument/2006/relationships/worksheet" Target="/xl/worksheets/sheet19.xml" Id="R6f551c3c9f904e3c" /><Relationship Type="http://schemas.openxmlformats.org/officeDocument/2006/relationships/worksheet" Target="/xl/worksheets/sheet20.xml" Id="R04495351667647ec" /><Relationship Type="http://schemas.openxmlformats.org/officeDocument/2006/relationships/worksheet" Target="/xl/worksheets/sheet21.xml" Id="R449cea9a981547da" /><Relationship Type="http://schemas.openxmlformats.org/officeDocument/2006/relationships/worksheet" Target="/xl/worksheets/sheet22.xml" Id="Rc9b3bc137886434b" /><Relationship Type="http://schemas.openxmlformats.org/officeDocument/2006/relationships/worksheet" Target="/xl/worksheets/sheet23.xml" Id="R7eb0a9c7dfd64e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62" hidden="0" customWidth="1"/>
  </x:cols>
  <x:sheetData>
    <x:row r="1" ht="30" customHeight="1">
      <x:c r="A1" s="4" t="str">
        <x:v>动力电池闭环供应链论文：数据、来源与建模接口（V2.1，2026-08-15）</x:v>
      </x:c>
      <x:c r="B1" s="4" t="str">
        <x:v>动力电池闭环供应链论文：数据、来源与建模接口</x:v>
      </x:c>
      <x:c r="C1" s="4" t="str">
        <x:v>动力电池闭环供应链论文：数据、来源与建模接口</x:v>
      </x:c>
      <x:c r="D1" s="4" t="str">
        <x:v>动力电池闭环供应链论文：数据、来源与建模接口</x:v>
      </x:c>
      <x:c r="E1" s="4" t="str">
        <x:v>动力电池闭环供应链论文：数据、来源与建模接口</x:v>
      </x:c>
      <x:c r="F1" s="4" t="str">
        <x:v>动力电池闭环供应链论文：数据、来源与建模接口</x:v>
      </x:c>
      <x:c r="G1" s="4" t="str">
        <x:v>动力电池闭环供应链论文：数据、来源与建模接口</x:v>
      </x:c>
      <x:c r="H1" s="4" t="str">
        <x:v>动力电池闭环供应链论文：数据、来源与建模接口</x:v>
      </x:c>
    </x:row>
    <x:row r="3" ht="44" customHeight="1">
      <x:c r="A3" s="8" t="str">
        <x:v>建议主线：以比亚迪为嵌入式案例，研究广东省动力电池逆向物流网络；借鉴RELOG的选址—容量—流量—产出思想，但不复现RELOG代码。</x:v>
      </x:c>
      <x:c r="B3" s="8" t="str">
        <x:v>建议主线：以比亚迪为嵌入式案例，研究广东省动力电池逆向物流网络；借鉴RELOG的选址—容量—流量—产出思想，但不复现RELOG代码。</x:v>
      </x:c>
      <x:c r="C3" s="8" t="str">
        <x:v>建议主线：以比亚迪为嵌入式案例，研究广东省动力电池逆向物流网络；借鉴RELOG的选址—容量—流量—产出思想，但不复现RELOG代码。</x:v>
      </x:c>
      <x:c r="D3" s="8" t="str">
        <x:v>建议主线：以比亚迪为嵌入式案例，研究广东省动力电池逆向物流网络；借鉴RELOG的选址—容量—流量—产出思想，但不复现RELOG代码。</x:v>
      </x:c>
      <x:c r="E3" s="8" t="str">
        <x:v>建议主线：以比亚迪为嵌入式案例，研究广东省动力电池逆向物流网络；借鉴RELOG的选址—容量—流量—产出思想，但不复现RELOG代码。</x:v>
      </x:c>
      <x:c r="F3" s="8" t="str">
        <x:v>建议主线：以比亚迪为嵌入式案例，研究广东省动力电池逆向物流网络；借鉴RELOG的选址—容量—流量—产出思想，但不复现RELOG代码。</x:v>
      </x:c>
      <x:c r="G3" s="8" t="str">
        <x:v>建议主线：以比亚迪为嵌入式案例，研究广东省动力电池逆向物流网络；借鉴RELOG的选址—容量—流量—产出思想，但不复现RELOG代码。</x:v>
      </x:c>
      <x:c r="H3" s="8" t="str">
        <x:v>建议主线：以比亚迪为嵌入式案例，研究广东省动力电池逆向物流网络；借鉴RELOG的选址—容量—流量—产出思想，但不复现RELOG代码。</x:v>
      </x:c>
    </x:row>
    <x:row r="5" ht="28" customHeight="1">
      <x:c r="A5" s="14" t="str">
        <x:v>工作表</x:v>
      </x:c>
      <x:c r="B5" s="14" t="str">
        <x:v>用途</x:v>
      </x:c>
      <x:c r="C5" s="14" t="str">
        <x:v>使用建议</x:v>
      </x:c>
    </x:row>
    <x:row r="6">
      <x:c r="A6" s="17" t="str">
        <x:v>已核验数据</x:v>
      </x:c>
      <x:c r="B6" s="17" t="str">
        <x:v>本轮从官方/公司/项目文件中核验出的事实与数值</x:v>
      </x:c>
      <x:c r="C6" s="17" t="str">
        <x:v>可直接作为论文案例描述或参数校准依据；注意每行限定口径</x:v>
      </x:c>
    </x:row>
    <x:row r="7">
      <x:c r="A7" s="17" t="str">
        <x:v>广东21市模板</x:v>
      </x:c>
      <x:c r="B7" s="17" t="str">
        <x:v>2024 GDP、2020七普人口、2023汽车零售与NEV空间代理</x:v>
      </x:c>
      <x:c r="C7" s="17" t="str">
        <x:v>S1/S2/S3均可运行；S3是BYD空间代理，不是真实上牌量</x:v>
      </x:c>
    </x:row>
    <x:row r="8">
      <x:c r="A8" s="17" t="str">
        <x:v>模型参数字典</x:v>
      </x:c>
      <x:c r="B8" s="17" t="str">
        <x:v>基础模型与扩展模型的参数、可得性、替代方法</x:v>
      </x:c>
      <x:c r="C8" s="17" t="str">
        <x:v>优先完成P0参数；P2参数只做扩展</x:v>
      </x:c>
    </x:row>
    <x:row r="9">
      <x:c r="A9" s="17" t="str">
        <x:v>RELOG映射</x:v>
      </x:c>
      <x:c r="B9" s="17" t="str">
        <x:v>RELOG字段/思想与中国动力电池模型的对应关系</x:v>
      </x:c>
      <x:c r="C9" s="17" t="str">
        <x:v>用于第2章与第4章，不用于声称复现</x:v>
      </x:c>
    </x:row>
    <x:row r="10">
      <x:c r="A10" s="17" t="str">
        <x:v>情景参数模板</x:v>
      </x:c>
      <x:c r="B10" s="17" t="str">
        <x:v>完整低/基准/高需求、成本、容量、半径与求解参数</x:v>
      </x:c>
      <x:c r="C10" s="17" t="str">
        <x:v>C/D级参数必须做敏感性分析，不得写成企业实绩</x:v>
      </x:c>
    </x:row>
    <x:row r="11">
      <x:c r="A11" s="17" t="str">
        <x:v>BYD退役量估算</x:v>
      </x:c>
      <x:c r="B11" s="17" t="str">
        <x:v>历年BYD销量×车龄退役概率×广东份额×电池质量</x:v>
      </x:c>
      <x:c r="C11" s="17" t="str">
        <x:v>给出2025年低/基准/高估算及逐年贡献</x:v>
      </x:c>
    </x:row>
    <x:row r="12">
      <x:c r="A12" s="17" t="str">
        <x:v>来源目录</x:v>
      </x:c>
      <x:c r="B12" s="17" t="str">
        <x:v>完整来源网址与可支持的论断</x:v>
      </x:c>
      <x:c r="C12" s="17" t="str">
        <x:v>论文定稿时按学校格式转为参考文献或脚注</x:v>
      </x:c>
    </x:row>
    <x:row r="13">
      <x:c r="A13" s="17" t="str">
        <x:v>审查落实</x:v>
      </x:c>
      <x:c r="B13" s="17" t="str">
        <x:v>逐条判断外部审查意见是否合理并记录处理</x:v>
      </x:c>
      <x:c r="C13" s="17" t="str">
        <x:v>区分已落实、部分完成和不采用的主观评分</x:v>
      </x:c>
    </x:row>
    <x:row r="14">
      <x:c r="A14" s="17" t="str">
        <x:v>候选设施</x:v>
      </x:c>
      <x:c r="B14" s="17" t="str">
        <x:v>21个城市级虚拟回收中心和五批规范企业功能节点</x:v>
      </x:c>
      <x:c r="C14" s="17" t="str">
        <x:v>双类型企业拆分为梯次/再生功能节点；坐标多为城市代理</x:v>
      </x:c>
    </x:row>
    <x:row r="15">
      <x:c r="A15" s="17" t="str">
        <x:v>facilities_input</x:v>
      </x:c>
      <x:c r="B15" s="17" t="str">
        <x:v>完整capacity/min throughput/fixed cost/unit cost字段</x:v>
      </x:c>
      <x:c r="C15" s="17" t="str">
        <x:v>可直接导出CSV；除P01外均含情景参数</x:v>
      </x:c>
    </x:row>
    <x:row r="16">
      <x:c r="A16" s="17" t="str">
        <x:v>scenario_input</x:v>
      </x:c>
      <x:c r="B16" s="17" t="str">
        <x:v>基准情景的代码参数键值表</x:v>
      </x:c>
      <x:c r="C16" s="17" t="str">
        <x:v>reuse+recycle校验为1，含设施数上下限与求解设置</x:v>
      </x:c>
    </x:row>
    <x:row r="17">
      <x:c r="A17" s="17" t="str">
        <x:v>network_arcs_input</x:v>
      </x:c>
      <x:c r="B17" s="17" t="str">
        <x:v>来源→回收、回收→梯次/再生两段运输弧</x:v>
      </x:c>
      <x:c r="C17" s="17" t="str">
        <x:v>当前为Haversine×1.2；可替换为道路API/GIS</x:v>
      </x:c>
    </x:row>
    <x:row r="18">
      <x:c r="A18" s="17" t="str">
        <x:v>距离矩阵_代理</x:v>
      </x:c>
      <x:c r="B18" s="17" t="str">
        <x:v>需求城市到全部候选设施的审计矩阵</x:v>
      </x:c>
      <x:c r="C18" s="17" t="str">
        <x:v>用于校验，不等同真实危运路线</x:v>
      </x:c>
    </x:row>
    <x:row r="19">
      <x:c r="A19" s="17" t="str">
        <x:v>regions_input</x:v>
      </x:c>
      <x:c r="B19" s="17" t="str">
        <x:v>字段名已兼容name/lon/lat/retired_battery_tons</x:v>
      </x:c>
      <x:c r="C19" s="17" t="str">
        <x:v>需求为BYD广东2025公开数据估算，不是企业实绩</x:v>
      </x:c>
    </x:row>
    <x:row r="20">
      <x:c r="A20" s="17" t="str">
        <x:v>旧对话纠错</x:v>
      </x:c>
      <x:c r="B20" s="17" t="str">
        <x:v>对两次对话中的占位值、口径混用和版本误判做清理</x:v>
      </x:c>
      <x:c r="C20" s="17" t="str">
        <x:v>红色项目禁止直接进入正式结果</x:v>
      </x:c>
    </x:row>
    <x:row r="22" ht="38" customHeight="1">
      <x:c r="A22" s="20" t="str">
        <x:v>数据分级：A=官方/公司原始资料；B=公开项目或规范企业资料，可作校准；C=文献情景；D=方法或规模假设。空白不等于零，代理坐标不等于真实厂址。</x:v>
      </x:c>
      <x:c r="B22" s="20" t="str">
        <x:v>数据分级：A=官方/公司原始资料；B=公开项目或规范企业资料，可作校准；C=文献情景；D=方法或规模假设。空白不等于零，代理坐标不等于真实厂址。</x:v>
      </x:c>
      <x:c r="C22" s="20" t="str">
        <x:v>数据分级：A=官方/公司原始资料；B=公开项目或规范企业资料，可作校准；C=文献情景；D=方法或规模假设。空白不等于零，代理坐标不等于真实厂址。</x:v>
      </x:c>
      <x:c r="D22" s="20" t="str">
        <x:v>数据分级：A=官方/公司原始资料；B=公开项目或规范企业资料，可作校准；C=文献情景；D=方法或规模假设。空白不等于零，代理坐标不等于真实厂址。</x:v>
      </x:c>
      <x:c r="E22" s="20" t="str">
        <x:v>数据分级：A=官方/公司原始资料；B=公开项目或规范企业资料，可作校准；C=文献情景；D=方法或规模假设。空白不等于零，代理坐标不等于真实厂址。</x:v>
      </x:c>
      <x:c r="F22" s="20" t="str">
        <x:v>数据分级：A=官方/公司原始资料；B=公开项目或规范企业资料，可作校准；C=文献情景；D=方法或规模假设。空白不等于零，代理坐标不等于真实厂址。</x:v>
      </x:c>
      <x:c r="G22" s="20" t="str">
        <x:v>数据分级：A=官方/公司原始资料；B=公开项目或规范企业资料，可作校准；C=文献情景；D=方法或规模假设。空白不等于零，代理坐标不等于真实厂址。</x:v>
      </x:c>
      <x:c r="H22" s="20" t="str">
        <x:v>数据分级：A=官方/公司原始资料；B=公开项目或规范企业资料，可作校准；C=文献情景；D=方法或规模假设。空白不等于零，代理坐标不等于真实厂址。</x:v>
      </x:c>
    </x:row>
    <x:row r="24" ht="15" hidden="0" customHeight="1">
      <x:c r="A24" s="48" t="str">
        <x:v>V2.1新增工作表</x:v>
      </x:c>
      <x:c r="B24" s="48" t="str">
        <x:v>用途</x:v>
      </x:c>
      <x:c r="C24" s="48" t="str">
        <x:v>使用建议</x:v>
      </x:c>
    </x:row>
    <x:row r="25" ht="15" hidden="0" customHeight="1">
      <x:c r="A25" s="51" t="str">
        <x:v>缺口复核_2026</x:v>
      </x:c>
      <x:c r="B25" s="51" t="str">
        <x:v>逐项判断新对话提出的数据缺口</x:v>
      </x:c>
      <x:c r="C25" s="51" t="str">
        <x:v>先看结论与剩余缺口，避免把不可得数据写成企业事实</x:v>
      </x:c>
    </x:row>
    <x:row r="26" ht="15" hidden="0" customHeight="1">
      <x:c r="A26" s="51" t="str">
        <x:v>BYD官方回收点</x:v>
      </x:c>
      <x:c r="B26" s="51" t="str">
        <x:v>比亚迪官网当前公开的广东3个企业回收点</x:v>
      </x:c>
      <x:c r="C26" s="51" t="str">
        <x:v>可作为真实锚点；官网未披露容量，不能替代21市汇总节点</x:v>
      </x:c>
    </x:row>
    <x:row r="27" ht="15" hidden="0" customHeight="1">
      <x:c r="A27" s="51" t="str">
        <x:v>道路距离_OSRM</x:v>
      </x:c>
      <x:c r="B27" s="51" t="str">
        <x:v>945条运输弧的开放道路网络距离与时长</x:v>
      </x:c>
      <x:c r="C27" s="51" t="str">
        <x:v>可替换Haversine×1.2重跑模型；不是货车/危运合规路径</x:v>
      </x:c>
    </x:row>
    <x:row r="28" ht="15" hidden="0" customHeight="1">
      <x:c r="A28" s="51" t="str">
        <x:v>距离升级摘要</x:v>
      </x:c>
      <x:c r="B28" s="51" t="str">
        <x:v>道路距离相对原代理的变化与可达性影响</x:v>
      </x:c>
      <x:c r="C28" s="51" t="str">
        <x:v>用于第4.6节及第5章重跑前后的对比</x:v>
      </x:c>
    </x:row>
    <x:row r="29" ht="15" hidden="0" customHeight="1">
      <x:c r="A29" s="51" t="str">
        <x:v>政策时点与候选集</x:v>
      </x:c>
      <x:c r="B29" s="51" t="str">
        <x:v>2025历史候选与2026现行政策状态分开记录</x:v>
      </x:c>
      <x:c r="C29" s="51" t="str">
        <x:v>原模型可保留历史情景；现行情景不得称梯次白名单</x:v>
      </x:c>
    </x:row>
    <x:row r="30" ht="15" hidden="0" customHeight="1">
      <x:c r="A30" s="51" t="str">
        <x:v>最低处理量依据</x:v>
      </x:c>
      <x:c r="B30" s="51" t="str">
        <x:v>区分名义产能门槛和模型最低开工量</x:v>
      </x:c>
      <x:c r="C30" s="51" t="str">
        <x:v>300吨仍是情景值，不是公开企业真实最低处理量</x:v>
      </x:c>
    </x:row>
    <x:row r="31" ht="15" hidden="0" customHeight="1">
      <x:c r="A31" s="51" t="str">
        <x:v>P01运行证据</x:v>
      </x:c>
      <x:c r="B31" s="51" t="str">
        <x:v>汕尾比亚迪项目的审批、现有项目与许可证据链</x:v>
      </x:c>
      <x:c r="C31" s="51" t="str">
        <x:v>可增强既有设施设定；仍不能推出实际年处理量</x:v>
      </x:c>
    </x:row>
  </x:sheetData>
  <x:mergeCells>
    <x:mergeCell ref="A1:H1"/>
    <x:mergeCell ref="A3:H3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14" hidden="0" customWidth="1"/>
    <x:col min="5" max="5" width="12" hidden="0" customWidth="1"/>
    <x:col min="6" max="6" width="24" hidden="0" customWidth="1"/>
    <x:col min="7" max="7" width="14" hidden="0" customWidth="1"/>
    <x:col min="8" max="8" width="18" hidden="0" customWidth="1"/>
    <x:col min="9" max="9" width="14" hidden="0" customWidth="1"/>
    <x:col min="10" max="10" width="24" hidden="0" customWidth="1"/>
    <x:col min="11" max="11" width="46" hidden="0" customWidth="1"/>
    <x:col min="12" max="12" width="60" hidden="0" customWidth="1"/>
  </x:cols>
  <x:sheetData>
    <x:row r="1" ht="30" customHeight="1">
      <x:c r="A1" s="4" t="str">
        <x:v>已核验数据（截至2026-08-15，V2.1）</x:v>
      </x:c>
      <x:c r="B1" s="4" t="str">
        <x:v>已核验数据（截至2026-07-20）</x:v>
      </x:c>
      <x:c r="C1" s="4" t="str">
        <x:v>已核验数据（截至2026-07-20）</x:v>
      </x:c>
      <x:c r="D1" s="4" t="str">
        <x:v>已核验数据（截至2026-07-20）</x:v>
      </x:c>
      <x:c r="E1" s="4" t="str">
        <x:v>已核验数据（截至2026-07-20）</x:v>
      </x:c>
      <x:c r="F1" s="4" t="str">
        <x:v>已核验数据（截至2026-07-20）</x:v>
      </x:c>
      <x:c r="G1" s="4" t="str">
        <x:v>已核验数据（截至2026-07-20）</x:v>
      </x:c>
      <x:c r="H1" s="4" t="str">
        <x:v>已核验数据（截至2026-07-20）</x:v>
      </x:c>
      <x:c r="I1" s="4" t="str">
        <x:v>已核验数据（截至2026-07-20）</x:v>
      </x:c>
      <x:c r="J1" s="4" t="str">
        <x:v>已核验数据（截至2026-07-20）</x:v>
      </x:c>
      <x:c r="K1" s="4" t="str">
        <x:v>已核验数据（截至2026-07-20）</x:v>
      </x:c>
      <x:c r="L1" s="4" t="str">
        <x:v>已核验数据（截至2026-07-20）</x:v>
      </x:c>
    </x:row>
    <x:row r="3" ht="15" hidden="0" customHeight="1">
      <x:c r="A3" s="14" t="str">
        <x:v>ID</x:v>
      </x:c>
      <x:c r="B3" s="14" t="str">
        <x:v>类别</x:v>
      </x:c>
      <x:c r="C3" s="14" t="str">
        <x:v>指标/事实</x:v>
      </x:c>
      <x:c r="D3" s="14" t="str">
        <x:v>数值</x:v>
      </x:c>
      <x:c r="E3" s="14" t="str">
        <x:v>单位</x:v>
      </x:c>
      <x:c r="F3" s="14" t="str">
        <x:v>时间/口径</x:v>
      </x:c>
      <x:c r="G3" s="14" t="str">
        <x:v>地理范围</x:v>
      </x:c>
      <x:c r="H3" s="14" t="str">
        <x:v>主体</x:v>
      </x:c>
      <x:c r="I3" s="14" t="str">
        <x:v>数据等级</x:v>
      </x:c>
      <x:c r="J3" s="14" t="str">
        <x:v>模型用途</x:v>
      </x:c>
      <x:c r="K3" s="14" t="str">
        <x:v>限制与备注</x:v>
      </x:c>
      <x:c r="L3" s="14" t="str">
        <x:v>来源URL</x:v>
      </x:c>
    </x:row>
    <x:row r="4" ht="15" hidden="0" customHeight="1">
      <x:c r="A4" s="17" t="str">
        <x:v>V01</x:v>
      </x:c>
      <x:c r="B4" s="17" t="str">
        <x:v>企业案例</x:v>
      </x:c>
      <x:c r="C4" s="17" t="str">
        <x:v>比亚迪已设电池回收工厂</x:v>
      </x:c>
      <x:c r="D4" s="21" t="n">
        <x:v>2</x:v>
      </x:c>
      <x:c r="E4" s="17" t="str">
        <x:v>座</x:v>
      </x:c>
      <x:c r="F4" s="17" t="str">
        <x:v>截至2024年报告期末</x:v>
      </x:c>
      <x:c r="G4" s="17" t="str">
        <x:v>中国</x:v>
      </x:c>
      <x:c r="H4" s="17" t="str">
        <x:v>比亚迪</x:v>
      </x:c>
      <x:c r="I4" s="22" t="str">
        <x:v>A-已核验</x:v>
      </x:c>
      <x:c r="J4" s="17" t="str">
        <x:v>案例边界/既有设施约束</x:v>
      </x:c>
      <x:c r="K4" s="17" t="str">
        <x:v>报告未在同一段披露两厂具体位置</x:v>
      </x:c>
      <x:c r="L4" s="17" t="str">
        <x:v>https://www1.hkexnews.hk/listedco/listconews/sehk/2025/0324/2025032401244.pdf</x:v>
      </x:c>
    </x:row>
    <x:row r="5" ht="24" hidden="0" customHeight="1">
      <x:c r="A5" s="17" t="str">
        <x:v>V02</x:v>
      </x:c>
      <x:c r="B5" s="17" t="str">
        <x:v>企业案例</x:v>
      </x:c>
      <x:c r="C5" s="17" t="str">
        <x:v>比亚迪回收动力电池</x:v>
      </x:c>
      <x:c r="D5" s="21" t="n">
        <x:v>10000</x:v>
      </x:c>
      <x:c r="E5" s="17" t="str">
        <x:v>吨以上</x:v>
      </x:c>
      <x:c r="F5" s="17" t="str">
        <x:v>截至2024年报告期末；累计或年度口径未明确</x:v>
      </x:c>
      <x:c r="G5" s="17" t="str">
        <x:v>中国</x:v>
      </x:c>
      <x:c r="H5" s="17" t="str">
        <x:v>比亚迪</x:v>
      </x:c>
      <x:c r="I5" s="22" t="str">
        <x:v>A-已核验</x:v>
      </x:c>
      <x:c r="J5" s="17" t="str">
        <x:v>案例规模校验</x:v>
      </x:c>
      <x:c r="K5" s="17" t="str">
        <x:v>不可直接当作2024年单年处理量</x:v>
      </x:c>
      <x:c r="L5" s="17" t="str">
        <x:v>https://www1.hkexnews.hk/listedco/listconews/sehk/2025/0324/2025032401244.pdf</x:v>
      </x:c>
    </x:row>
    <x:row r="6" ht="24" hidden="0" customHeight="1">
      <x:c r="A6" s="17" t="str">
        <x:v>V03</x:v>
      </x:c>
      <x:c r="B6" s="17" t="str">
        <x:v>企业案例</x:v>
      </x:c>
      <x:c r="C6" s="17" t="str">
        <x:v>王朝网与海洋网售后服务网点</x:v>
      </x:c>
      <x:c r="D6" s="21" t="n">
        <x:v>2300</x:v>
      </x:c>
      <x:c r="E6" s="17" t="str">
        <x:v>个以上</x:v>
      </x:c>
      <x:c r="F6" s="17" t="str">
        <x:v>官网当前展示值</x:v>
      </x:c>
      <x:c r="G6" s="17" t="str">
        <x:v>中国</x:v>
      </x:c>
      <x:c r="H6" s="17" t="str">
        <x:v>比亚迪</x:v>
      </x:c>
      <x:c r="I6" s="22" t="str">
        <x:v>A-已核验</x:v>
      </x:c>
      <x:c r="J6" s="17" t="str">
        <x:v>前端候选点来源</x:v>
      </x:c>
      <x:c r="K6" s="17" t="str">
        <x:v>售后网点不等同于动力电池回收网点，需与回收点页面交叉筛选</x:v>
      </x:c>
      <x:c r="L6" s="17" t="str">
        <x:v>https://www.byd.com/cn/after-sales-service</x:v>
      </x:c>
    </x:row>
    <x:row r="7" ht="15" hidden="0" customHeight="1">
      <x:c r="A7" s="17" t="str">
        <x:v>V04</x:v>
      </x:c>
      <x:c r="B7" s="17" t="str">
        <x:v>既有设施</x:v>
      </x:c>
      <x:c r="C7" s="17" t="str">
        <x:v>汕尾比亚迪废旧动力电池回收设计能力</x:v>
      </x:c>
      <x:c r="D7" s="21" t="n">
        <x:v>10000</x:v>
      </x:c>
      <x:c r="E7" s="17" t="str">
        <x:v>吨/年</x:v>
      </x:c>
      <x:c r="F7" s="17" t="str">
        <x:v>项目环评批复口径</x:v>
      </x:c>
      <x:c r="G7" s="17" t="str">
        <x:v>广东汕尾</x:v>
      </x:c>
      <x:c r="H7" s="17" t="str">
        <x:v>汕尾比亚迪</x:v>
      </x:c>
      <x:c r="I7" s="22" t="str">
        <x:v>A-已核验</x:v>
      </x:c>
      <x:c r="J7" s="17" t="str">
        <x:v>既有再生利用设施容量</x:v>
      </x:c>
      <x:c r="K7" s="17" t="str">
        <x:v>原文亦写‘废旧电子’，应在正文说明项目名称与物料口径</x:v>
      </x:c>
      <x:c r="L7" s="17" t="str">
        <x:v>https://www.shanwei.gov.cn/swhbj/493/506/content/post_526956.html</x:v>
      </x:c>
    </x:row>
    <x:row r="8" ht="15" hidden="0" customHeight="1">
      <x:c r="A8" s="17" t="str">
        <x:v>V05</x:v>
      </x:c>
      <x:c r="B8" s="17" t="str">
        <x:v>既有设施</x:v>
      </x:c>
      <x:c r="C8" s="17" t="str">
        <x:v>汕尾比亚迪回收项目总投资</x:v>
      </x:c>
      <x:c r="D8" s="21" t="n">
        <x:v>3904.65</x:v>
      </x:c>
      <x:c r="E8" s="17" t="str">
        <x:v>万元</x:v>
      </x:c>
      <x:c r="F8" s="17" t="str">
        <x:v>2018年项目总投资</x:v>
      </x:c>
      <x:c r="G8" s="17" t="str">
        <x:v>广东汕尾</x:v>
      </x:c>
      <x:c r="H8" s="17" t="str">
        <x:v>汕尾比亚迪</x:v>
      </x:c>
      <x:c r="I8" s="22" t="str">
        <x:v>A-已核验</x:v>
      </x:c>
      <x:c r="J8" s="17" t="str">
        <x:v>固定建设成本校准</x:v>
      </x:c>
      <x:c r="K8" s="17" t="str">
        <x:v>历史价格；需按价格指数调整，且依托既有公辅设施</x:v>
      </x:c>
      <x:c r="L8" s="17" t="str">
        <x:v>https://www.shanwei.gov.cn/swhbj/493/506/content/post_526956.html</x:v>
      </x:c>
    </x:row>
    <x:row r="9" ht="15" hidden="0" customHeight="1">
      <x:c r="A9" s="17" t="str">
        <x:v>V06</x:v>
      </x:c>
      <x:c r="B9" s="17" t="str">
        <x:v>既有设施</x:v>
      </x:c>
      <x:c r="C9" s="17" t="str">
        <x:v>汕尾比亚迪回收项目劳动定员</x:v>
      </x:c>
      <x:c r="D9" s="21" t="n">
        <x:v>235</x:v>
      </x:c>
      <x:c r="E9" s="17" t="str">
        <x:v>人</x:v>
      </x:c>
      <x:c r="F9" s="17" t="str">
        <x:v>二班制、330天/年</x:v>
      </x:c>
      <x:c r="G9" s="17" t="str">
        <x:v>广东汕尾</x:v>
      </x:c>
      <x:c r="H9" s="17" t="str">
        <x:v>汕尾比亚迪</x:v>
      </x:c>
      <x:c r="I9" s="22" t="str">
        <x:v>A-已核验</x:v>
      </x:c>
      <x:c r="J9" s="17" t="str">
        <x:v>运营成本侧证</x:v>
      </x:c>
      <x:c r="K9" s="17" t="str">
        <x:v>不能直接推导全部运营成本</x:v>
      </x:c>
      <x:c r="L9" s="17" t="str">
        <x:v>https://www.shanwei.gov.cn/swhbj/493/506/content/post_526956.html</x:v>
      </x:c>
    </x:row>
    <x:row r="10" ht="15" hidden="0" customHeight="1">
      <x:c r="A10" s="17" t="str">
        <x:v>V07</x:v>
      </x:c>
      <x:c r="B10" s="17" t="str">
        <x:v>既有设施</x:v>
      </x:c>
      <x:c r="C10" s="17" t="str">
        <x:v>汕尾动力模组梯次利用设计能力</x:v>
      </x:c>
      <x:c r="D10" s="21" t="n">
        <x:v>240</x:v>
      </x:c>
      <x:c r="E10" s="17" t="str">
        <x:v>MWh/年</x:v>
      </x:c>
      <x:c r="F10" s="17" t="str">
        <x:v>24V150Ah模组</x:v>
      </x:c>
      <x:c r="G10" s="17" t="str">
        <x:v>广东汕尾</x:v>
      </x:c>
      <x:c r="H10" s="17" t="str">
        <x:v>汕尾比亚迪</x:v>
      </x:c>
      <x:c r="I10" s="22" t="str">
        <x:v>A-已核验</x:v>
      </x:c>
      <x:c r="J10" s="17" t="str">
        <x:v>梯次利用扩展情景</x:v>
      </x:c>
      <x:c r="K10" s="17" t="str">
        <x:v>2024-01-16通过环保验收</x:v>
      </x:c>
      <x:c r="L10" s="17" t="str">
        <x:v>https://www.shanwei.gov.cn/attachment/0/84/84827/1245132.pdf</x:v>
      </x:c>
    </x:row>
    <x:row r="11" ht="15" hidden="0" customHeight="1">
      <x:c r="A11" s="17" t="str">
        <x:v>V08</x:v>
      </x:c>
      <x:c r="B11" s="17" t="str">
        <x:v>既有设施</x:v>
      </x:c>
      <x:c r="C11" s="17" t="str">
        <x:v>汕尾动力电芯梯次利用设计能力</x:v>
      </x:c>
      <x:c r="D11" s="21" t="n">
        <x:v>160</x:v>
      </x:c>
      <x:c r="E11" s="17" t="str">
        <x:v>MWh/年</x:v>
      </x:c>
      <x:c r="F11" s="17" t="str">
        <x:v>3.2V150Ah电芯</x:v>
      </x:c>
      <x:c r="G11" s="17" t="str">
        <x:v>广东汕尾</x:v>
      </x:c>
      <x:c r="H11" s="17" t="str">
        <x:v>汕尾比亚迪</x:v>
      </x:c>
      <x:c r="I11" s="22" t="str">
        <x:v>A-已核验</x:v>
      </x:c>
      <x:c r="J11" s="17" t="str">
        <x:v>梯次利用扩展情景</x:v>
      </x:c>
      <x:c r="K11" s="17" t="str">
        <x:v>需另设MWh—吨换算，不可直接与回收吨数相加</x:v>
      </x:c>
      <x:c r="L11" s="17" t="str">
        <x:v>https://www.shanwei.gov.cn/attachment/0/84/84827/1245132.pdf</x:v>
      </x:c>
    </x:row>
    <x:row r="12" ht="24" hidden="0" customHeight="1">
      <x:c r="A12" s="17" t="str">
        <x:v>V09</x:v>
      </x:c>
      <x:c r="B12" s="17" t="str">
        <x:v>既有设施</x:v>
      </x:c>
      <x:c r="C12" s="17" t="str">
        <x:v>西安比亚迪自动化动力电池拆解线能力</x:v>
      </x:c>
      <x:c r="D12" s="21" t="n">
        <x:v>20000</x:v>
      </x:c>
      <x:c r="E12" s="17" t="str">
        <x:v>吨/年</x:v>
      </x:c>
      <x:c r="F12" s="17" t="str">
        <x:v>陕西省科技厅2025年答复口径</x:v>
      </x:c>
      <x:c r="G12" s="17" t="str">
        <x:v>陕西西安</x:v>
      </x:c>
      <x:c r="H12" s="17" t="str">
        <x:v>比亚迪西安基地</x:v>
      </x:c>
      <x:c r="I12" s="22" t="str">
        <x:v>A-已核验</x:v>
      </x:c>
      <x:c r="J12" s="17" t="str">
        <x:v>外部后端设施/对照案例</x:v>
      </x:c>
      <x:c r="K12" s="17" t="str">
        <x:v>可作为跨省外部处理节点或容量上限校验</x:v>
      </x:c>
      <x:c r="L12" s="17" t="str">
        <x:v>https://kjt.shaanxi.gov.cn/gk/fdzdgknr/yabl/rddb/2025nrddb/202508/t20250826_3558894.html</x:v>
      </x:c>
    </x:row>
    <x:row r="13" ht="15" hidden="0" customHeight="1">
      <x:c r="A13" s="17" t="str">
        <x:v>V10</x:v>
      </x:c>
      <x:c r="B13" s="17" t="str">
        <x:v>区域网络</x:v>
      </x:c>
      <x:c r="C13" s="17" t="str">
        <x:v>广东回收服务网点</x:v>
      </x:c>
      <x:c r="D13" s="21" t="n">
        <x:v>1532</x:v>
      </x:c>
      <x:c r="E13" s="17" t="str">
        <x:v>个</x:v>
      </x:c>
      <x:c r="F13" s="17" t="str">
        <x:v>截至2022年底</x:v>
      </x:c>
      <x:c r="G13" s="17" t="str">
        <x:v>广东</x:v>
      </x:c>
      <x:c r="H13" s="17" t="str">
        <x:v>全行业</x:v>
      </x:c>
      <x:c r="I13" s="22" t="str">
        <x:v>A-已核验</x:v>
      </x:c>
      <x:c r="J13" s="17" t="str">
        <x:v>区域候选点密度校验</x:v>
      </x:c>
      <x:c r="K13" s="17" t="str">
        <x:v>历史值；需更新到研究基准年</x:v>
      </x:c>
      <x:c r="L13" s="17" t="str">
        <x:v>https://gdii.gd.gov.cn/rdjyhzxtabljg/content/post_4211929.html</x:v>
      </x:c>
    </x:row>
    <x:row r="14" ht="15" hidden="0" customHeight="1">
      <x:c r="A14" s="17" t="str">
        <x:v>V11</x:v>
      </x:c>
      <x:c r="B14" s="17" t="str">
        <x:v>区域网络</x:v>
      </x:c>
      <x:c r="C14" s="17" t="str">
        <x:v>广东规范梯次/再生利用企业</x:v>
      </x:c>
      <x:c r="D14" s="21" t="n">
        <x:v>12</x:v>
      </x:c>
      <x:c r="E14" s="17" t="str">
        <x:v>家</x:v>
      </x:c>
      <x:c r="F14" s="17" t="str">
        <x:v>截至2022年底</x:v>
      </x:c>
      <x:c r="G14" s="17" t="str">
        <x:v>广东</x:v>
      </x:c>
      <x:c r="H14" s="17" t="str">
        <x:v>全行业</x:v>
      </x:c>
      <x:c r="I14" s="22" t="str">
        <x:v>A-已核验</x:v>
      </x:c>
      <x:c r="J14" s="17" t="str">
        <x:v>合作企业候选集</x:v>
      </x:c>
      <x:c r="K14" s="17" t="str">
        <x:v>需按最新工信部公告动态更新</x:v>
      </x:c>
      <x:c r="L14" s="17" t="str">
        <x:v>https://gdii.gd.gov.cn/rdjyhzxtabljg/content/post_4211929.html</x:v>
      </x:c>
    </x:row>
    <x:row r="15" ht="24" hidden="0" customHeight="1">
      <x:c r="A15" s="17" t="str">
        <x:v>V12</x:v>
      </x:c>
      <x:c r="B15" s="17" t="str">
        <x:v>政策</x:v>
      </x:c>
      <x:c r="C15" s="17" t="str">
        <x:v>规范条件企业累计数量</x:v>
      </x:c>
      <x:c r="D15" s="21" t="n">
        <x:v>148</x:v>
      </x:c>
      <x:c r="E15" s="17" t="str">
        <x:v>家</x:v>
      </x:c>
      <x:c r="F15" s="17" t="str">
        <x:v>截至2023年底</x:v>
      </x:c>
      <x:c r="G15" s="17" t="str">
        <x:v>中国</x:v>
      </x:c>
      <x:c r="H15" s="17" t="str">
        <x:v>工信部</x:v>
      </x:c>
      <x:c r="I15" s="22" t="str">
        <x:v>A-已核验</x:v>
      </x:c>
      <x:c r="J15" s="17" t="str">
        <x:v>候选企业总体背景</x:v>
      </x:c>
      <x:c r="K15" s="17" t="str">
        <x:v>旧对话中的156家不可直接沿用</x:v>
      </x:c>
      <x:c r="L15" s="17" t="str">
        <x:v>https://www.miit.gov.cn/jgsj/jns/zhlyh/art/2024/art_8938322a9cc94cc2940192fe760781db.html</x:v>
      </x:c>
    </x:row>
    <x:row r="16" ht="24" hidden="0" customHeight="1">
      <x:c r="A16" s="17" t="str">
        <x:v>V13</x:v>
      </x:c>
      <x:c r="B16" s="17" t="str">
        <x:v>技术规范</x:v>
      </x:c>
      <x:c r="C16" s="17" t="str">
        <x:v>冶炼过程锂回收率下限</x:v>
      </x:c>
      <x:c r="D16" s="21" t="n">
        <x:v>0.9</x:v>
      </x:c>
      <x:c r="E16" s="17" t="str">
        <x:v>比例</x:v>
      </x:c>
      <x:c r="F16" s="17" t="str">
        <x:v>2024版规范条件</x:v>
      </x:c>
      <x:c r="G16" s="17" t="str">
        <x:v>中国</x:v>
      </x:c>
      <x:c r="H16" s="17" t="str">
        <x:v>工信部</x:v>
      </x:c>
      <x:c r="I16" s="22" t="str">
        <x:v>A-已核验</x:v>
      </x:c>
      <x:c r="J16" s="17" t="str">
        <x:v>回收产出率约束/校验</x:v>
      </x:c>
      <x:c r="K16" s="17" t="str">
        <x:v>这是规范条件指标，不等于每个企业实际回收率</x:v>
      </x:c>
      <x:c r="L16" s="17" t="str">
        <x:v>https://www.miit.gov.cn/jgsj/jns/zhlyh/art/2024/art_8938322a9cc94cc2940192fe760781db.html</x:v>
      </x:c>
    </x:row>
    <x:row r="17" ht="24" hidden="0" customHeight="1">
      <x:c r="A17" s="17" t="str">
        <x:v>V14</x:v>
      </x:c>
      <x:c r="B17" s="17" t="str">
        <x:v>技术规范</x:v>
      </x:c>
      <x:c r="C17" s="17" t="str">
        <x:v>破碎分离后电极粉料回收率下限</x:v>
      </x:c>
      <x:c r="D17" s="21" t="n">
        <x:v>0.98</x:v>
      </x:c>
      <x:c r="E17" s="17" t="str">
        <x:v>比例</x:v>
      </x:c>
      <x:c r="F17" s="17" t="str">
        <x:v>2024版规范条件</x:v>
      </x:c>
      <x:c r="G17" s="17" t="str">
        <x:v>中国</x:v>
      </x:c>
      <x:c r="H17" s="17" t="str">
        <x:v>工信部</x:v>
      </x:c>
      <x:c r="I17" s="22" t="str">
        <x:v>A-已核验</x:v>
      </x:c>
      <x:c r="J17" s="17" t="str">
        <x:v>产出率约束/校验</x:v>
      </x:c>
      <x:c r="K17" s="17" t="str">
        <x:v>仅适用于对应工序</x:v>
      </x:c>
      <x:c r="L17" s="17" t="str">
        <x:v>https://www.miit.gov.cn/jgsj/jns/zhlyh/art/2024/art_8938322a9cc94cc2940192fe760781db.html</x:v>
      </x:c>
    </x:row>
    <x:row r="18" ht="24" hidden="0" customHeight="1">
      <x:c r="A18" s="17" t="str">
        <x:v>V15</x:v>
      </x:c>
      <x:c r="B18" s="17" t="str">
        <x:v>政策</x:v>
      </x:c>
      <x:c r="C18" s="17" t="str">
        <x:v>新回收管理办法生效日期</x:v>
      </x:c>
      <x:c r="D18" s="21" t="str">
        <x:v>2026-04-01</x:v>
      </x:c>
      <x:c r="E18" s="17" t="str">
        <x:v>日期</x:v>
      </x:c>
      <x:c r="F18" s="17" t="str">
        <x:v>现行</x:v>
      </x:c>
      <x:c r="G18" s="17" t="str">
        <x:v>中国</x:v>
      </x:c>
      <x:c r="H18" s="17" t="str">
        <x:v>六部门</x:v>
      </x:c>
      <x:c r="I18" s="22" t="str">
        <x:v>A-已核验</x:v>
      </x:c>
      <x:c r="J18" s="17" t="str">
        <x:v>政策约束与研究背景</x:v>
      </x:c>
      <x:c r="K18" s="17" t="str">
        <x:v>2018/2019/2021相关旧办法同时废止</x:v>
      </x:c>
      <x:c r="L18" s="17" t="str">
        <x:v>https://www.miit.gov.cn/gyhxxhb/jgsj/cyzcyfgs/bmgz/jdcjxl/art/2026/art_392462fdc40c415ea4a4129cac3028c2.html</x:v>
      </x:c>
    </x:row>
    <x:row r="19" ht="24" hidden="0" customHeight="1">
      <x:c r="A19" s="17" t="str">
        <x:v>V16</x:v>
      </x:c>
      <x:c r="B19" s="17" t="str">
        <x:v>对标项目</x:v>
      </x:c>
      <x:c r="C19" s="17" t="str">
        <x:v>动力电池回收拆解能力</x:v>
      </x:c>
      <x:c r="D19" s="21" t="n">
        <x:v>20000</x:v>
      </x:c>
      <x:c r="E19" s="17" t="str">
        <x:v>吨/年</x:v>
      </x:c>
      <x:c r="F19" s="17" t="str">
        <x:v>2025年环评批复</x:v>
      </x:c>
      <x:c r="G19" s="17" t="str">
        <x:v>陕西宝鸡</x:v>
      </x:c>
      <x:c r="H19" s="17" t="str">
        <x:v>至合创顺</x:v>
      </x:c>
      <x:c r="I19" s="22" t="str">
        <x:v>B-已核验</x:v>
      </x:c>
      <x:c r="J19" s="17" t="str">
        <x:v>容量与投资对标</x:v>
      </x:c>
      <x:c r="K19" s="17" t="str">
        <x:v>同项目梯次利用亦为2万吨/年</x:v>
      </x:c>
      <x:c r="L19" s="17" t="str">
        <x:v>https://www.baoji.gov.cn/col9816/col9817/col9846/col9853/202510/t20251011_1217742.html</x:v>
      </x:c>
    </x:row>
    <x:row r="20" ht="24" hidden="0" customHeight="1">
      <x:c r="A20" s="17" t="str">
        <x:v>V17</x:v>
      </x:c>
      <x:c r="B20" s="17" t="str">
        <x:v>对标项目</x:v>
      </x:c>
      <x:c r="C20" s="17" t="str">
        <x:v>动力电池回收+梯次项目总投资</x:v>
      </x:c>
      <x:c r="D20" s="21" t="n">
        <x:v>11000</x:v>
      </x:c>
      <x:c r="E20" s="17" t="str">
        <x:v>万元</x:v>
      </x:c>
      <x:c r="F20" s="17" t="str">
        <x:v>2025年环评批复</x:v>
      </x:c>
      <x:c r="G20" s="17" t="str">
        <x:v>陕西宝鸡</x:v>
      </x:c>
      <x:c r="H20" s="17" t="str">
        <x:v>至合创顺</x:v>
      </x:c>
      <x:c r="I20" s="22" t="str">
        <x:v>B-已核验</x:v>
      </x:c>
      <x:c r="J20" s="17" t="str">
        <x:v>固定成本区间校准</x:v>
      </x:c>
      <x:c r="K20" s="17" t="str">
        <x:v>包含拆解、破碎、梯次多条线，不可直接等同单一设施</x:v>
      </x:c>
      <x:c r="L20" s="17" t="str">
        <x:v>https://www.baoji.gov.cn/col9816/col9817/col9846/col9853/202510/t20251011_1217742.html</x:v>
      </x:c>
    </x:row>
    <x:row r="21" ht="24" hidden="0" customHeight="1">
      <x:c r="A21" s="17" t="str">
        <x:v>V18</x:v>
      </x:c>
      <x:c r="B21" s="17" t="str">
        <x:v>对标项目</x:v>
      </x:c>
      <x:c r="C21" s="17" t="str">
        <x:v>废旧动力电池包回收拆分能力</x:v>
      </x:c>
      <x:c r="D21" s="21" t="n">
        <x:v>20000</x:v>
      </x:c>
      <x:c r="E21" s="17" t="str">
        <x:v>吨/年</x:v>
      </x:c>
      <x:c r="F21" s="17" t="str">
        <x:v>2023年环评批复</x:v>
      </x:c>
      <x:c r="G21" s="17" t="str">
        <x:v>湖北武汉</x:v>
      </x:c>
      <x:c r="H21" s="17" t="str">
        <x:v>武汉希冀锂能</x:v>
      </x:c>
      <x:c r="I21" s="22" t="str">
        <x:v>B-已核验</x:v>
      </x:c>
      <x:c r="J21" s="17" t="str">
        <x:v>容量/投资对标</x:v>
      </x:c>
      <x:c r="K21" s="17" t="str">
        <x:v>项目含梯次产品线</x:v>
      </x:c>
      <x:c r="L21" s="17" t="str">
        <x:v>https://www.caidian.gov.cn/zwgk/xxgkml/zdxm/hjsp_/202308/t20230825_2253391.shtml</x:v>
      </x:c>
    </x:row>
    <x:row r="22" ht="24" hidden="0" customHeight="1">
      <x:c r="A22" s="17" t="str">
        <x:v>V19</x:v>
      </x:c>
      <x:c r="B22" s="17" t="str">
        <x:v>对标项目</x:v>
      </x:c>
      <x:c r="C22" s="17" t="str">
        <x:v>武汉回收与梯次项目总投资</x:v>
      </x:c>
      <x:c r="D22" s="21" t="n">
        <x:v>5000</x:v>
      </x:c>
      <x:c r="E22" s="17" t="str">
        <x:v>万元</x:v>
      </x:c>
      <x:c r="F22" s="17" t="str">
        <x:v>2023年环评批复</x:v>
      </x:c>
      <x:c r="G22" s="17" t="str">
        <x:v>湖北武汉</x:v>
      </x:c>
      <x:c r="H22" s="17" t="str">
        <x:v>武汉希冀锂能</x:v>
      </x:c>
      <x:c r="I22" s="22" t="str">
        <x:v>B-已核验</x:v>
      </x:c>
      <x:c r="J22" s="17" t="str">
        <x:v>固定成本区间校准</x:v>
      </x:c>
      <x:c r="K22" s="17" t="str">
        <x:v>租赁既有厂房，资本开支不可与新建项目简单比较</x:v>
      </x:c>
      <x:c r="L22" s="17" t="str">
        <x:v>https://www.caidian.gov.cn/zwgk/xxgkml/zdxm/hjsp_/202308/t20230825_2253391.shtml</x:v>
      </x:c>
    </x:row>
    <x:row r="23" ht="24" hidden="0" customHeight="1">
      <x:c r="A23" s="17" t="str">
        <x:v>V20</x:v>
      </x:c>
      <x:c r="B23" s="17" t="str">
        <x:v>区域政策</x:v>
      </x:c>
      <x:c r="C23" s="17" t="str">
        <x:v>比亚迪已在深圳龙岗、汕头濠江等设回收网点</x:v>
      </x:c>
      <x:c r="D23" s="21" t="str">
        <x:v>已确认</x:v>
      </x:c>
      <x:c r="E23" s="17" t="str">
        <x:v>文本</x:v>
      </x:c>
      <x:c r="F23" s="17" t="str">
        <x:v>广东省发改委答复</x:v>
      </x:c>
      <x:c r="G23" s="17" t="str">
        <x:v>广东</x:v>
      </x:c>
      <x:c r="H23" s="17" t="str">
        <x:v>比亚迪</x:v>
      </x:c>
      <x:c r="I23" s="22" t="str">
        <x:v>A-已核验</x:v>
      </x:c>
      <x:c r="J23" s="17" t="str">
        <x:v>真实候选点证据</x:v>
      </x:c>
      <x:c r="K23" s="17" t="str">
        <x:v>仍需从比亚迪回收点页面提取完整地址</x:v>
      </x:c>
      <x:c r="L23" s="17" t="str">
        <x:v>https://drc.gd.gov.cn/gkmlpt/content/4/4467/post_4467293.html</x:v>
      </x:c>
    </x:row>
    <x:row r="24" ht="24" hidden="0" customHeight="1">
      <x:c r="A24" s="17" t="str">
        <x:v>V21</x:v>
      </x:c>
      <x:c r="B24" s="17" t="str">
        <x:v>区域市场</x:v>
      </x:c>
      <x:c r="C24" s="17" t="str">
        <x:v>广东新能源汽车零售量</x:v>
      </x:c>
      <x:c r="D24" s="21" t="n">
        <x:v>91.6</x:v>
      </x:c>
      <x:c r="E24" s="17" t="str">
        <x:v>万辆</x:v>
      </x:c>
      <x:c r="F24" s="17" t="str">
        <x:v>2023年</x:v>
      </x:c>
      <x:c r="G24" s="17" t="str">
        <x:v>广东</x:v>
      </x:c>
      <x:c r="H24" s="17" t="str">
        <x:v>全行业</x:v>
      </x:c>
      <x:c r="I24" s="23" t="str">
        <x:v>B-协会数据经央媒报道</x:v>
      </x:c>
      <x:c r="J24" s="17" t="str">
        <x:v>城市需求空间校准</x:v>
      </x:c>
      <x:c r="K24" s="17" t="str">
        <x:v>销量不等同保有量或退役量</x:v>
      </x:c>
      <x:c r="L24" s="17" t="str">
        <x:v>https://www.chinanews.com.cn/cj/2024/03-22/10185287.shtml</x:v>
      </x:c>
    </x:row>
    <x:row r="25" ht="24" hidden="0" customHeight="1">
      <x:c r="A25" s="17" t="str">
        <x:v>V22</x:v>
      </x:c>
      <x:c r="B25" s="17" t="str">
        <x:v>区域市场</x:v>
      </x:c>
      <x:c r="C25" s="17" t="str">
        <x:v>广州新能源汽车零售量</x:v>
      </x:c>
      <x:c r="D25" s="21" t="n">
        <x:v>23.5</x:v>
      </x:c>
      <x:c r="E25" s="17" t="str">
        <x:v>万辆</x:v>
      </x:c>
      <x:c r="F25" s="17" t="str">
        <x:v>2023年</x:v>
      </x:c>
      <x:c r="G25" s="17" t="str">
        <x:v>广州</x:v>
      </x:c>
      <x:c r="H25" s="17" t="str">
        <x:v>全行业</x:v>
      </x:c>
      <x:c r="I25" s="23" t="str">
        <x:v>B-协会数据经央媒报道</x:v>
      </x:c>
      <x:c r="J25" s="17" t="str">
        <x:v>城市权重直接观测值</x:v>
      </x:c>
      <x:c r="K25" s="17" t="str">
        <x:v>不是比亚迪销量</x:v>
      </x:c>
      <x:c r="L25" s="17" t="str">
        <x:v>https://www.chinanews.com.cn/cj/2024/03-22/10185287.shtml</x:v>
      </x:c>
    </x:row>
    <x:row r="26" ht="24" hidden="0" customHeight="1">
      <x:c r="A26" s="17" t="str">
        <x:v>V23</x:v>
      </x:c>
      <x:c r="B26" s="17" t="str">
        <x:v>区域市场</x:v>
      </x:c>
      <x:c r="C26" s="17" t="str">
        <x:v>深圳新能源汽车零售量</x:v>
      </x:c>
      <x:c r="D26" s="21" t="n">
        <x:v>22.7</x:v>
      </x:c>
      <x:c r="E26" s="17" t="str">
        <x:v>万辆</x:v>
      </x:c>
      <x:c r="F26" s="17" t="str">
        <x:v>2023年</x:v>
      </x:c>
      <x:c r="G26" s="17" t="str">
        <x:v>深圳</x:v>
      </x:c>
      <x:c r="H26" s="17" t="str">
        <x:v>全行业</x:v>
      </x:c>
      <x:c r="I26" s="23" t="str">
        <x:v>B-协会数据经央媒报道</x:v>
      </x:c>
      <x:c r="J26" s="17" t="str">
        <x:v>城市权重直接观测值</x:v>
      </x:c>
      <x:c r="K26" s="17" t="str">
        <x:v>不是比亚迪销量</x:v>
      </x:c>
      <x:c r="L26" s="17" t="str">
        <x:v>https://www.chinanews.com.cn/cj/2024/03-22/10185287.shtml</x:v>
      </x:c>
    </x:row>
    <x:row r="27" ht="24" hidden="0" customHeight="1">
      <x:c r="A27" s="17" t="str">
        <x:v>V24</x:v>
      </x:c>
      <x:c r="B27" s="17" t="str">
        <x:v>规范企业</x:v>
      </x:c>
      <x:c r="C27" s="17" t="str">
        <x:v>第五批广东规范企业</x:v>
      </x:c>
      <x:c r="D27" s="21" t="n">
        <x:v>8</x:v>
      </x:c>
      <x:c r="E27" s="17" t="str">
        <x:v>家</x:v>
      </x:c>
      <x:c r="F27" s="17" t="str">
        <x:v>2023年第43号公告；按法人主体计</x:v>
      </x:c>
      <x:c r="G27" s="17" t="str">
        <x:v>广东</x:v>
      </x:c>
      <x:c r="H27" s="17" t="str">
        <x:v>工信部</x:v>
      </x:c>
      <x:c r="I27" s="22" t="str">
        <x:v>A-已核验</x:v>
      </x:c>
      <x:c r="J27" s="17" t="str">
        <x:v>更新候选梯次/再生设施</x:v>
      </x:c>
      <x:c r="K27" s="17" t="str">
        <x:v>双类型企业在模型中拆成两个功能节点</x:v>
      </x:c>
      <x:c r="L27" s="17" t="str">
        <x:v>https://www.miit.gov.cn/cms_files/filemanager/1226211233/attach/20238/77f5d7ade1bf4ca9b32ac9e430e2725d.pdf</x:v>
      </x:c>
    </x:row>
    <x:row r="28" ht="24" hidden="0" customHeight="1">
      <x:c r="A28" s="17" t="str">
        <x:v>V25</x:v>
      </x:c>
      <x:c r="B28" s="17" t="str">
        <x:v>行业规模</x:v>
      </x:c>
      <x:c r="C28" s="17" t="str">
        <x:v>新能源汽车废旧动力电池综合利用量</x:v>
      </x:c>
      <x:c r="D28" s="21" t="n">
        <x:v>400000</x:v>
      </x:c>
      <x:c r="E28" s="17" t="str">
        <x:v>吨以上</x:v>
      </x:c>
      <x:c r="F28" s="17" t="str">
        <x:v>2025年</x:v>
      </x:c>
      <x:c r="G28" s="17" t="str">
        <x:v>中国</x:v>
      </x:c>
      <x:c r="H28" s="17" t="str">
        <x:v>工信部新闻发布会</x:v>
      </x:c>
      <x:c r="I28" s="22" t="str">
        <x:v>A-已核验</x:v>
      </x:c>
      <x:c r="J28" s="17" t="str">
        <x:v>全国规模合理性背景</x:v>
      </x:c>
      <x:c r="K28" s="17" t="str">
        <x:v>不是广东或比亚迪处理量</x:v>
      </x:c>
      <x:c r="L28" s="17" t="str">
        <x:v>https://www.miit.gov.cn/xwfb/xwfbh/bxwfbh/art/2026/art_c5c9031e409e468eb4004d82fd394241.html</x:v>
      </x:c>
    </x:row>
    <x:row r="29" ht="15" hidden="0" customHeight="1">
      <x:c r="A29" s="17" t="str">
        <x:v>V26</x:v>
      </x:c>
      <x:c r="B29" s="17" t="str">
        <x:v>技术参数</x:v>
      </x:c>
      <x:c r="C29" s="17" t="str">
        <x:v>混合动力乘用车平均电池质量</x:v>
      </x:c>
      <x:c r="D29" s="21" t="n">
        <x:v>275</x:v>
      </x:c>
      <x:c r="E29" s="17" t="str">
        <x:v>kg/辆</x:v>
      </x:c>
      <x:c r="F29" s="17" t="str">
        <x:v>文献表4</x:v>
      </x:c>
      <x:c r="G29" s="17" t="str">
        <x:v>中国</x:v>
      </x:c>
      <x:c r="H29" s="17" t="str">
        <x:v>同行评议文献</x:v>
      </x:c>
      <x:c r="I29" s="23" t="str">
        <x:v>C-文献参数</x:v>
      </x:c>
      <x:c r="J29" s="17" t="str">
        <x:v>退役量低情景换算</x:v>
      </x:c>
      <x:c r="K29" s="17" t="str">
        <x:v>车型结构变化较大，须做敏感性</x:v>
      </x:c>
      <x:c r="L29" s="17" t="str">
        <x:v>https://doi.org/10.12153/j.issn.1674-991X.2018.10.090</x:v>
      </x:c>
    </x:row>
    <x:row r="30" ht="15" hidden="0" customHeight="1">
      <x:c r="A30" s="17" t="str">
        <x:v>V27</x:v>
      </x:c>
      <x:c r="B30" s="17" t="str">
        <x:v>技术参数</x:v>
      </x:c>
      <x:c r="C30" s="17" t="str">
        <x:v>纯电动乘用车平均电池质量</x:v>
      </x:c>
      <x:c r="D30" s="21" t="n">
        <x:v>550</x:v>
      </x:c>
      <x:c r="E30" s="17" t="str">
        <x:v>kg/辆</x:v>
      </x:c>
      <x:c r="F30" s="17" t="str">
        <x:v>文献表4</x:v>
      </x:c>
      <x:c r="G30" s="17" t="str">
        <x:v>中国</x:v>
      </x:c>
      <x:c r="H30" s="17" t="str">
        <x:v>同行评议文献</x:v>
      </x:c>
      <x:c r="I30" s="23" t="str">
        <x:v>C-文献参数</x:v>
      </x:c>
      <x:c r="J30" s="17" t="str">
        <x:v>退役量高情景换算</x:v>
      </x:c>
      <x:c r="K30" s="17" t="str">
        <x:v>车型结构变化较大，须做敏感性</x:v>
      </x:c>
      <x:c r="L30" s="17" t="str">
        <x:v>https://doi.org/10.12153/j.issn.1674-991X.2018.10.090</x:v>
      </x:c>
    </x:row>
    <x:row r="31" ht="24" hidden="0" customHeight="1">
      <x:c r="A31" s="51" t="str">
        <x:v>V28</x:v>
      </x:c>
      <x:c r="B31" s="51" t="str">
        <x:v>企业回收网络</x:v>
      </x:c>
      <x:c r="C31" s="51" t="str">
        <x:v>比亚迪官网公开企业回收点</x:v>
      </x:c>
      <x:c r="D31" s="52" t="n">
        <x:v>13</x:v>
      </x:c>
      <x:c r="E31" s="51" t="str">
        <x:v>个</x:v>
      </x:c>
      <x:c r="F31" s="51" t="str">
        <x:v>官网接口于2026-08-15查询；全国口径</x:v>
      </x:c>
      <x:c r="G31" s="51" t="str">
        <x:v>中国</x:v>
      </x:c>
      <x:c r="H31" s="51" t="str">
        <x:v>比亚迪</x:v>
      </x:c>
      <x:c r="I31" s="51" t="str">
        <x:v>A-官网当前值</x:v>
      </x:c>
      <x:c r="J31" s="51" t="str">
        <x:v>核验官方公开点规模</x:v>
      </x:c>
      <x:c r="K31" s="51" t="str">
        <x:v>仅为官网当前企业回收点，不等于2300+售后网点，也不等于全部合作点</x:v>
      </x:c>
      <x:c r="L31" s="51" t="str">
        <x:v>https://www.bydglobal.com/cn/SocialResponsibility/BatteryRecycle.html</x:v>
      </x:c>
    </x:row>
    <x:row r="32" ht="15" hidden="0" customHeight="1">
      <x:c r="A32" s="51" t="str">
        <x:v>V29</x:v>
      </x:c>
      <x:c r="B32" s="51" t="str">
        <x:v>企业回收网络</x:v>
      </x:c>
      <x:c r="C32" s="51" t="str">
        <x:v>比亚迪官网公开广东企业回收点</x:v>
      </x:c>
      <x:c r="D32" s="52" t="n">
        <x:v>3</x:v>
      </x:c>
      <x:c r="E32" s="51" t="str">
        <x:v>个</x:v>
      </x:c>
      <x:c r="F32" s="51" t="str">
        <x:v>官网接口于2026-08-15查询</x:v>
      </x:c>
      <x:c r="G32" s="51" t="str">
        <x:v>广东</x:v>
      </x:c>
      <x:c r="H32" s="51" t="str">
        <x:v>比亚迪</x:v>
      </x:c>
      <x:c r="I32" s="51" t="str">
        <x:v>A-官网当前值</x:v>
      </x:c>
      <x:c r="J32" s="51" t="str">
        <x:v>真实前端锚点</x:v>
      </x:c>
      <x:c r="K32" s="51" t="str">
        <x:v>官网公开点为深圳、广州、汕头；未披露容量</x:v>
      </x:c>
      <x:c r="L32" s="51" t="str">
        <x:v>https://www.bydglobal.com/cn/SocialResponsibility/BatteryRecycle.html</x:v>
      </x:c>
    </x:row>
    <x:row r="33" ht="15" hidden="0" customHeight="1">
      <x:c r="A33" s="51" t="str">
        <x:v>V30</x:v>
      </x:c>
      <x:c r="B33" s="51" t="str">
        <x:v>企业回收网络</x:v>
      </x:c>
      <x:c r="C33" s="51" t="str">
        <x:v>深圳市比亚迪锂电池有限公司回收点</x:v>
      </x:c>
      <x:c r="D33" s="52" t="str">
        <x:v>宝荷路3001号</x:v>
      </x:c>
      <x:c r="E33" s="51" t="str">
        <x:v>地址</x:v>
      </x:c>
      <x:c r="F33" s="51" t="str">
        <x:v>官网当前展示</x:v>
      </x:c>
      <x:c r="G33" s="51" t="str">
        <x:v>深圳龙岗</x:v>
      </x:c>
      <x:c r="H33" s="51" t="str">
        <x:v>比亚迪</x:v>
      </x:c>
      <x:c r="I33" s="51" t="str">
        <x:v>A-地址；B-坐标</x:v>
      </x:c>
      <x:c r="J33" s="51" t="str">
        <x:v>真实前端锚点</x:v>
      </x:c>
      <x:c r="K33" s="51" t="str">
        <x:v>官网地址已核验；坐标来自公开地图检索</x:v>
      </x:c>
      <x:c r="L33" s="51" t="str">
        <x:v>https://www.amap.com/place/B02F38JOBL</x:v>
      </x:c>
    </x:row>
    <x:row r="34" ht="24" hidden="0" customHeight="1">
      <x:c r="A34" s="51" t="str">
        <x:v>V31</x:v>
      </x:c>
      <x:c r="B34" s="51" t="str">
        <x:v>企业回收网络</x:v>
      </x:c>
      <x:c r="C34" s="51" t="str">
        <x:v>广州广汽比亚迪新能源客车有限公司回收点</x:v>
      </x:c>
      <x:c r="D34" s="52" t="str">
        <x:v>明珠大道北6号</x:v>
      </x:c>
      <x:c r="E34" s="51" t="str">
        <x:v>地址</x:v>
      </x:c>
      <x:c r="F34" s="51" t="str">
        <x:v>官网当前展示</x:v>
      </x:c>
      <x:c r="G34" s="51" t="str">
        <x:v>广州从化</x:v>
      </x:c>
      <x:c r="H34" s="51" t="str">
        <x:v>广汽比亚迪</x:v>
      </x:c>
      <x:c r="I34" s="51" t="str">
        <x:v>A-地址；A/B-坐标</x:v>
      </x:c>
      <x:c r="J34" s="51" t="str">
        <x:v>真实前端锚点</x:v>
      </x:c>
      <x:c r="K34" s="51" t="str">
        <x:v>坐标取政府环评项目中心点，非厂界测绘</x:v>
      </x:c>
      <x:c r="L34" s="51" t="str">
        <x:v>https://sthjj.gz.gov.cn/attachment/7/7895/7895332/10165629.pdf</x:v>
      </x:c>
    </x:row>
    <x:row r="35" ht="15" hidden="0" customHeight="1">
      <x:c r="A35" s="51" t="str">
        <x:v>V32</x:v>
      </x:c>
      <x:c r="B35" s="51" t="str">
        <x:v>企业回收网络</x:v>
      </x:c>
      <x:c r="C35" s="51" t="str">
        <x:v>汕头比亚迪实业有限公司回收点</x:v>
      </x:c>
      <x:c r="D35" s="52" t="str">
        <x:v>致业路1号</x:v>
      </x:c>
      <x:c r="E35" s="51" t="str">
        <x:v>地址</x:v>
      </x:c>
      <x:c r="F35" s="51" t="str">
        <x:v>官网当前展示</x:v>
      </x:c>
      <x:c r="G35" s="51" t="str">
        <x:v>汕头濠江</x:v>
      </x:c>
      <x:c r="H35" s="51" t="str">
        <x:v>比亚迪</x:v>
      </x:c>
      <x:c r="I35" s="51" t="str">
        <x:v>A-地址；C-坐标</x:v>
      </x:c>
      <x:c r="J35" s="51" t="str">
        <x:v>真实前端锚点</x:v>
      </x:c>
      <x:c r="K35" s="51" t="str">
        <x:v>坐标来自公开地理数据，正式路由前宜人工复核</x:v>
      </x:c>
      <x:c r="L35" s="51" t="str">
        <x:v>https://www.cndatatrading.com/data/m/meteorological/NEA-rtb.html</x:v>
      </x:c>
    </x:row>
    <x:row r="36" ht="24" hidden="0" customHeight="1">
      <x:c r="A36" s="51" t="str">
        <x:v>V33</x:v>
      </x:c>
      <x:c r="B36" s="51" t="str">
        <x:v>政策</x:v>
      </x:c>
      <x:c r="C36" s="51" t="str">
        <x:v>现行办法不再采用‘梯次利用’概念</x:v>
      </x:c>
      <x:c r="D36" s="52" t="str">
        <x:v>已确认</x:v>
      </x:c>
      <x:c r="E36" s="51" t="str">
        <x:v>文本</x:v>
      </x:c>
      <x:c r="F36" s="51" t="str">
        <x:v>2026-04-01起施行</x:v>
      </x:c>
      <x:c r="G36" s="51" t="str">
        <x:v>中国</x:v>
      </x:c>
      <x:c r="H36" s="51" t="str">
        <x:v>工信部等六部门</x:v>
      </x:c>
      <x:c r="I36" s="51" t="str">
        <x:v>A-已核验</x:v>
      </x:c>
      <x:c r="J36" s="51" t="str">
        <x:v>政策边界/术语修订</x:v>
      </x:c>
      <x:c r="K36" s="51" t="str">
        <x:v>废旧电芯制成产品应符合对应产品质量标准；历史研究术语应标明时点</x:v>
      </x:c>
      <x:c r="L36" s="51" t="str">
        <x:v>https://www.miit.gov.cn/xwfb/xwfbh/bxwfbh/art/2026/art_c5c9031e409e468eb4004d82fd394241.html</x:v>
      </x:c>
    </x:row>
    <x:row r="37" ht="24" hidden="0" customHeight="1">
      <x:c r="A37" s="51" t="str">
        <x:v>V34</x:v>
      </x:c>
      <x:c r="B37" s="51" t="str">
        <x:v>政策</x:v>
      </x:c>
      <x:c r="C37" s="51" t="str">
        <x:v>2026年第20号公告取消梯次利用规范企业公告管理</x:v>
      </x:c>
      <x:c r="D37" s="52" t="str">
        <x:v>已确认</x:v>
      </x:c>
      <x:c r="E37" s="51" t="str">
        <x:v>文本</x:v>
      </x:c>
      <x:c r="F37" s="51" t="str">
        <x:v>2026-07-30</x:v>
      </x:c>
      <x:c r="G37" s="51" t="str">
        <x:v>中国</x:v>
      </x:c>
      <x:c r="H37" s="51" t="str">
        <x:v>工业和信息化部</x:v>
      </x:c>
      <x:c r="I37" s="51" t="str">
        <x:v>B-公告转引待官方直链归档</x:v>
      </x:c>
      <x:c r="J37" s="51" t="str">
        <x:v>现行情景候选集更新</x:v>
      </x:c>
      <x:c r="K37" s="51" t="str">
        <x:v>原梯次企业从公告名单移出；原再生利用规范企业继续有效</x:v>
      </x:c>
      <x:c r="L37" s="51" t="str">
        <x:v>https://news.smm.cn/news/104034391</x:v>
      </x:c>
    </x:row>
    <x:row r="38" ht="15" hidden="0" customHeight="1">
      <x:c r="A38" s="51" t="str">
        <x:v>V35</x:v>
      </x:c>
      <x:c r="B38" s="51" t="str">
        <x:v>道路网络</x:v>
      </x:c>
      <x:c r="C38" s="51" t="str">
        <x:v>两层网络道路距离已计算</x:v>
      </x:c>
      <x:c r="D38" s="52" t="n">
        <x:v>945</x:v>
      </x:c>
      <x:c r="E38" s="51" t="str">
        <x:v>条弧</x:v>
      </x:c>
      <x:c r="F38" s="51" t="str">
        <x:v>OSRM driving/car；2026-08-15</x:v>
      </x:c>
      <x:c r="G38" s="51" t="str">
        <x:v>广东</x:v>
      </x:c>
      <x:c r="H38" s="51" t="str">
        <x:v>开放路网</x:v>
      </x:c>
      <x:c r="I38" s="51" t="str">
        <x:v>C-可复现计算</x:v>
      </x:c>
      <x:c r="J38" s="51" t="str">
        <x:v>替换Haversine×1.2并重跑</x:v>
      </x:c>
      <x:c r="K38" s="51" t="str">
        <x:v>不是货车限行、危运资质、收费与实时路况路线</x:v>
      </x:c>
      <x:c r="L38" s="51" t="str">
        <x:v>https://project-osrm.org/docs/v5.24.0/api/#table-service</x:v>
      </x:c>
    </x:row>
    <x:row r="39" ht="15" hidden="0" customHeight="1">
      <x:c r="A39" s="51" t="str">
        <x:v>V36</x:v>
      </x:c>
      <x:c r="B39" s="51" t="str">
        <x:v>既有设施</x:v>
      </x:c>
      <x:c r="C39" s="51" t="str">
        <x:v>汕尾比亚迪项目现有项目及许可证据</x:v>
      </x:c>
      <x:c r="D39" s="52" t="str">
        <x:v>已确认</x:v>
      </x:c>
      <x:c r="E39" s="51" t="str">
        <x:v>文本</x:v>
      </x:c>
      <x:c r="F39" s="51" t="str">
        <x:v>2025/2026政府环评材料</x:v>
      </x:c>
      <x:c r="G39" s="51" t="str">
        <x:v>广东汕尾</x:v>
      </x:c>
      <x:c r="H39" s="51" t="str">
        <x:v>汕尾比亚迪</x:v>
      </x:c>
      <x:c r="I39" s="51" t="str">
        <x:v>A-政府材料</x:v>
      </x:c>
      <x:c r="J39" s="51" t="str">
        <x:v>增强P01既有设施设定</x:v>
      </x:c>
      <x:c r="K39" s="51" t="str">
        <x:v>许可/现有项目证据不等于实际开工率或实际年处理量</x:v>
      </x:c>
      <x:c r="L39" s="51" t="str">
        <x:v>https://www.shanwei.gov.cn/attachment/0/84/84827/1245132.pdf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5" hidden="0" customWidth="1"/>
    <x:col min="6" max="6" width="11" hidden="0" customWidth="1"/>
    <x:col min="7" max="7" width="18" hidden="0" customWidth="1"/>
    <x:col min="8" max="8" width="11" hidden="0" customWidth="1"/>
    <x:col min="9" max="9" width="18" hidden="0" customWidth="1"/>
    <x:col min="10" max="10" width="11" hidden="0" customWidth="1"/>
    <x:col min="11" max="11" width="14" hidden="0" customWidth="1"/>
    <x:col min="12" max="12" width="18" hidden="0" customWidth="1"/>
    <x:col min="13" max="13" width="14" hidden="0" customWidth="1"/>
    <x:col min="14" max="14" width="22" hidden="0" customWidth="1"/>
    <x:col min="15" max="15" width="14" hidden="0" customWidth="1"/>
    <x:col min="16" max="16" width="18" hidden="0" customWidth="1"/>
    <x:col min="17" max="17" width="14" hidden="0" customWidth="1"/>
    <x:col min="18" max="18" width="18" hidden="0" customWidth="1"/>
    <x:col min="19" max="19" width="30" hidden="0" customWidth="1"/>
  </x:cols>
  <x:sheetData>
    <x:row r="1" ht="30" customHeight="1">
      <x:c r="A1" s="4" t="str">
        <x:v>广东21市需求节点与统一权重情景（2024 GDP + 2020人口 + 2023 NEV零售代理）</x:v>
      </x:c>
      <x:c r="B1" s="4" t="str">
        <x:v>广东21市需求节点与统一权重情景（2024 GDP + 2020人口 + 2023 NEV零售代理）</x:v>
      </x:c>
      <x:c r="C1" s="4" t="str">
        <x:v>广东21市需求节点与统一权重情景（2024 GDP + 2020人口 + 2023 NEV零售代理）</x:v>
      </x:c>
      <x:c r="D1" s="4" t="str">
        <x:v>广东21市需求节点与统一权重情景（2024 GDP + 2020人口 + 2023 NEV零售代理）</x:v>
      </x:c>
      <x:c r="E1" s="4" t="str">
        <x:v>广东21市需求节点与统一权重情景（2024 GDP + 2020人口 + 2023 NEV零售代理）</x:v>
      </x:c>
      <x:c r="F1" s="4" t="str">
        <x:v>广东21市需求节点与统一权重情景（2024 GDP + 2020人口 + 2023 NEV零售代理）</x:v>
      </x:c>
      <x:c r="G1" s="4" t="str">
        <x:v>广东21市需求节点与统一权重情景（2024 GDP + 2020人口 + 2023 NEV零售代理）</x:v>
      </x:c>
      <x:c r="H1" s="4" t="str">
        <x:v>广东21市需求节点与统一权重情景（2024 GDP + 2020人口 + 2023 NEV零售代理）</x:v>
      </x:c>
      <x:c r="I1" s="4" t="str">
        <x:v>广东21市需求节点与统一权重情景（2024 GDP + 2020人口 + 2023 NEV零售代理）</x:v>
      </x:c>
      <x:c r="J1" s="4" t="str">
        <x:v>广东21市需求节点与统一权重情景（2024 GDP + 2020人口 + 2023 NEV零售代理）</x:v>
      </x:c>
      <x:c r="K1" s="4" t="str">
        <x:v>广东21市需求节点与统一权重情景（2024 GDP + 2020人口 + 2023 NEV零售代理）</x:v>
      </x:c>
      <x:c r="L1" s="4" t="str">
        <x:v>广东21市需求节点与统一权重情景（2024 GDP + 2020人口 + 2023 NEV零售代理）</x:v>
      </x:c>
      <x:c r="M1" s="4" t="str">
        <x:v>广东21市需求节点与统一权重情景（2024 GDP + 2020人口 + 2023 NEV零售代理）</x:v>
      </x:c>
      <x:c r="N1" s="4" t="str">
        <x:v>广东21市需求节点与统一权重情景（2024 GDP + 2020人口 + 2023 NEV零售代理）</x:v>
      </x:c>
      <x:c r="O1" s="4" t="str">
        <x:v>广东21市需求节点与统一权重情景（2024 GDP + 2020人口 + 2023 NEV零售代理）</x:v>
      </x:c>
      <x:c r="P1" s="4" t="str">
        <x:v>广东21市需求节点与统一权重情景（2024 GDP + 2020人口 + 2023 NEV零售代理）</x:v>
      </x:c>
      <x:c r="Q1" s="4" t="str">
        <x:v>广东21市需求节点与统一权重情景（2024 GDP + 2020人口 + 2023 NEV零售代理）</x:v>
      </x:c>
      <x:c r="R1" s="4" t="str">
        <x:v>广东21市需求节点与统一权重情景（2024 GDP + 2020人口 + 2023 NEV零售代理）</x:v>
      </x:c>
      <x:c r="S1" s="4" t="str">
        <x:v>广东21市需求节点与统一权重情景（2024 GDP + 2020人口 + 2023 NEV零售代理）</x:v>
      </x:c>
    </x:row>
    <x:row r="2">
      <x:c r="A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B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C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D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E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F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G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H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I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J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K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L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M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N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O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P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Q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R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  <x:c r="S2" s="20" t="str">
        <x:v>NEV列不是21市实测保有量：广州、深圳为直接披露；汕头、中山、珠海由汽车零售×公开渗透率计算；其余城市把省级NEV零售残差按汽车零售量分配。S3是BYD城市空间代理，不是比亚迪上牌量。</x:v>
      </x:c>
    </x:row>
    <x:row r="4" ht="28" customHeight="1">
      <x:c r="A4" s="14" t="str">
        <x:v>城市ID</x:v>
      </x:c>
      <x:c r="B4" s="14" t="str">
        <x:v>城市</x:v>
      </x:c>
      <x:c r="C4" s="14" t="str">
        <x:v>经度</x:v>
      </x:c>
      <x:c r="D4" s="14" t="str">
        <x:v>纬度</x:v>
      </x:c>
      <x:c r="E4" s="14" t="str">
        <x:v>2024 GDP(亿元)</x:v>
      </x:c>
      <x:c r="F4" s="14" t="str">
        <x:v>GDP份额</x:v>
      </x:c>
      <x:c r="G4" s="14" t="str">
        <x:v>2020常住人口(万人)</x:v>
      </x:c>
      <x:c r="H4" s="14" t="str">
        <x:v>人口份额</x:v>
      </x:c>
      <x:c r="I4" s="14" t="str">
        <x:v>2023 NEV零售代理(万辆)</x:v>
      </x:c>
      <x:c r="J4" s="14" t="str">
        <x:v>NEV份额</x:v>
      </x:c>
      <x:c r="K4" s="14" t="str">
        <x:v>BYD真实回收点数</x:v>
      </x:c>
      <x:c r="L4" s="14" t="str">
        <x:v>S1原始分数
GDP50%+人口50%</x:v>
      </x:c>
      <x:c r="M4" s="14" t="str">
        <x:v>S1归一化权重</x:v>
      </x:c>
      <x:c r="N4" s="14" t="str">
        <x:v>S2原始分数
NEV60%+人口20%+GDP20%</x:v>
      </x:c>
      <x:c r="O4" s="14" t="str">
        <x:v>S2归一化权重</x:v>
      </x:c>
      <x:c r="P4" s="14" t="str">
        <x:v>BYD城市需求代理指数</x:v>
      </x:c>
      <x:c r="Q4" s="14" t="str">
        <x:v>S3 BYD代理权重</x:v>
      </x:c>
      <x:c r="R4" s="14" t="str">
        <x:v>S3基准退役量
(估算吨/年)</x:v>
      </x:c>
      <x:c r="S4" s="14" t="str">
        <x:v>数据状态</x:v>
      </x:c>
    </x:row>
    <x:row r="5">
      <x:c r="A5" s="17" t="str">
        <x:v>GD01</x:v>
      </x:c>
      <x:c r="B5" s="17" t="str">
        <x:v>广州</x:v>
      </x:c>
      <x:c r="C5" s="24" t="n">
        <x:v>113.2589581</x:v>
      </x:c>
      <x:c r="D5" s="24" t="n">
        <x:v>23.1288429</x:v>
      </x:c>
      <x:c r="E5" s="21" t="n">
        <x:v>31032.5</x:v>
      </x:c>
      <x:c r="F5" s="25" t="n">
        <x:f>E5/SUM($E$5:$E$25)</x:f>
        <x:v>0.21910375778212848</x:v>
      </x:c>
      <x:c r="G5" s="21" t="n">
        <x:v>1867.6605</x:v>
      </x:c>
      <x:c r="H5" s="25" t="n">
        <x:f>G5/SUM($G$5:$G$25)</x:f>
        <x:v>0.14821230844461394</x:v>
      </x:c>
      <x:c r="I5" s="28" t="n">
        <x:v>23.5</x:v>
      </x:c>
      <x:c r="J5" s="29" t="n">
        <x:f>I5/SUM($I$5:$I$25)</x:f>
        <x:v>0.25655021834061137</x:v>
      </x:c>
      <x:c r="K5" s="28"/>
      <x:c r="L5" s="25" t="n">
        <x:f>0.5*F5+0.5*H5</x:f>
        <x:v>0.1836580331133712</x:v>
      </x:c>
      <x:c r="M5" s="25" t="n">
        <x:f>L5/SUM($L$5:$L$25)</x:f>
        <x:v>0.1836580331133712</x:v>
      </x:c>
      <x:c r="N5" s="25" t="n">
        <x:f>0.6*J5+0.2*H5+0.2*F5</x:f>
        <x:v>0.2273933442497153</x:v>
      </x:c>
      <x:c r="O5" s="25" t="n">
        <x:f>N5/SUM($N$5:$N$25)</x:f>
        <x:v>0.22739334424971536</x:v>
      </x:c>
      <x:c r="P5" s="28" t="n">
        <x:v>23.5</x:v>
      </x:c>
      <x:c r="Q5" s="25" t="n">
        <x:f>P5/SUM($P$5:$P$25)</x:f>
        <x:v>0.25655021834061137</x:v>
      </x:c>
      <x:c r="R5" s="21" t="n">
        <x:f>Q5*'情景参数模板'!$D$4</x:f>
        <x:v>2255.450982532751</x:v>
      </x:c>
      <x:c r="S5" s="30" t="str">
        <x:v>A-直接披露；BYD为NEV空间代理；坐标为城市级代理</x:v>
      </x:c>
    </x:row>
    <x:row r="6">
      <x:c r="A6" s="17" t="str">
        <x:v>GD02</x:v>
      </x:c>
      <x:c r="B6" s="17" t="str">
        <x:v>深圳</x:v>
      </x:c>
      <x:c r="C6" s="24" t="n">
        <x:v>114.0545429</x:v>
      </x:c>
      <x:c r="D6" s="24" t="n">
        <x:v>22.5445741</x:v>
      </x:c>
      <x:c r="E6" s="21" t="n">
        <x:v>36801.87</x:v>
      </x:c>
      <x:c r="F6" s="25" t="n">
        <x:f>E6/SUM($E$5:$E$25)</x:f>
        <x:v>0.2598381699962743</x:v>
      </x:c>
      <x:c r="G6" s="21" t="n">
        <x:v>1756.0061</x:v>
      </x:c>
      <x:c r="H6" s="25" t="n">
        <x:f>G6/SUM($G$5:$G$25)</x:f>
        <x:v>0.13935172785622635</x:v>
      </x:c>
      <x:c r="I6" s="28" t="n">
        <x:v>22.7</x:v>
      </x:c>
      <x:c r="J6" s="29" t="n">
        <x:f>I6/SUM($I$5:$I$25)</x:f>
        <x:v>0.24781659388646288</x:v>
      </x:c>
      <x:c r="K6" s="28"/>
      <x:c r="L6" s="25" t="n">
        <x:f>0.5*F6+0.5*H6</x:f>
        <x:v>0.19959494892625032</x:v>
      </x:c>
      <x:c r="M6" s="25" t="n">
        <x:f>L6/SUM($L$5:$L$25)</x:f>
        <x:v>0.19959494892625032</x:v>
      </x:c>
      <x:c r="N6" s="25" t="n">
        <x:f>0.6*J6+0.2*H6+0.2*F6</x:f>
        <x:v>0.22852793590237785</x:v>
      </x:c>
      <x:c r="O6" s="25" t="n">
        <x:f>N6/SUM($N$5:$N$25)</x:f>
        <x:v>0.2285279359023779</x:v>
      </x:c>
      <x:c r="P6" s="28" t="n">
        <x:v>22.7</x:v>
      </x:c>
      <x:c r="Q6" s="25" t="n">
        <x:f>P6/SUM($P$5:$P$25)</x:f>
        <x:v>0.24781659388646288</x:v>
      </x:c>
      <x:c r="R6" s="21" t="n">
        <x:f>Q6*'情景参数模板'!$D$4</x:f>
        <x:v>2178.6696724890826</x:v>
      </x:c>
      <x:c r="S6" s="30" t="str">
        <x:v>A-直接披露；BYD为NEV空间代理；坐标为城市级代理</x:v>
      </x:c>
    </x:row>
    <x:row r="7">
      <x:c r="A7" s="17" t="str">
        <x:v>GD03</x:v>
      </x:c>
      <x:c r="B7" s="17" t="str">
        <x:v>珠海</x:v>
      </x:c>
      <x:c r="C7" s="24" t="n">
        <x:v>113.5721327</x:v>
      </x:c>
      <x:c r="D7" s="24" t="n">
        <x:v>22.273734</x:v>
      </x:c>
      <x:c r="E7" s="21" t="n">
        <x:v>4479.06</x:v>
      </x:c>
      <x:c r="F7" s="25" t="n">
        <x:f>E7/SUM($E$5:$E$25)</x:f>
        <x:v>0.03162422870640846</x:v>
      </x:c>
      <x:c r="G7" s="21" t="n">
        <x:v>243.9585</x:v>
      </x:c>
      <x:c r="H7" s="25" t="n">
        <x:f>G7/SUM($G$5:$G$25)</x:f>
        <x:v>0.019359863556404042</x:v>
      </x:c>
      <x:c r="I7" s="28" t="n">
        <x:v>2.769</x:v>
      </x:c>
      <x:c r="J7" s="29" t="n">
        <x:f>I7/SUM($I$5:$I$25)</x:f>
        <x:v>0.0302292576419214</x:v>
      </x:c>
      <x:c r="K7" s="28"/>
      <x:c r="L7" s="25" t="n">
        <x:f>0.5*F7+0.5*H7</x:f>
        <x:v>0.02549204613140625</x:v>
      </x:c>
      <x:c r="M7" s="25" t="n">
        <x:f>L7/SUM($L$5:$L$25)</x:f>
        <x:v>0.02549204613140625</x:v>
      </x:c>
      <x:c r="N7" s="25" t="n">
        <x:f>0.6*J7+0.2*H7+0.2*F7</x:f>
        <x:v>0.02833437303771534</x:v>
      </x:c>
      <x:c r="O7" s="25" t="n">
        <x:f>N7/SUM($N$5:$N$25)</x:f>
        <x:v>0.028334373037715348</x:v>
      </x:c>
      <x:c r="P7" s="28" t="n">
        <x:v>2.769</x:v>
      </x:c>
      <x:c r="Q7" s="25" t="n">
        <x:f>P7/SUM($P$5:$P$25)</x:f>
        <x:v>0.0302292576419214</x:v>
      </x:c>
      <x:c r="R7" s="21" t="n">
        <x:f>Q7*'情景参数模板'!$D$4</x:f>
        <x:v>265.7593093886463</x:v>
      </x:c>
      <x:c r="S7" s="30" t="str">
        <x:v>B-汽车零售×公开渗透率；BYD为NEV空间代理；坐标为城市级代理</x:v>
      </x:c>
    </x:row>
    <x:row r="8">
      <x:c r="A8" s="17" t="str">
        <x:v>GD04</x:v>
      </x:c>
      <x:c r="B8" s="17" t="str">
        <x:v>汕头</x:v>
      </x:c>
      <x:c r="C8" s="24" t="n">
        <x:v>116.6775856</x:v>
      </x:c>
      <x:c r="D8" s="24" t="n">
        <x:v>23.3563921</x:v>
      </x:c>
      <x:c r="E8" s="21" t="n">
        <x:v>3167.97</x:v>
      </x:c>
      <x:c r="F8" s="25" t="n">
        <x:f>E8/SUM($E$5:$E$25)</x:f>
        <x:v>0.02236732881788607</x:v>
      </x:c>
      <x:c r="G8" s="21" t="n">
        <x:v>550.2031</x:v>
      </x:c>
      <x:c r="H8" s="25" t="n">
        <x:f>G8/SUM($G$5:$G$25)</x:f>
        <x:v>0.04366257762820532</x:v>
      </x:c>
      <x:c r="I8" s="28" t="n">
        <x:v>3.1098</x:v>
      </x:c>
      <x:c r="J8" s="29" t="n">
        <x:f>I8/SUM($I$5:$I$25)</x:f>
        <x:v>0.033949781659388646</x:v>
      </x:c>
      <x:c r="K8" s="28"/>
      <x:c r="L8" s="25" t="n">
        <x:f>0.5*F8+0.5*H8</x:f>
        <x:v>0.03301495322304569</x:v>
      </x:c>
      <x:c r="M8" s="25" t="n">
        <x:f>L8/SUM($L$5:$L$25)</x:f>
        <x:v>0.03301495322304569</x:v>
      </x:c>
      <x:c r="N8" s="25" t="n">
        <x:f>0.6*J8+0.2*H8+0.2*F8</x:f>
        <x:v>0.033575850284851466</x:v>
      </x:c>
      <x:c r="O8" s="25" t="n">
        <x:f>N8/SUM($N$5:$N$25)</x:f>
        <x:v>0.03357585028485147</x:v>
      </x:c>
      <x:c r="P8" s="28" t="n">
        <x:v>3.1098</x:v>
      </x:c>
      <x:c r="Q8" s="25" t="n">
        <x:f>P8/SUM($P$5:$P$25)</x:f>
        <x:v>0.033949781659388646</x:v>
      </x:c>
      <x:c r="R8" s="21" t="n">
        <x:f>Q8*'情景参数模板'!$D$4</x:f>
        <x:v>298.46814746724885</x:v>
      </x:c>
      <x:c r="S8" s="30" t="str">
        <x:v>B-汽车零售×公开渗透率；BYD为NEV空间代理；坐标为城市级代理</x:v>
      </x:c>
    </x:row>
    <x:row r="9">
      <x:c r="A9" s="17" t="str">
        <x:v>GD05</x:v>
      </x:c>
      <x:c r="B9" s="17" t="str">
        <x:v>佛山</x:v>
      </x:c>
      <x:c r="C9" s="24" t="n">
        <x:v>113.1159558</x:v>
      </x:c>
      <x:c r="D9" s="24" t="n">
        <x:v>23.0239788</x:v>
      </x:c>
      <x:c r="E9" s="21" t="n">
        <x:v>13361.9</x:v>
      </x:c>
      <x:c r="F9" s="25" t="n">
        <x:f>E9/SUM($E$5:$E$25)</x:f>
        <x:v>0.09434117461077975</x:v>
      </x:c>
      <x:c r="G9" s="21" t="n">
        <x:v>949.8863</x:v>
      </x:c>
      <x:c r="H9" s="25" t="n">
        <x:f>G9/SUM($G$5:$G$25)</x:f>
        <x:v>0.07538031739864558</x:v>
      </x:c>
      <x:c r="I9" s="28" t="n">
        <x:v>6.0172</x:v>
      </x:c>
      <x:c r="J9" s="29" t="n">
        <x:f>I9/SUM($I$5:$I$25)</x:f>
        <x:v>0.06568995633187773</x:v>
      </x:c>
      <x:c r="K9" s="28"/>
      <x:c r="L9" s="25" t="n">
        <x:f>0.5*F9+0.5*H9</x:f>
        <x:v>0.08486074600471266</x:v>
      </x:c>
      <x:c r="M9" s="25" t="n">
        <x:f>L9/SUM($L$5:$L$25)</x:f>
        <x:v>0.08486074600471266</x:v>
      </x:c>
      <x:c r="N9" s="25" t="n">
        <x:f>0.6*J9+0.2*H9+0.2*F9</x:f>
        <x:v>0.07335827220101171</x:v>
      </x:c>
      <x:c r="O9" s="25" t="n">
        <x:f>N9/SUM($N$5:$N$25)</x:f>
        <x:v>0.07335827220101172</x:v>
      </x:c>
      <x:c r="P9" s="28" t="n">
        <x:v>6.0172</x:v>
      </x:c>
      <x:c r="Q9" s="25" t="n">
        <x:f>P9/SUM($P$5:$P$25)</x:f>
        <x:v>0.06568995633187773</x:v>
      </x:c>
      <x:c r="R9" s="21" t="n">
        <x:f>Q9*'情景参数模板'!$D$4</x:f>
        <x:v>577.5106234934497</x:v>
      </x:c>
      <x:c r="S9" s="30" t="str">
        <x:v>C-省级残差按汽车零售分配；BYD为NEV空间代理；坐标为城市级代理</x:v>
      </x:c>
    </x:row>
    <x:row r="10">
      <x:c r="A10" s="17" t="str">
        <x:v>GD06</x:v>
      </x:c>
      <x:c r="B10" s="17" t="str">
        <x:v>韶关</x:v>
      </x:c>
      <x:c r="C10" s="24" t="n">
        <x:v>113.8155263</x:v>
      </x:c>
      <x:c r="D10" s="24" t="n">
        <x:v>24.8309489</x:v>
      </x:c>
      <x:c r="E10" s="21" t="n">
        <x:v>1647.56</x:v>
      </x:c>
      <x:c r="F10" s="25" t="n">
        <x:f>E10/SUM($E$5:$E$25)</x:f>
        <x:v>0.011632533220704861</x:v>
      </x:c>
      <x:c r="G10" s="21" t="n">
        <x:v>285.5131</x:v>
      </x:c>
      <x:c r="H10" s="25" t="n">
        <x:f>G10/SUM($G$5:$G$25)</x:f>
        <x:v>0.022657520273185575</x:v>
      </x:c>
      <x:c r="I10" s="28" t="n">
        <x:v>0.8111</x:v>
      </x:c>
      <x:c r="J10" s="29" t="n">
        <x:f>I10/SUM($I$5:$I$25)</x:f>
        <x:v>0.008854803493449782</x:v>
      </x:c>
      <x:c r="K10" s="28"/>
      <x:c r="L10" s="25" t="n">
        <x:f>0.5*F10+0.5*H10</x:f>
        <x:v>0.017145026746945218</x:v>
      </x:c>
      <x:c r="M10" s="25" t="n">
        <x:f>L10/SUM($L$5:$L$25)</x:f>
        <x:v>0.017145026746945218</x:v>
      </x:c>
      <x:c r="N10" s="25" t="n">
        <x:f>0.6*J10+0.2*H10+0.2*F10</x:f>
        <x:v>0.012170892794847957</x:v>
      </x:c>
      <x:c r="O10" s="25" t="n">
        <x:f>N10/SUM($N$5:$N$25)</x:f>
        <x:v>0.012170892794847961</x:v>
      </x:c>
      <x:c r="P10" s="28" t="n">
        <x:v>0.8111</x:v>
      </x:c>
      <x:c r="Q10" s="25" t="n">
        <x:f>P10/SUM($P$5:$P$25)</x:f>
        <x:v>0.008854803493449782</x:v>
      </x:c>
      <x:c r="R10" s="21" t="n">
        <x:f>Q10*'情景参数模板'!$D$4</x:f>
        <x:v>77.84665072052401</x:v>
      </x:c>
      <x:c r="S10" s="30" t="str">
        <x:v>C-省级残差按汽车零售分配；BYD为NEV空间代理；坐标为城市级代理</x:v>
      </x:c>
    </x:row>
    <x:row r="11">
      <x:c r="A11" s="17" t="str">
        <x:v>GD07</x:v>
      </x:c>
      <x:c r="B11" s="17" t="str">
        <x:v>河源</x:v>
      </x:c>
      <x:c r="C11" s="24" t="n">
        <x:v>115.0577538</x:v>
      </x:c>
      <x:c r="D11" s="24" t="n">
        <x:v>24.1014769</x:v>
      </x:c>
      <x:c r="E11" s="21" t="n">
        <x:v>1407.72</x:v>
      </x:c>
      <x:c r="F11" s="25" t="n">
        <x:f>E11/SUM($E$5:$E$25)</x:f>
        <x:v>0.009939152240556123</x:v>
      </x:c>
      <x:c r="G11" s="21" t="n">
        <x:v>283.7686</x:v>
      </x:c>
      <x:c r="H11" s="25" t="n">
        <x:f>G11/SUM($G$5:$G$25)</x:f>
        <x:v>0.02251908163721205</x:v>
      </x:c>
      <x:c r="I11" s="28" t="n">
        <x:v>0.9809</x:v>
      </x:c>
      <x:c r="J11" s="29" t="n">
        <x:f>I11/SUM($I$5:$I$25)</x:f>
        <x:v>0.010708515283842795</x:v>
      </x:c>
      <x:c r="K11" s="28"/>
      <x:c r="L11" s="25" t="n">
        <x:f>0.5*F11+0.5*H11</x:f>
        <x:v>0.016229116938884087</x:v>
      </x:c>
      <x:c r="M11" s="25" t="n">
        <x:f>L11/SUM($L$5:$L$25)</x:f>
        <x:v>0.016229116938884087</x:v>
      </x:c>
      <x:c r="N11" s="25" t="n">
        <x:f>0.6*J11+0.2*H11+0.2*F11</x:f>
        <x:v>0.012916755945859311</x:v>
      </x:c>
      <x:c r="O11" s="25" t="n">
        <x:f>N11/SUM($N$5:$N$25)</x:f>
        <x:v>0.012916755945859315</x:v>
      </x:c>
      <x:c r="P11" s="28" t="n">
        <x:v>0.9809</x:v>
      </x:c>
      <x:c r="Q11" s="25" t="n">
        <x:f>P11/SUM($P$5:$P$25)</x:f>
        <x:v>0.010708515283842795</x:v>
      </x:c>
      <x:c r="R11" s="21" t="n">
        <x:f>Q11*'情景参数模板'!$D$4</x:f>
        <x:v>94.14348377729257</x:v>
      </x:c>
      <x:c r="S11" s="30" t="str">
        <x:v>C-省级残差按汽车零售分配；BYD为NEV空间代理；坐标为城市级代理</x:v>
      </x:c>
    </x:row>
    <x:row r="12">
      <x:c r="A12" s="17" t="str">
        <x:v>GD08</x:v>
      </x:c>
      <x:c r="B12" s="17" t="str">
        <x:v>梅州</x:v>
      </x:c>
      <x:c r="C12" s="24" t="n">
        <x:v>116.1171428</x:v>
      </x:c>
      <x:c r="D12" s="24" t="n">
        <x:v>24.2918414</x:v>
      </x:c>
      <x:c r="E12" s="21" t="n">
        <x:v>1508.18</x:v>
      </x:c>
      <x:c r="F12" s="25" t="n">
        <x:f>E12/SUM($E$5:$E$25)</x:f>
        <x:v>0.010648446158441974</x:v>
      </x:c>
      <x:c r="G12" s="21" t="n">
        <x:v>387.3239</x:v>
      </x:c>
      <x:c r="H12" s="25" t="n">
        <x:f>G12/SUM($G$5:$G$25)</x:f>
        <x:v>0.030736940324416994</x:v>
      </x:c>
      <x:c r="I12" s="28" t="n">
        <x:v>1.2072</x:v>
      </x:c>
      <x:c r="J12" s="29" t="n">
        <x:f>I12/SUM($I$5:$I$25)</x:f>
        <x:v>0.013179039301310045</x:v>
      </x:c>
      <x:c r="K12" s="28"/>
      <x:c r="L12" s="25" t="n">
        <x:f>0.5*F12+0.5*H12</x:f>
        <x:v>0.020692693241429486</x:v>
      </x:c>
      <x:c r="M12" s="25" t="n">
        <x:f>L12/SUM($L$5:$L$25)</x:f>
        <x:v>0.020692693241429486</x:v>
      </x:c>
      <x:c r="N12" s="25" t="n">
        <x:f>0.6*J12+0.2*H12+0.2*F12</x:f>
        <x:v>0.016184500877357823</x:v>
      </x:c>
      <x:c r="O12" s="25" t="n">
        <x:f>N12/SUM($N$5:$N$25)</x:f>
        <x:v>0.016184500877357826</x:v>
      </x:c>
      <x:c r="P12" s="28" t="n">
        <x:v>1.2072</x:v>
      </x:c>
      <x:c r="Q12" s="25" t="n">
        <x:f>P12/SUM($P$5:$P$25)</x:f>
        <x:v>0.013179039301310045</x:v>
      </x:c>
      <x:c r="R12" s="21" t="n">
        <x:f>Q12*'情景参数模板'!$D$4</x:f>
        <x:v>115.86299685589519</x:v>
      </x:c>
      <x:c r="S12" s="30" t="str">
        <x:v>C-省级残差按汽车零售分配；BYD为NEV空间代理；坐标为城市级代理</x:v>
      </x:c>
    </x:row>
    <x:row r="13">
      <x:c r="A13" s="17" t="str">
        <x:v>GD09</x:v>
      </x:c>
      <x:c r="B13" s="17" t="str">
        <x:v>惠州</x:v>
      </x:c>
      <x:c r="C13" s="24" t="n">
        <x:v>114.4127007</x:v>
      </x:c>
      <x:c r="D13" s="24" t="n">
        <x:v>23.1125153</x:v>
      </x:c>
      <x:c r="E13" s="21" t="n">
        <x:v>6136.39</x:v>
      </x:c>
      <x:c r="F13" s="25" t="n">
        <x:f>E13/SUM($E$5:$E$25)</x:f>
        <x:v>0.0433257426316499</x:v>
      </x:c>
      <x:c r="G13" s="21" t="n">
        <x:v>604.2852</x:v>
      </x:c>
      <x:c r="H13" s="25" t="n">
        <x:f>G13/SUM($G$5:$G$25)</x:f>
        <x:v>0.04795438167210542</x:v>
      </x:c>
      <x:c r="I13" s="28" t="n">
        <x:v>3.4708</x:v>
      </x:c>
      <x:c r="J13" s="29" t="n">
        <x:f>I13/SUM($I$5:$I$25)</x:f>
        <x:v>0.03789082969432315</x:v>
      </x:c>
      <x:c r="K13" s="28"/>
      <x:c r="L13" s="25" t="n">
        <x:f>0.5*F13+0.5*H13</x:f>
        <x:v>0.04564006215187766</x:v>
      </x:c>
      <x:c r="M13" s="25" t="n">
        <x:f>L13/SUM($L$5:$L$25)</x:f>
        <x:v>0.04564006215187766</x:v>
      </x:c>
      <x:c r="N13" s="25" t="n">
        <x:f>0.6*J13+0.2*H13+0.2*F13</x:f>
        <x:v>0.04099052267734496</x:v>
      </x:c>
      <x:c r="O13" s="25" t="n">
        <x:f>N13/SUM($N$5:$N$25)</x:f>
        <x:v>0.040990522677344966</x:v>
      </x:c>
      <x:c r="P13" s="28" t="n">
        <x:v>3.4708</x:v>
      </x:c>
      <x:c r="Q13" s="25" t="n">
        <x:f>P13/SUM($P$5:$P$25)</x:f>
        <x:v>0.03789082969432315</x:v>
      </x:c>
      <x:c r="R13" s="21" t="n">
        <x:f>Q13*'情景参数模板'!$D$4</x:f>
        <x:v>333.11571362445414</x:v>
      </x:c>
      <x:c r="S13" s="30" t="str">
        <x:v>C-省级残差按汽车零售分配；BYD为NEV空间代理；坐标为城市级代理</x:v>
      </x:c>
    </x:row>
    <x:row r="14">
      <x:c r="A14" s="17" t="str">
        <x:v>GD10</x:v>
      </x:c>
      <x:c r="B14" s="17" t="str">
        <x:v>汕尾</x:v>
      </x:c>
      <x:c r="C14" s="24" t="n">
        <x:v>115.5099937</x:v>
      </x:c>
      <x:c r="D14" s="24" t="n">
        <x:v>23.0123639</x:v>
      </x:c>
      <x:c r="E14" s="21" t="n">
        <x:v>1500.89</x:v>
      </x:c>
      <x:c r="F14" s="25" t="n">
        <x:f>E14/SUM($E$5:$E$25)</x:f>
        <x:v>0.010596975397329214</x:v>
      </x:c>
      <x:c r="G14" s="21" t="n">
        <x:v>267.2819</x:v>
      </x:c>
      <x:c r="H14" s="25" t="n">
        <x:f>G14/SUM($G$5:$G$25)</x:f>
        <x:v>0.021210743282551868</x:v>
      </x:c>
      <x:c r="I14" s="28" t="n">
        <x:v>1.3959</x:v>
      </x:c>
      <x:c r="J14" s="29" t="n">
        <x:f>I14/SUM($I$5:$I$25)</x:f>
        <x:v>0.015239082969432315</x:v>
      </x:c>
      <x:c r="K14" s="28"/>
      <x:c r="L14" s="25" t="n">
        <x:f>0.5*F14+0.5*H14</x:f>
        <x:v>0.01590385933994054</x:v>
      </x:c>
      <x:c r="M14" s="25" t="n">
        <x:f>L14/SUM($L$5:$L$25)</x:f>
        <x:v>0.01590385933994054</x:v>
      </x:c>
      <x:c r="N14" s="25" t="n">
        <x:f>0.6*J14+0.2*H14+0.2*F14</x:f>
        <x:v>0.015504993517635606</x:v>
      </x:c>
      <x:c r="O14" s="25" t="n">
        <x:f>N14/SUM($N$5:$N$25)</x:f>
        <x:v>0.01550499351763561</x:v>
      </x:c>
      <x:c r="P14" s="28" t="n">
        <x:v>1.3959</x:v>
      </x:c>
      <x:c r="Q14" s="25" t="n">
        <x:f>P14/SUM($P$5:$P$25)</x:f>
        <x:v>0.015239082969432315</x:v>
      </x:c>
      <x:c r="R14" s="21" t="n">
        <x:f>Q14*'情景参数模板'!$D$4</x:f>
        <x:v>133.97378836244542</x:v>
      </x:c>
      <x:c r="S14" s="30" t="str">
        <x:v>C-省级残差按汽车零售分配；BYD为NEV空间代理；坐标为城市级代理</x:v>
      </x:c>
    </x:row>
    <x:row r="15">
      <x:c r="A15" s="17" t="str">
        <x:v>GD11</x:v>
      </x:c>
      <x:c r="B15" s="17" t="str">
        <x:v>东莞</x:v>
      </x:c>
      <x:c r="C15" s="24" t="n">
        <x:v>113.7452332</x:v>
      </x:c>
      <x:c r="D15" s="24" t="n">
        <x:v>23.0183568</x:v>
      </x:c>
      <x:c r="E15" s="21" t="n">
        <x:v>12282.15</x:v>
      </x:c>
      <x:c r="F15" s="25" t="n">
        <x:f>E15/SUM($E$5:$E$25)</x:f>
        <x:v>0.08671764178341317</x:v>
      </x:c>
      <x:c r="G15" s="21" t="n">
        <x:v>1046.6625</x:v>
      </x:c>
      <x:c r="H15" s="25" t="n">
        <x:f>G15/SUM($G$5:$G$25)</x:f>
        <x:v>0.08306020568910182</x:v>
      </x:c>
      <x:c r="I15" s="28" t="n">
        <x:v>6.9227</x:v>
      </x:c>
      <x:c r="J15" s="29" t="n">
        <x:f>I15/SUM($I$5:$I$25)</x:f>
        <x:v>0.07557532751091703</x:v>
      </x:c>
      <x:c r="K15" s="28"/>
      <x:c r="L15" s="25" t="n">
        <x:f>0.5*F15+0.5*H15</x:f>
        <x:v>0.08488892373625749</x:v>
      </x:c>
      <x:c r="M15" s="25" t="n">
        <x:f>L15/SUM($L$5:$L$25)</x:f>
        <x:v>0.08488892373625749</x:v>
      </x:c>
      <x:c r="N15" s="25" t="n">
        <x:f>0.6*J15+0.2*H15+0.2*F15</x:f>
        <x:v>0.07930076600105322</x:v>
      </x:c>
      <x:c r="O15" s="25" t="n">
        <x:f>N15/SUM($N$5:$N$25)</x:f>
        <x:v>0.07930076600105324</x:v>
      </x:c>
      <x:c r="P15" s="28" t="n">
        <x:v>6.9227</x:v>
      </x:c>
      <x:c r="Q15" s="25" t="n">
        <x:f>P15/SUM($P$5:$P$25)</x:f>
        <x:v>0.07557532751091703</x:v>
      </x:c>
      <x:c r="R15" s="21" t="n">
        <x:f>Q15*'情景参数模板'!$D$4</x:f>
        <x:v>664.4174687991266</x:v>
      </x:c>
      <x:c r="S15" s="30" t="str">
        <x:v>C-省级残差按汽车零售分配；BYD为NEV空间代理；坐标为城市级代理</x:v>
      </x:c>
    </x:row>
    <x:row r="16">
      <x:c r="A16" s="17" t="str">
        <x:v>GD12</x:v>
      </x:c>
      <x:c r="B16" s="17" t="str">
        <x:v>中山</x:v>
      </x:c>
      <x:c r="C16" s="24" t="n">
        <x:v>113.3872302</x:v>
      </x:c>
      <x:c r="D16" s="24" t="n">
        <x:v>22.5197073</x:v>
      </x:c>
      <x:c r="E16" s="21" t="n">
        <x:v>4143.25</x:v>
      </x:c>
      <x:c r="F16" s="25" t="n">
        <x:f>E16/SUM($E$5:$E$25)</x:f>
        <x:v>0.02925325527852425</x:v>
      </x:c>
      <x:c r="G16" s="21" t="n">
        <x:v>441.806</x:v>
      </x:c>
      <x:c r="H16" s="25" t="n">
        <x:f>G16/SUM($G$5:$G$25)</x:f>
        <x:v>0.03506048724844858</x:v>
      </x:c>
      <x:c r="I16" s="28" t="n">
        <x:v>5.304</x:v>
      </x:c>
      <x:c r="J16" s="29" t="n">
        <x:f>I16/SUM($I$5:$I$25)</x:f>
        <x:v>0.05790393013100437</x:v>
      </x:c>
      <x:c r="K16" s="28"/>
      <x:c r="L16" s="25" t="n">
        <x:f>0.5*F16+0.5*H16</x:f>
        <x:v>0.03215687126348642</x:v>
      </x:c>
      <x:c r="M16" s="25" t="n">
        <x:f>L16/SUM($L$5:$L$25)</x:f>
        <x:v>0.03215687126348642</x:v>
      </x:c>
      <x:c r="N16" s="25" t="n">
        <x:f>0.6*J16+0.2*H16+0.2*F16</x:f>
        <x:v>0.04760510658399719</x:v>
      </x:c>
      <x:c r="O16" s="25" t="n">
        <x:f>N16/SUM($N$5:$N$25)</x:f>
        <x:v>0.047605106583997206</x:v>
      </x:c>
      <x:c r="P16" s="28" t="n">
        <x:v>5.304</x:v>
      </x:c>
      <x:c r="Q16" s="25" t="n">
        <x:f>P16/SUM($P$5:$P$25)</x:f>
        <x:v>0.05790393013100437</x:v>
      </x:c>
      <x:c r="R16" s="21" t="n">
        <x:f>Q16*'情景参数模板'!$D$4</x:f>
        <x:v>509.06008558951964</x:v>
      </x:c>
      <x:c r="S16" s="30" t="str">
        <x:v>B-汽车零售×公开渗透率；BYD为NEV空间代理；坐标为城市级代理</x:v>
      </x:c>
    </x:row>
    <x:row r="17">
      <x:c r="A17" s="17" t="str">
        <x:v>GD13</x:v>
      </x:c>
      <x:c r="B17" s="17" t="str">
        <x:v>江门</x:v>
      </x:c>
      <x:c r="C17" s="24" t="n">
        <x:v>113.0761073</x:v>
      </x:c>
      <x:c r="D17" s="24" t="n">
        <x:v>22.5816619</x:v>
      </x:c>
      <x:c r="E17" s="21" t="n">
        <x:v>4210.18</x:v>
      </x:c>
      <x:c r="F17" s="25" t="n">
        <x:f>E17/SUM($E$5:$E$25)</x:f>
        <x:v>0.02972581193713564</x:v>
      </x:c>
      <x:c r="G17" s="21" t="n">
        <x:v>479.809</x:v>
      </x:c>
      <x:c r="H17" s="25" t="n">
        <x:f>G17/SUM($G$5:$G$25)</x:f>
        <x:v>0.038076298932542496</x:v>
      </x:c>
      <x:c r="I17" s="28" t="n">
        <x:v>1.6599</x:v>
      </x:c>
      <x:c r="J17" s="29" t="n">
        <x:f>I17/SUM($I$5:$I$25)</x:f>
        <x:v>0.01812117903930131</x:v>
      </x:c>
      <x:c r="K17" s="28"/>
      <x:c r="L17" s="25" t="n">
        <x:f>0.5*F17+0.5*H17</x:f>
        <x:v>0.03390105543483907</x:v>
      </x:c>
      <x:c r="M17" s="25" t="n">
        <x:f>L17/SUM($L$5:$L$25)</x:f>
        <x:v>0.03390105543483907</x:v>
      </x:c>
      <x:c r="N17" s="25" t="n">
        <x:f>0.6*J17+0.2*H17+0.2*F17</x:f>
        <x:v>0.024433129597516416</x:v>
      </x:c>
      <x:c r="O17" s="25" t="n">
        <x:f>N17/SUM($N$5:$N$25)</x:f>
        <x:v>0.024433129597516423</x:v>
      </x:c>
      <x:c r="P17" s="28" t="n">
        <x:v>1.6599</x:v>
      </x:c>
      <x:c r="Q17" s="25" t="n">
        <x:f>P17/SUM($P$5:$P$25)</x:f>
        <x:v>0.01812117903930131</x:v>
      </x:c>
      <x:c r="R17" s="21" t="n">
        <x:f>Q17*'情景参数模板'!$D$4</x:f>
        <x:v>159.31162067685588</x:v>
      </x:c>
      <x:c r="S17" s="30" t="str">
        <x:v>C-省级残差按汽车零售分配；BYD为NEV空间代理；坐标为城市级代理</x:v>
      </x:c>
    </x:row>
    <x:row r="18">
      <x:c r="A18" s="17" t="str">
        <x:v>GD14</x:v>
      </x:c>
      <x:c r="B18" s="17" t="str">
        <x:v>阳江</x:v>
      </x:c>
      <x:c r="C18" s="24" t="n">
        <x:v>111.7831393</x:v>
      </x:c>
      <x:c r="D18" s="24" t="n">
        <x:v>22.0958223</x:v>
      </x:c>
      <x:c r="E18" s="21" t="n">
        <x:v>1629.58</x:v>
      </x:c>
      <x:c r="F18" s="25" t="n">
        <x:f>E18/SUM($E$5:$E$25)</x:f>
        <x:v>0.01150558613088217</x:v>
      </x:c>
      <x:c r="G18" s="21" t="n">
        <x:v>260.2959</x:v>
      </x:c>
      <x:c r="H18" s="25" t="n">
        <x:f>G18/SUM($G$5:$G$25)</x:f>
        <x:v>0.020656353881055144</x:v>
      </x:c>
      <x:c r="I18" s="28" t="n">
        <x:v>0.9431</x:v>
      </x:c>
      <x:c r="J18" s="29" t="n">
        <x:f>I18/SUM($I$5:$I$25)</x:f>
        <x:v>0.01029585152838428</x:v>
      </x:c>
      <x:c r="K18" s="28"/>
      <x:c r="L18" s="25" t="n">
        <x:f>0.5*F18+0.5*H18</x:f>
        <x:v>0.016080970005968656</x:v>
      </x:c>
      <x:c r="M18" s="25" t="n">
        <x:f>L18/SUM($L$5:$L$25)</x:f>
        <x:v>0.016080970005968656</x:v>
      </x:c>
      <x:c r="N18" s="25" t="n">
        <x:f>0.6*J18+0.2*H18+0.2*F18</x:f>
        <x:v>0.012609898919418031</x:v>
      </x:c>
      <x:c r="O18" s="25" t="n">
        <x:f>N18/SUM($N$5:$N$25)</x:f>
        <x:v>0.012609898919418034</x:v>
      </x:c>
      <x:c r="P18" s="28" t="n">
        <x:v>0.9431</x:v>
      </x:c>
      <x:c r="Q18" s="25" t="n">
        <x:f>P18/SUM($P$5:$P$25)</x:f>
        <x:v>0.01029585152838428</x:v>
      </x:c>
      <x:c r="R18" s="21" t="n">
        <x:f>Q18*'情景参数模板'!$D$4</x:f>
        <x:v>90.51556687772926</x:v>
      </x:c>
      <x:c r="S18" s="30" t="str">
        <x:v>C-省级残差按汽车零售分配；BYD为NEV空间代理；坐标为城市级代理</x:v>
      </x:c>
    </x:row>
    <x:row r="19">
      <x:c r="A19" s="17" t="str">
        <x:v>GD15</x:v>
      </x:c>
      <x:c r="B19" s="17" t="str">
        <x:v>湛江</x:v>
      </x:c>
      <x:c r="C19" s="24" t="n">
        <x:v>110.3548318</x:v>
      </x:c>
      <x:c r="D19" s="24" t="n">
        <x:v>21.2737079</x:v>
      </x:c>
      <x:c r="E19" s="21" t="n">
        <x:v>3839.93</x:v>
      </x:c>
      <x:c r="F19" s="25" t="n">
        <x:f>E19/SUM($E$5:$E$25)</x:f>
        <x:v>0.0271116762304142</x:v>
      </x:c>
      <x:c r="G19" s="21" t="n">
        <x:v>698.1236</x:v>
      </x:c>
      <x:c r="H19" s="25" t="n">
        <x:f>G19/SUM($G$5:$G$25)</x:f>
        <x:v>0.05540113437943582</x:v>
      </x:c>
      <x:c r="I19" s="28" t="n">
        <x:v>2.8106</x:v>
      </x:c>
      <x:c r="J19" s="29" t="n">
        <x:f>I19/SUM($I$5:$I$25)</x:f>
        <x:v>0.03068340611353712</x:v>
      </x:c>
      <x:c r="K19" s="28"/>
      <x:c r="L19" s="25" t="n">
        <x:f>0.5*F19+0.5*H19</x:f>
        <x:v>0.04125640530492501</x:v>
      </x:c>
      <x:c r="M19" s="25" t="n">
        <x:f>L19/SUM($L$5:$L$25)</x:f>
        <x:v>0.04125640530492501</x:v>
      </x:c>
      <x:c r="N19" s="25" t="n">
        <x:f>0.6*J19+0.2*H19+0.2*F19</x:f>
        <x:v>0.034912605790092276</x:v>
      </x:c>
      <x:c r="O19" s="25" t="n">
        <x:f>N19/SUM($N$5:$N$25)</x:f>
        <x:v>0.03491260579009228</x:v>
      </x:c>
      <x:c r="P19" s="28" t="n">
        <x:v>2.8106</x:v>
      </x:c>
      <x:c r="Q19" s="25" t="n">
        <x:f>P19/SUM($P$5:$P$25)</x:f>
        <x:v>0.03068340611353712</x:v>
      </x:c>
      <x:c r="R19" s="21" t="n">
        <x:f>Q19*'情景参数模板'!$D$4</x:f>
        <x:v>269.751937510917</x:v>
      </x:c>
      <x:c r="S19" s="30" t="str">
        <x:v>C-省级残差按汽车零售分配；BYD为NEV空间代理；坐标为城市级代理</x:v>
      </x:c>
    </x:row>
    <x:row r="20">
      <x:c r="A20" s="17" t="str">
        <x:v>GD16</x:v>
      </x:c>
      <x:c r="B20" s="17" t="str">
        <x:v>茂名</x:v>
      </x:c>
      <x:c r="C20" s="24" t="n">
        <x:v>110.9209511</x:v>
      </x:c>
      <x:c r="D20" s="24" t="n">
        <x:v>21.6656961</x:v>
      </x:c>
      <x:c r="E20" s="21" t="n">
        <x:v>4072.04</x:v>
      </x:c>
      <x:c r="F20" s="25" t="n">
        <x:f>E20/SUM($E$5:$E$25)</x:f>
        <x:v>0.02875047984658466</x:v>
      </x:c>
      <x:c r="G20" s="21" t="n">
        <x:v>617.405</x:v>
      </x:c>
      <x:c r="H20" s="25" t="n">
        <x:f>G20/SUM($G$5:$G$25)</x:f>
        <x:v>0.04899553226897869</x:v>
      </x:c>
      <x:c r="I20" s="28" t="n">
        <x:v>2.4144</x:v>
      </x:c>
      <x:c r="J20" s="29" t="n">
        <x:f>I20/SUM($I$5:$I$25)</x:f>
        <x:v>0.02635807860262009</x:v>
      </x:c>
      <x:c r="K20" s="28"/>
      <x:c r="L20" s="25" t="n">
        <x:f>0.5*F20+0.5*H20</x:f>
        <x:v>0.03887300605778167</x:v>
      </x:c>
      <x:c r="M20" s="25" t="n">
        <x:f>L20/SUM($L$5:$L$25)</x:f>
        <x:v>0.03887300605778167</x:v>
      </x:c>
      <x:c r="N20" s="25" t="n">
        <x:f>0.6*J20+0.2*H20+0.2*F20</x:f>
        <x:v>0.03136404958468472</x:v>
      </x:c>
      <x:c r="O20" s="25" t="n">
        <x:f>N20/SUM($N$5:$N$25)</x:f>
        <x:v>0.03136404958468473</x:v>
      </x:c>
      <x:c r="P20" s="28" t="n">
        <x:v>2.4144</x:v>
      </x:c>
      <x:c r="Q20" s="25" t="n">
        <x:f>P20/SUM($P$5:$P$25)</x:f>
        <x:v>0.02635807860262009</x:v>
      </x:c>
      <x:c r="R20" s="21" t="n">
        <x:f>Q20*'情景参数模板'!$D$4</x:f>
        <x:v>231.72599371179038</x:v>
      </x:c>
      <x:c r="S20" s="30" t="str">
        <x:v>C-省级残差按汽车零售分配；BYD为NEV空间代理；坐标为城市级代理</x:v>
      </x:c>
    </x:row>
    <x:row r="21">
      <x:c r="A21" s="17" t="str">
        <x:v>GD17</x:v>
      </x:c>
      <x:c r="B21" s="17" t="str">
        <x:v>肇庆</x:v>
      </x:c>
      <x:c r="C21" s="24" t="n">
        <x:v>112.4603629</x:v>
      </x:c>
      <x:c r="D21" s="24" t="n">
        <x:v>23.0501661</x:v>
      </x:c>
      <x:c r="E21" s="21" t="n">
        <x:v>2917.85</x:v>
      </x:c>
      <x:c r="F21" s="25" t="n">
        <x:f>E21/SUM($E$5:$E$25)</x:f>
        <x:v>0.02060136629806118</x:v>
      </x:c>
      <x:c r="G21" s="21" t="n">
        <x:v>411.3594</x:v>
      </x:c>
      <x:c r="H21" s="25" t="n">
        <x:f>G21/SUM($G$5:$G$25)</x:f>
        <x:v>0.03264433031291893</x:v>
      </x:c>
      <x:c r="I21" s="28" t="n">
        <x:v>1.0186</x:v>
      </x:c>
      <x:c r="J21" s="29" t="n">
        <x:f>I21/SUM($I$5:$I$25)</x:f>
        <x:v>0.011120087336244542</x:v>
      </x:c>
      <x:c r="K21" s="28"/>
      <x:c r="L21" s="25" t="n">
        <x:f>0.5*F21+0.5*H21</x:f>
        <x:v>0.026622848305490054</x:v>
      </x:c>
      <x:c r="M21" s="25" t="n">
        <x:f>L21/SUM($L$5:$L$25)</x:f>
        <x:v>0.026622848305490054</x:v>
      </x:c>
      <x:c r="N21" s="25" t="n">
        <x:f>0.6*J21+0.2*H21+0.2*F21</x:f>
        <x:v>0.017321191723942746</x:v>
      </x:c>
      <x:c r="O21" s="25" t="n">
        <x:f>N21/SUM($N$5:$N$25)</x:f>
        <x:v>0.01732119172394275</x:v>
      </x:c>
      <x:c r="P21" s="28" t="n">
        <x:v>1.0186</x:v>
      </x:c>
      <x:c r="Q21" s="25" t="n">
        <x:f>P21/SUM($P$5:$P$25)</x:f>
        <x:v>0.011120087336244542</x:v>
      </x:c>
      <x:c r="R21" s="21" t="n">
        <x:f>Q21*'情景参数模板'!$D$4</x:f>
        <x:v>97.76180301310043</x:v>
      </x:c>
      <x:c r="S21" s="30" t="str">
        <x:v>C-省级残差按汽车零售分配；BYD为NEV空间代理；坐标为城市级代理</x:v>
      </x:c>
    </x:row>
    <x:row r="22">
      <x:c r="A22" s="17" t="str">
        <x:v>GD18</x:v>
      </x:c>
      <x:c r="B22" s="17" t="str">
        <x:v>清远</x:v>
      </x:c>
      <x:c r="C22" s="24" t="n">
        <x:v>113.0505994</x:v>
      </x:c>
      <x:c r="D22" s="24" t="n">
        <x:v>23.6832984</x:v>
      </x:c>
      <x:c r="E22" s="21" t="n">
        <x:v>2253.07</x:v>
      </x:c>
      <x:c r="F22" s="25" t="n">
        <x:f>E22/SUM($E$5:$E$25)</x:f>
        <x:v>0.015907712995929437</x:v>
      </x:c>
      <x:c r="G22" s="21" t="n">
        <x:v>396.9473</x:v>
      </x:c>
      <x:c r="H22" s="25" t="n">
        <x:f>G22/SUM($G$5:$G$25)</x:f>
        <x:v>0.03150062640606079</x:v>
      </x:c>
      <x:c r="I22" s="28" t="n">
        <x:v>1.1318</x:v>
      </x:c>
      <x:c r="J22" s="29" t="n">
        <x:f>I22/SUM($I$5:$I$25)</x:f>
        <x:v>0.01235589519650655</x:v>
      </x:c>
      <x:c r="K22" s="28"/>
      <x:c r="L22" s="25" t="n">
        <x:f>0.5*F22+0.5*H22</x:f>
        <x:v>0.023704169700995113</x:v>
      </x:c>
      <x:c r="M22" s="25" t="n">
        <x:f>L22/SUM($L$5:$L$25)</x:f>
        <x:v>0.023704169700995113</x:v>
      </x:c>
      <x:c r="N22" s="25" t="n">
        <x:f>0.6*J22+0.2*H22+0.2*F22</x:f>
        <x:v>0.016895204998301976</x:v>
      </x:c>
      <x:c r="O22" s="25" t="n">
        <x:f>N22/SUM($N$5:$N$25)</x:f>
        <x:v>0.01689520499830198</x:v>
      </x:c>
      <x:c r="P22" s="28" t="n">
        <x:v>1.1318</x:v>
      </x:c>
      <x:c r="Q22" s="25" t="n">
        <x:f>P22/SUM($P$5:$P$25)</x:f>
        <x:v>0.01235589519650655</x:v>
      </x:c>
      <x:c r="R22" s="21" t="n">
        <x:f>Q22*'情景参数模板'!$D$4</x:f>
        <x:v>108.62635838427946</x:v>
      </x:c>
      <x:c r="S22" s="30" t="str">
        <x:v>C-省级残差按汽车零售分配；BYD为NEV空间代理；坐标为城市级代理</x:v>
      </x:c>
    </x:row>
    <x:row r="23">
      <x:c r="A23" s="17" t="str">
        <x:v>GD19</x:v>
      </x:c>
      <x:c r="B23" s="17" t="str">
        <x:v>潮州</x:v>
      </x:c>
      <x:c r="C23" s="24" t="n">
        <x:v>116.6204223</x:v>
      </x:c>
      <x:c r="D23" s="24" t="n">
        <x:v>23.656593</x:v>
      </x:c>
      <x:c r="E23" s="21" t="n">
        <x:v>1402.83</x:v>
      </x:c>
      <x:c r="F23" s="25" t="n">
        <x:f>E23/SUM($E$5:$E$25)</x:f>
        <x:v>0.009904626585982543</x:v>
      </x:c>
      <x:c r="G23" s="21" t="n">
        <x:v>256.8387</x:v>
      </x:c>
      <x:c r="H23" s="25" t="n">
        <x:f>G23/SUM($G$5:$G$25)</x:f>
        <x:v>0.020382000168078552</x:v>
      </x:c>
      <x:c r="I23" s="28" t="n">
        <x:v>0.7922</x:v>
      </x:c>
      <x:c r="J23" s="29" t="n">
        <x:f>I23/SUM($I$5:$I$25)</x:f>
        <x:v>0.008648471615720525</x:v>
      </x:c>
      <x:c r="K23" s="28"/>
      <x:c r="L23" s="25" t="n">
        <x:f>0.5*F23+0.5*H23</x:f>
        <x:v>0.015143313377030548</x:v>
      </x:c>
      <x:c r="M23" s="25" t="n">
        <x:f>L23/SUM($L$5:$L$25)</x:f>
        <x:v>0.015143313377030548</x:v>
      </x:c>
      <x:c r="N23" s="25" t="n">
        <x:f>0.6*J23+0.2*H23+0.2*F23</x:f>
        <x:v>0.011246408320244533</x:v>
      </x:c>
      <x:c r="O23" s="25" t="n">
        <x:f>N23/SUM($N$5:$N$25)</x:f>
        <x:v>0.011246408320244535</x:v>
      </x:c>
      <x:c r="P23" s="28" t="n">
        <x:v>0.7922</x:v>
      </x:c>
      <x:c r="Q23" s="25" t="n">
        <x:f>P23/SUM($P$5:$P$25)</x:f>
        <x:v>0.008648471615720525</x:v>
      </x:c>
      <x:c r="R23" s="21" t="n">
        <x:f>Q23*'情景参数模板'!$D$4</x:f>
        <x:v>76.03269227074236</x:v>
      </x:c>
      <x:c r="S23" s="30" t="str">
        <x:v>C-省级残差按汽车零售分配；BYD为NEV空间代理；坐标为城市级代理</x:v>
      </x:c>
    </x:row>
    <x:row r="24">
      <x:c r="A24" s="17" t="str">
        <x:v>GD20</x:v>
      </x:c>
      <x:c r="B24" s="17" t="str">
        <x:v>揭阳</x:v>
      </x:c>
      <x:c r="C24" s="24" t="n">
        <x:v>116.3680354</x:v>
      </x:c>
      <x:c r="D24" s="24" t="n">
        <x:v>23.553156</x:v>
      </x:c>
      <x:c r="E24" s="21" t="n">
        <x:v>2529.7</x:v>
      </x:c>
      <x:c r="F24" s="25" t="n">
        <x:f>E24/SUM($E$5:$E$25)</x:f>
        <x:v>0.017860848338401687</x:v>
      </x:c>
      <x:c r="G24" s="21" t="n">
        <x:v>557.7814</x:v>
      </x:c>
      <x:c r="H24" s="25" t="n">
        <x:f>G24/SUM($G$5:$G$25)</x:f>
        <x:v>0.04426397029945677</x:v>
      </x:c>
      <x:c r="I24" s="28" t="n">
        <x:v>1.8863</x:v>
      </x:c>
      <x:c r="J24" s="29" t="n">
        <x:f>I24/SUM($I$5:$I$25)</x:f>
        <x:v>0.02059279475982533</x:v>
      </x:c>
      <x:c r="K24" s="28"/>
      <x:c r="L24" s="25" t="n">
        <x:f>0.5*F24+0.5*H24</x:f>
        <x:v>0.03106240931892923</x:v>
      </x:c>
      <x:c r="M24" s="25" t="n">
        <x:f>L24/SUM($L$5:$L$25)</x:f>
        <x:v>0.03106240931892923</x:v>
      </x:c>
      <x:c r="N24" s="25" t="n">
        <x:f>0.6*J24+0.2*H24+0.2*F24</x:f>
        <x:v>0.02478064058346689</x:v>
      </x:c>
      <x:c r="O24" s="25" t="n">
        <x:f>N24/SUM($N$5:$N$25)</x:f>
        <x:v>0.024780640583466896</x:v>
      </x:c>
      <x:c r="P24" s="28" t="n">
        <x:v>1.8863</x:v>
      </x:c>
      <x:c r="Q24" s="25" t="n">
        <x:f>P24/SUM($P$5:$P$25)</x:f>
        <x:v>0.02059279475982533</x:v>
      </x:c>
      <x:c r="R24" s="21" t="n">
        <x:f>Q24*'情景参数模板'!$D$4</x:f>
        <x:v>181.04073141921396</x:v>
      </x:c>
      <x:c r="S24" s="30" t="str">
        <x:v>C-省级残差按汽车零售分配；BYD为NEV空间代理；坐标为城市级代理</x:v>
      </x:c>
    </x:row>
    <x:row r="25">
      <x:c r="A25" s="17" t="str">
        <x:v>GD21</x:v>
      </x:c>
      <x:c r="B25" s="17" t="str">
        <x:v>云浮</x:v>
      </x:c>
      <x:c r="C25" s="24" t="n">
        <x:v>111.8078586</x:v>
      </x:c>
      <x:c r="D25" s="24" t="n">
        <x:v>22.8546663</x:v>
      </x:c>
      <x:c r="E25" s="21" t="n">
        <x:v>1309.19</x:v>
      </x:c>
      <x:c r="F25" s="25" t="n">
        <x:f>E25/SUM($E$5:$E$25)</x:f>
        <x:v>0.009243485012512199</x:v>
      </x:c>
      <x:c r="G25" s="21" t="n">
        <x:v>238.335</x:v>
      </x:c>
      <x:c r="H25" s="25" t="n">
        <x:f>G25/SUM($G$5:$G$25)</x:f>
        <x:v>0.018913598340355255</x:v>
      </x:c>
      <x:c r="I25" s="28" t="n">
        <x:v>0.7545</x:v>
      </x:c>
      <x:c r="J25" s="29" t="n">
        <x:f>I25/SUM($I$5:$I$25)</x:f>
        <x:v>0.008236899563318778</x:v>
      </x:c>
      <x:c r="K25" s="28"/>
      <x:c r="L25" s="25" t="n">
        <x:f>0.5*F25+0.5*H25</x:f>
        <x:v>0.014078541676433727</x:v>
      </x:c>
      <x:c r="M25" s="25" t="n">
        <x:f>L25/SUM($L$5:$L$25)</x:f>
        <x:v>0.014078541676433727</x:v>
      </x:c>
      <x:c r="N25" s="25" t="n">
        <x:f>0.6*J25+0.2*H25+0.2*F25</x:f>
        <x:v>0.010573556408564756</x:v>
      </x:c>
      <x:c r="O25" s="25" t="n">
        <x:f>N25/SUM($N$5:$N$25)</x:f>
        <x:v>0.010573556408564758</x:v>
      </x:c>
      <x:c r="P25" s="28" t="n">
        <x:v>0.7545</x:v>
      </x:c>
      <x:c r="Q25" s="25" t="n">
        <x:f>P25/SUM($P$5:$P$25)</x:f>
        <x:v>0.008236899563318778</x:v>
      </x:c>
      <x:c r="R25" s="21" t="n">
        <x:f>Q25*'情景参数模板'!$D$4</x:f>
        <x:v>72.4143730349345</x:v>
      </x:c>
      <x:c r="S25" s="30" t="str">
        <x:v>C-省级残差按汽车零售分配；BYD为NEV空间代理；坐标为城市级代理</x:v>
      </x:c>
    </x:row>
    <x:row r="26">
      <x:c r="H26" s="26"/>
      <x:c r="J26" s="26"/>
      <x:c r="L26" s="26"/>
      <x:c r="M26" s="26"/>
      <x:c r="N26" s="26"/>
      <x:c r="O26" s="26"/>
      <x:c r="Q26" s="26"/>
      <x:c r="R26" s="27"/>
    </x:row>
    <x:row r="27">
      <x:c r="A27" s="17" t="str">
        <x:v>校验</x:v>
      </x:c>
      <x:c r="B27" s="17" t="str">
        <x:v>权重合计</x:v>
      </x:c>
      <x:c r="C27" s="17"/>
      <x:c r="D27" s="17"/>
      <x:c r="E27" s="17"/>
      <x:c r="F27" s="17" t="n">
        <x:f>SUM(F5:F25)</x:f>
        <x:v>1.0000000000000002</x:v>
      </x:c>
      <x:c r="G27" s="17"/>
      <x:c r="H27" s="25" t="n">
        <x:f>SUM(H5:H25)</x:f>
        <x:v>0.9999999999999999</x:v>
      </x:c>
      <x:c r="I27" s="17"/>
      <x:c r="J27" s="25" t="n">
        <x:f>IF(COUNT(I5:I25)=21,SUM(J5:J25),"NEV未完整")</x:f>
        <x:v>1.0000000000000002</x:v>
      </x:c>
      <x:c r="K27" s="17"/>
      <x:c r="L27" s="25" t="str">
        <x:v>S1</x:v>
      </x:c>
      <x:c r="M27" s="25" t="n">
        <x:f>SUM(M5:M25)</x:f>
        <x:v>1</x:v>
      </x:c>
      <x:c r="N27" s="25" t="str">
        <x:v>S2</x:v>
      </x:c>
      <x:c r="O27" s="25" t="n">
        <x:f>IF(COUNT(I5:I25)=21,SUM(O5:O25),"未启用")</x:f>
        <x:v>1</x:v>
      </x:c>
      <x:c r="P27" s="17"/>
      <x:c r="Q27" s="25" t="n">
        <x:f>IF(COUNT(P5:P25)=21,SUM(Q5:Q25),"未启用")</x:f>
        <x:v>1.0000000000000002</x:v>
      </x:c>
      <x:c r="R27" s="21" t="n">
        <x:f>SUM(R5:R25)</x:f>
        <x:v>8791.46</x:v>
      </x:c>
      <x:c r="S27" s="17"/>
    </x:row>
    <x:row r="29">
      <x:c r="A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B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C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D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E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F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G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H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I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J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K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L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M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N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O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P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Q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R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  <x:c r="S29" s="33" t="str">
        <x:v>来源：GDP（广东省统计局，2024）；人口（广东七普，2020）；汽车/NEV（广东省汽车流通协会公开报道与二次整理，2023）；坐标（OSM城市行政节点）。S2/S3为代理情景，不能表述为21市真实NEV保有量或BYD上牌量。</x:v>
      </x:c>
    </x:row>
  </x:sheetData>
  <x:mergeCells>
    <x:mergeCell ref="A1:S1"/>
    <x:mergeCell ref="A2:S2"/>
    <x:mergeCell ref="A29:S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6" hidden="0" customWidth="1"/>
    <x:col min="5" max="5" width="14" hidden="0" customWidth="1"/>
    <x:col min="6" max="6" width="18" hidden="0" customWidth="1"/>
    <x:col min="7" max="7" width="30" hidden="0" customWidth="1"/>
    <x:col min="8" max="8" width="45" hidden="0" customWidth="1"/>
    <x:col min="9" max="9" width="10" hidden="0" customWidth="1"/>
    <x:col min="10" max="10" width="18" hidden="0" customWidth="1"/>
  </x:cols>
  <x:sheetData>
    <x:row r="1" ht="30" customHeight="1">
      <x:c r="A1" s="4" t="str">
        <x:v>中国动力电池闭环供应链模型参数字典</x:v>
      </x:c>
      <x:c r="B1" s="4" t="str">
        <x:v>中国动力电池闭环供应链模型参数字典</x:v>
      </x:c>
      <x:c r="C1" s="4" t="str">
        <x:v>中国动力电池闭环供应链模型参数字典</x:v>
      </x:c>
      <x:c r="D1" s="4" t="str">
        <x:v>中国动力电池闭环供应链模型参数字典</x:v>
      </x:c>
      <x:c r="E1" s="4" t="str">
        <x:v>中国动力电池闭环供应链模型参数字典</x:v>
      </x:c>
      <x:c r="F1" s="4" t="str">
        <x:v>中国动力电池闭环供应链模型参数字典</x:v>
      </x:c>
      <x:c r="G1" s="4" t="str">
        <x:v>中国动力电池闭环供应链模型参数字典</x:v>
      </x:c>
      <x:c r="H1" s="4" t="str">
        <x:v>中国动力电池闭环供应链模型参数字典</x:v>
      </x:c>
      <x:c r="I1" s="4" t="str">
        <x:v>中国动力电池闭环供应链模型参数字典</x:v>
      </x:c>
      <x:c r="J1" s="4" t="str">
        <x:v>中国动力电池闭环供应链模型参数字典</x:v>
      </x:c>
    </x:row>
    <x:row r="3" ht="28" customHeight="1">
      <x:c r="A3" s="14" t="str">
        <x:v>模块</x:v>
      </x:c>
      <x:c r="B3" s="14" t="str">
        <x:v>符号/字段</x:v>
      </x:c>
      <x:c r="C3" s="14" t="str">
        <x:v>含义</x:v>
      </x:c>
      <x:c r="D3" s="14" t="str">
        <x:v>单位</x:v>
      </x:c>
      <x:c r="E3" s="14" t="str">
        <x:v>基础模型必需</x:v>
      </x:c>
      <x:c r="F3" s="14" t="str">
        <x:v>公开可得性</x:v>
      </x:c>
      <x:c r="G3" s="14" t="str">
        <x:v>首选来源</x:v>
      </x:c>
      <x:c r="H3" s="14" t="str">
        <x:v>不可得时替代方法</x:v>
      </x:c>
      <x:c r="I3" s="14" t="str">
        <x:v>优先级</x:v>
      </x:c>
      <x:c r="J3" s="14" t="str">
        <x:v>当前状态</x:v>
      </x:c>
    </x:row>
    <x:row r="4">
      <x:c r="A4" s="17" t="str">
        <x:v>需求</x:v>
      </x:c>
      <x:c r="B4" s="17" t="str">
        <x:v>D_i</x:v>
      </x:c>
      <x:c r="C4" s="17" t="str">
        <x:v>城市i退役BYD动力电池量</x:v>
      </x:c>
      <x:c r="D4" s="17" t="str">
        <x:v>吨/年</x:v>
      </x:c>
      <x:c r="E4" s="17" t="str">
        <x:v>是</x:v>
      </x:c>
      <x:c r="F4" s="17" t="str">
        <x:v>需估算</x:v>
      </x:c>
      <x:c r="G4" s="17" t="str">
        <x:v>BYD省市上牌/保有量、溯源平台</x:v>
      </x:c>
      <x:c r="H4" s="17" t="str">
        <x:v>车龄队列法估总量，再按NEV保有量/人口/GDP组合权重分配</x:v>
      </x:c>
      <x:c r="I4" s="17" t="str">
        <x:v>P0</x:v>
      </x:c>
      <x:c r="J4" s="30" t="str">
        <x:v>待收集</x:v>
      </x:c>
    </x:row>
    <x:row r="5">
      <x:c r="A5" s="17" t="str">
        <x:v>需求</x:v>
      </x:c>
      <x:c r="B5" s="17" t="str">
        <x:v>chem_i</x:v>
      </x:c>
      <x:c r="C5" s="17" t="str">
        <x:v>LFP/三元结构</x:v>
      </x:c>
      <x:c r="D5" s="17" t="str">
        <x:v>比例</x:v>
      </x:c>
      <x:c r="E5" s="17" t="str">
        <x:v>可简化</x:v>
      </x:c>
      <x:c r="F5" s="17" t="str">
        <x:v>部分公开</x:v>
      </x:c>
      <x:c r="G5" s="17" t="str">
        <x:v>车型与电池技术路线、装机数据</x:v>
      </x:c>
      <x:c r="H5" s="17" t="str">
        <x:v>基础模型聚合为单一产品；化学体系仅做情景</x:v>
      </x:c>
      <x:c r="I5" s="17" t="str">
        <x:v>P1</x:v>
      </x:c>
      <x:c r="J5" s="30" t="str">
        <x:v>待收集</x:v>
      </x:c>
    </x:row>
    <x:row r="6">
      <x:c r="A6" s="17" t="str">
        <x:v>节点</x:v>
      </x:c>
      <x:c r="B6" s="17" t="str">
        <x:v>I</x:v>
      </x:c>
      <x:c r="C6" s="17" t="str">
        <x:v>21个城市需求节点</x:v>
      </x:c>
      <x:c r="D6" s="17" t="str">
        <x:v>集合</x:v>
      </x:c>
      <x:c r="E6" s="17" t="str">
        <x:v>是</x:v>
      </x:c>
      <x:c r="F6" s="17" t="str">
        <x:v>公开可得</x:v>
      </x:c>
      <x:c r="G6" s="17" t="str">
        <x:v>广东行政区划</x:v>
      </x:c>
      <x:c r="H6" s="17" t="str">
        <x:v>无替代需求</x:v>
      </x:c>
      <x:c r="I6" s="17" t="str">
        <x:v>P0</x:v>
      </x:c>
      <x:c r="J6" s="23" t="str">
        <x:v>已建立</x:v>
      </x:c>
    </x:row>
    <x:row r="7">
      <x:c r="A7" s="17" t="str">
        <x:v>节点</x:v>
      </x:c>
      <x:c r="B7" s="17" t="str">
        <x:v>J</x:v>
      </x:c>
      <x:c r="C7" s="17" t="str">
        <x:v>回收/检测中心候选点</x:v>
      </x:c>
      <x:c r="D7" s="17" t="str">
        <x:v>经纬度</x:v>
      </x:c>
      <x:c r="E7" s="17" t="str">
        <x:v>是</x:v>
      </x:c>
      <x:c r="F7" s="17" t="str">
        <x:v>部分公开</x:v>
      </x:c>
      <x:c r="G7" s="17" t="str">
        <x:v>比亚迪动力电池回收点/售后点</x:v>
      </x:c>
      <x:c r="H7" s="17" t="str">
        <x:v>按城市聚合为虚拟节点，并说明非真实企业地址</x:v>
      </x:c>
      <x:c r="I7" s="17" t="str">
        <x:v>P0</x:v>
      </x:c>
      <x:c r="J7" s="30" t="str">
        <x:v>待提取</x:v>
      </x:c>
    </x:row>
    <x:row r="8">
      <x:c r="A8" s="17" t="str">
        <x:v>节点</x:v>
      </x:c>
      <x:c r="B8" s="17" t="str">
        <x:v>K</x:v>
      </x:c>
      <x:c r="C8" s="17" t="str">
        <x:v>再生利用设施候选点</x:v>
      </x:c>
      <x:c r="D8" s="17" t="str">
        <x:v>经纬度</x:v>
      </x:c>
      <x:c r="E8" s="17" t="str">
        <x:v>是</x:v>
      </x:c>
      <x:c r="F8" s="17" t="str">
        <x:v>公开可得</x:v>
      </x:c>
      <x:c r="G8" s="17" t="str">
        <x:v>BYD汕尾/西安、最新规范企业、环评</x:v>
      </x:c>
      <x:c r="H8" s="17" t="str">
        <x:v>仅纳入资质明确或既有设施</x:v>
      </x:c>
      <x:c r="I8" s="17" t="str">
        <x:v>P0</x:v>
      </x:c>
      <x:c r="J8" s="30" t="str">
        <x:v>部分核验</x:v>
      </x:c>
    </x:row>
    <x:row r="9">
      <x:c r="A9" s="17" t="str">
        <x:v>距离</x:v>
      </x:c>
      <x:c r="B9" s="17" t="str">
        <x:v>d_ij</x:v>
      </x:c>
      <x:c r="C9" s="17" t="str">
        <x:v>城市到回收中心道路距离</x:v>
      </x:c>
      <x:c r="D9" s="17" t="str">
        <x:v>km</x:v>
      </x:c>
      <x:c r="E9" s="17" t="str">
        <x:v>是</x:v>
      </x:c>
      <x:c r="F9" s="17" t="str">
        <x:v>可计算</x:v>
      </x:c>
      <x:c r="G9" s="17" t="str">
        <x:v>高德/百度路线API</x:v>
      </x:c>
      <x:c r="H9" s="17" t="str">
        <x:v>Haversine×道路修正系数，并做±20%敏感性</x:v>
      </x:c>
      <x:c r="I9" s="17" t="str">
        <x:v>P0</x:v>
      </x:c>
      <x:c r="J9" s="30" t="str">
        <x:v>待计算</x:v>
      </x:c>
    </x:row>
    <x:row r="10">
      <x:c r="A10" s="17" t="str">
        <x:v>距离</x:v>
      </x:c>
      <x:c r="B10" s="17" t="str">
        <x:v>d_jk</x:v>
      </x:c>
      <x:c r="C10" s="17" t="str">
        <x:v>回收中心到处理设施道路距离</x:v>
      </x:c>
      <x:c r="D10" s="17" t="str">
        <x:v>km</x:v>
      </x:c>
      <x:c r="E10" s="17" t="str">
        <x:v>是</x:v>
      </x:c>
      <x:c r="F10" s="17" t="str">
        <x:v>可计算</x:v>
      </x:c>
      <x:c r="G10" s="17" t="str">
        <x:v>高德/百度路线API</x:v>
      </x:c>
      <x:c r="H10" s="17" t="str">
        <x:v>Haversine×道路修正系数</x:v>
      </x:c>
      <x:c r="I10" s="17" t="str">
        <x:v>P0</x:v>
      </x:c>
      <x:c r="J10" s="30" t="str">
        <x:v>待计算</x:v>
      </x:c>
    </x:row>
    <x:row r="11">
      <x:c r="A11" s="17" t="str">
        <x:v>容量</x:v>
      </x:c>
      <x:c r="B11" s="17" t="str">
        <x:v>CapR_js</x:v>
      </x:c>
      <x:c r="C11" s="17" t="str">
        <x:v>回收/检测中心规模档</x:v>
      </x:c>
      <x:c r="D11" s="17" t="str">
        <x:v>吨/年</x:v>
      </x:c>
      <x:c r="E11" s="17" t="str">
        <x:v>是</x:v>
      </x:c>
      <x:c r="F11" s="17" t="str">
        <x:v>难直接取得</x:v>
      </x:c>
      <x:c r="G11" s="17" t="str">
        <x:v>项目环评、服务半径与需求规模</x:v>
      </x:c>
      <x:c r="H11" s="17" t="str">
        <x:v>设置小/中/大档并以需求分位数校准</x:v>
      </x:c>
      <x:c r="I11" s="17" t="str">
        <x:v>P0</x:v>
      </x:c>
      <x:c r="J11" s="23" t="str">
        <x:v>需情景</x:v>
      </x:c>
    </x:row>
    <x:row r="12">
      <x:c r="A12" s="17" t="str">
        <x:v>容量</x:v>
      </x:c>
      <x:c r="B12" s="17" t="str">
        <x:v>CapP_ks</x:v>
      </x:c>
      <x:c r="C12" s="17" t="str">
        <x:v>再生利用设施规模档</x:v>
      </x:c>
      <x:c r="D12" s="17" t="str">
        <x:v>吨/年</x:v>
      </x:c>
      <x:c r="E12" s="17" t="str">
        <x:v>是</x:v>
      </x:c>
      <x:c r="F12" s="17" t="str">
        <x:v>部分公开</x:v>
      </x:c>
      <x:c r="G12" s="17" t="str">
        <x:v>汕尾1万吨/年、西安2万吨/年、规范企业环评</x:v>
      </x:c>
      <x:c r="H12" s="17" t="str">
        <x:v>用公开项目形成1/2/3万吨档位</x:v>
      </x:c>
      <x:c r="I12" s="17" t="str">
        <x:v>P0</x:v>
      </x:c>
      <x:c r="J12" s="23" t="str">
        <x:v>已获锚点</x:v>
      </x:c>
    </x:row>
    <x:row r="13">
      <x:c r="A13" s="17" t="str">
        <x:v>成本</x:v>
      </x:c>
      <x:c r="B13" s="17" t="str">
        <x:v>FC_R_js</x:v>
      </x:c>
      <x:c r="C13" s="17" t="str">
        <x:v>回收/检测中心年化固定成本</x:v>
      </x:c>
      <x:c r="D13" s="17" t="str">
        <x:v>元/年</x:v>
      </x:c>
      <x:c r="E13" s="17" t="str">
        <x:v>是</x:v>
      </x:c>
      <x:c r="F13" s="17" t="str">
        <x:v>企业内部</x:v>
      </x:c>
      <x:c r="G13" s="17" t="str">
        <x:v>项目投资、设备报价、文献</x:v>
      </x:c>
      <x:c r="H13" s="17" t="str">
        <x:v>资本回收因子年化；采用低/基准/高情景</x:v>
      </x:c>
      <x:c r="I13" s="17" t="str">
        <x:v>P0</x:v>
      </x:c>
      <x:c r="J13" s="30" t="str">
        <x:v>待校准</x:v>
      </x:c>
    </x:row>
    <x:row r="14">
      <x:c r="A14" s="17" t="str">
        <x:v>成本</x:v>
      </x:c>
      <x:c r="B14" s="17" t="str">
        <x:v>FC_P_ks</x:v>
      </x:c>
      <x:c r="C14" s="17" t="str">
        <x:v>再生设施年化固定成本</x:v>
      </x:c>
      <x:c r="D14" s="17" t="str">
        <x:v>元/年</x:v>
      </x:c>
      <x:c r="E14" s="17" t="str">
        <x:v>是</x:v>
      </x:c>
      <x:c r="F14" s="17" t="str">
        <x:v>部分公开</x:v>
      </x:c>
      <x:c r="G14" s="17" t="str">
        <x:v>汕尾/宝鸡/武汉环评投资</x:v>
      </x:c>
      <x:c r="H14" s="17" t="str">
        <x:v>按产能、是否租赁/依托公辅设施进行可比化</x:v>
      </x:c>
      <x:c r="I14" s="17" t="str">
        <x:v>P0</x:v>
      </x:c>
      <x:c r="J14" s="23" t="str">
        <x:v>已有对标</x:v>
      </x:c>
    </x:row>
    <x:row r="15">
      <x:c r="A15" s="17" t="str">
        <x:v>成本</x:v>
      </x:c>
      <x:c r="B15" s="17" t="str">
        <x:v>c_tr</x:v>
      </x:c>
      <x:c r="C15" s="17" t="str">
        <x:v>危险品运输单位成本</x:v>
      </x:c>
      <x:c r="D15" s="17" t="str">
        <x:v>元/(吨·km)</x:v>
      </x:c>
      <x:c r="E15" s="17" t="str">
        <x:v>是</x:v>
      </x:c>
      <x:c r="F15" s="17" t="str">
        <x:v>报价分散</x:v>
      </x:c>
      <x:c r="G15" s="17" t="str">
        <x:v>危运企业询价、招投标、文献</x:v>
      </x:c>
      <x:c r="H15" s="17" t="str">
        <x:v>以三家报价中位数为基准，±20%/±40%情景</x:v>
      </x:c>
      <x:c r="I15" s="17" t="str">
        <x:v>P0</x:v>
      </x:c>
      <x:c r="J15" s="34" t="str">
        <x:v>不可直接取得</x:v>
      </x:c>
    </x:row>
    <x:row r="16">
      <x:c r="A16" s="17" t="str">
        <x:v>成本</x:v>
      </x:c>
      <x:c r="B16" s="17" t="str">
        <x:v>c_sort</x:v>
      </x:c>
      <x:c r="C16" s="17" t="str">
        <x:v>回收检测处理成本</x:v>
      </x:c>
      <x:c r="D16" s="17" t="str">
        <x:v>元/吨</x:v>
      </x:c>
      <x:c r="E16" s="17" t="str">
        <x:v>是</x:v>
      </x:c>
      <x:c r="F16" s="17" t="str">
        <x:v>企业内部</x:v>
      </x:c>
      <x:c r="G16" s="17" t="str">
        <x:v>项目可研、文献、访谈</x:v>
      </x:c>
      <x:c r="H16" s="17" t="str">
        <x:v>残值评估/拆包环节成本区间</x:v>
      </x:c>
      <x:c r="I16" s="17" t="str">
        <x:v>P0</x:v>
      </x:c>
      <x:c r="J16" s="30" t="str">
        <x:v>待校准</x:v>
      </x:c>
    </x:row>
    <x:row r="17">
      <x:c r="A17" s="17" t="str">
        <x:v>成本</x:v>
      </x:c>
      <x:c r="B17" s="17" t="str">
        <x:v>c_rec</x:v>
      </x:c>
      <x:c r="C17" s="17" t="str">
        <x:v>再生利用处理成本</x:v>
      </x:c>
      <x:c r="D17" s="17" t="str">
        <x:v>元/吨</x:v>
      </x:c>
      <x:c r="E17" s="17" t="str">
        <x:v>是</x:v>
      </x:c>
      <x:c r="F17" s="17" t="str">
        <x:v>企业内部</x:v>
      </x:c>
      <x:c r="G17" s="17" t="str">
        <x:v>环评/可研、文献、EverBatt仅作对照</x:v>
      </x:c>
      <x:c r="H17" s="17" t="str">
        <x:v>净收益模型中与材料收入分开列示</x:v>
      </x:c>
      <x:c r="I17" s="17" t="str">
        <x:v>P0</x:v>
      </x:c>
      <x:c r="J17" s="30" t="str">
        <x:v>待校准</x:v>
      </x:c>
    </x:row>
    <x:row r="18">
      <x:c r="A18" s="17" t="str">
        <x:v>收益</x:v>
      </x:c>
      <x:c r="B18" s="17" t="str">
        <x:v>r_mat</x:v>
      </x:c>
      <x:c r="C18" s="17" t="str">
        <x:v>再生材料收入/避免采购成本</x:v>
      </x:c>
      <x:c r="D18" s="17" t="str">
        <x:v>元/吨输入</x:v>
      </x:c>
      <x:c r="E18" s="17" t="str">
        <x:v>是</x:v>
      </x:c>
      <x:c r="F18" s="17" t="str">
        <x:v>可构造</x:v>
      </x:c>
      <x:c r="G18" s="17" t="str">
        <x:v>金属价格×材料含量×回收率</x:v>
      </x:c>
      <x:c r="H18" s="17" t="str">
        <x:v>以月均价/年均价构造，做价格情景</x:v>
      </x:c>
      <x:c r="I18" s="17" t="str">
        <x:v>P1</x:v>
      </x:c>
      <x:c r="J18" s="30" t="str">
        <x:v>待构造</x:v>
      </x:c>
    </x:row>
    <x:row r="19">
      <x:c r="A19" s="17" t="str">
        <x:v>技术</x:v>
      </x:c>
      <x:c r="B19" s="17" t="str">
        <x:v>alpha_m</x:v>
      </x:c>
      <x:c r="C19" s="17" t="str">
        <x:v>材料m产出率</x:v>
      </x:c>
      <x:c r="D19" s="17" t="str">
        <x:v>吨/吨输入</x:v>
      </x:c>
      <x:c r="E19" s="17" t="str">
        <x:v>是</x:v>
      </x:c>
      <x:c r="F19" s="17" t="str">
        <x:v>部分公开</x:v>
      </x:c>
      <x:c r="G19" s="17" t="str">
        <x:v>企业环评物料平衡、规范回收率</x:v>
      </x:c>
      <x:c r="H19" s="17" t="str">
        <x:v>用规范下限校验，不能把回收率当材料含量</x:v>
      </x:c>
      <x:c r="I19" s="17" t="str">
        <x:v>P1</x:v>
      </x:c>
      <x:c r="J19" s="30" t="str">
        <x:v>待构造</x:v>
      </x:c>
    </x:row>
    <x:row r="20">
      <x:c r="A20" s="17" t="str">
        <x:v>政策</x:v>
      </x:c>
      <x:c r="B20" s="17" t="str">
        <x:v>eligible_k</x:v>
      </x:c>
      <x:c r="C20" s="17" t="str">
        <x:v>候选处理企业合规性</x:v>
      </x:c>
      <x:c r="D20" s="17" t="str">
        <x:v>0/1</x:v>
      </x:c>
      <x:c r="E20" s="17" t="str">
        <x:v>是</x:v>
      </x:c>
      <x:c r="F20" s="17" t="str">
        <x:v>公开可得</x:v>
      </x:c>
      <x:c r="G20" s="17" t="str">
        <x:v>工信部最新规范企业公告、环评/许可</x:v>
      </x:c>
      <x:c r="H20" s="17" t="str">
        <x:v>不合规候选点直接剔除</x:v>
      </x:c>
      <x:c r="I20" s="17" t="str">
        <x:v>P0</x:v>
      </x:c>
      <x:c r="J20" s="30" t="str">
        <x:v>待更新</x:v>
      </x:c>
    </x:row>
    <x:row r="21">
      <x:c r="A21" s="17" t="str">
        <x:v>服务</x:v>
      </x:c>
      <x:c r="B21" s="17" t="str">
        <x:v>Rmax</x:v>
      </x:c>
      <x:c r="C21" s="17" t="str">
        <x:v>最大服务半径</x:v>
      </x:c>
      <x:c r="D21" s="17" t="str">
        <x:v>km</x:v>
      </x:c>
      <x:c r="E21" s="17" t="str">
        <x:v>可选</x:v>
      </x:c>
      <x:c r="F21" s="17" t="str">
        <x:v>政策/管理设定</x:v>
      </x:c>
      <x:c r="G21" s="17" t="str">
        <x:v>回收网点规范、企业运营要求</x:v>
      </x:c>
      <x:c r="H21" s="17" t="str">
        <x:v>在100/200/300km做情景，不作为硬真值</x:v>
      </x:c>
      <x:c r="I21" s="17" t="str">
        <x:v>P1</x:v>
      </x:c>
      <x:c r="J21" s="30" t="str">
        <x:v>待设定</x:v>
      </x:c>
    </x:row>
    <x:row r="22">
      <x:c r="A22" s="17" t="str">
        <x:v>梯次</x:v>
      </x:c>
      <x:c r="B22" s="17" t="str">
        <x:v>beta</x:v>
      </x:c>
      <x:c r="C22" s="17" t="str">
        <x:v>可梯次利用比例</x:v>
      </x:c>
      <x:c r="D22" s="17" t="str">
        <x:v>比例</x:v>
      </x:c>
      <x:c r="E22" s="17" t="str">
        <x:v>否（扩展）</x:v>
      </x:c>
      <x:c r="F22" s="17" t="str">
        <x:v>企业内部</x:v>
      </x:c>
      <x:c r="G22" s="17" t="str">
        <x:v>SOH检测数据、文献</x:v>
      </x:c>
      <x:c r="H22" s="17" t="str">
        <x:v>固定比例情景；避免在基础模型中优化SOH</x:v>
      </x:c>
      <x:c r="I22" s="17" t="str">
        <x:v>P2</x:v>
      </x:c>
      <x:c r="J22" s="23" t="str">
        <x:v>扩展</x:v>
      </x:c>
    </x:row>
    <x:row r="23">
      <x:c r="A23" s="17" t="str">
        <x:v>梯次</x:v>
      </x:c>
      <x:c r="B23" s="17" t="str">
        <x:v>CapE</x:v>
      </x:c>
      <x:c r="C23" s="17" t="str">
        <x:v>梯次利用设施能力</x:v>
      </x:c>
      <x:c r="D23" s="17" t="str">
        <x:v>MWh/年或吨/年</x:v>
      </x:c>
      <x:c r="E23" s="17" t="str">
        <x:v>否（扩展）</x:v>
      </x:c>
      <x:c r="F23" s="17" t="str">
        <x:v>部分公开</x:v>
      </x:c>
      <x:c r="G23" s="17" t="str">
        <x:v>汕尾240+160MWh/年</x:v>
      </x:c>
      <x:c r="H23" s="17" t="str">
        <x:v>建立独立单位换算表，禁止与吨数直接相加</x:v>
      </x:c>
      <x:c r="I23" s="17" t="str">
        <x:v>P2</x:v>
      </x:c>
      <x:c r="J23" s="23" t="str">
        <x:v>已获锚点</x:v>
      </x:c>
    </x:row>
    <x:row r="24">
      <x:c r="A24" s="17" t="str">
        <x:v>碳排</x:v>
      </x:c>
      <x:c r="B24" s="17" t="str">
        <x:v>e_tr/e_proc</x:v>
      </x:c>
      <x:c r="C24" s="17" t="str">
        <x:v>运输与处理排放因子</x:v>
      </x:c>
      <x:c r="D24" s="17" t="str">
        <x:v>kgCO2e/(吨·km), kgCO2e/吨</x:v>
      </x:c>
      <x:c r="E24" s="17" t="str">
        <x:v>否（扩展）</x:v>
      </x:c>
      <x:c r="F24" s="17" t="str">
        <x:v>文献可得</x:v>
      </x:c>
      <x:c r="G24" s="17" t="str">
        <x:v>LCA数据库/企业碳报告</x:v>
      </x:c>
      <x:c r="H24" s="17" t="str">
        <x:v>第二阶段再加入，避免主模型双目标过载</x:v>
      </x:c>
      <x:c r="I24" s="17" t="str">
        <x:v>P2</x:v>
      </x:c>
      <x:c r="J24" s="23" t="str">
        <x:v>扩展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16" hidden="0" customWidth="1"/>
    <x:col min="5" max="5" width="36" hidden="0" customWidth="1"/>
    <x:col min="6" max="6" width="20" hidden="0" customWidth="1"/>
    <x:col min="7" max="7" width="28" hidden="0" customWidth="1"/>
    <x:col min="8" max="8" width="55" hidden="0" customWidth="1"/>
  </x:cols>
  <x:sheetData>
    <x:row r="1" ht="30" customHeight="1">
      <x:c r="A1" s="4" t="str">
        <x:v>RELOG思想与中国动力电池模型的映射</x:v>
      </x:c>
      <x:c r="B1" s="4" t="str">
        <x:v>RELOG思想与中国动力电池模型的映射</x:v>
      </x:c>
      <x:c r="C1" s="4" t="str">
        <x:v>RELOG思想与中国动力电池模型的映射</x:v>
      </x:c>
      <x:c r="D1" s="4" t="str">
        <x:v>RELOG思想与中国动力电池模型的映射</x:v>
      </x:c>
      <x:c r="E1" s="4" t="str">
        <x:v>RELOG思想与中国动力电池模型的映射</x:v>
      </x:c>
      <x:c r="F1" s="4" t="str">
        <x:v>RELOG思想与中国动力电池模型的映射</x:v>
      </x:c>
      <x:c r="G1" s="4" t="str">
        <x:v>RELOG思想与中国动力电池模型的映射</x:v>
      </x:c>
      <x:c r="H1" s="4" t="str">
        <x:v>RELOG思想与中国动力电池模型的映射</x:v>
      </x:c>
    </x:row>
    <x:row r="3" ht="28" customHeight="1">
      <x:c r="A3" s="14" t="str">
        <x:v>RELOG要素</x:v>
      </x:c>
      <x:c r="B3" s="14" t="str">
        <x:v>官方含义</x:v>
      </x:c>
      <x:c r="C3" s="14" t="str">
        <x:v>论文中的对应</x:v>
      </x:c>
      <x:c r="D3" s="14" t="str">
        <x:v>保留/修改</x:v>
      </x:c>
      <x:c r="E3" s="14" t="str">
        <x:v>原因</x:v>
      </x:c>
      <x:c r="F3" s="14" t="str">
        <x:v>模型章节位置</x:v>
      </x:c>
      <x:c r="G3" s="14" t="str">
        <x:v>所需数据</x:v>
      </x:c>
      <x:c r="H3" s="14" t="str">
        <x:v>来源URL</x:v>
      </x:c>
    </x:row>
    <x:row r="4">
      <x:c r="A4" s="17" t="str">
        <x:v>initial amounts</x:v>
      </x:c>
      <x:c r="B4" s="17" t="str">
        <x:v>各地点初始可用产品量</x:v>
      </x:c>
      <x:c r="C4" s="17" t="str">
        <x:v>广东21市退役BYD电池量D_i</x:v>
      </x:c>
      <x:c r="D4" s="17" t="str">
        <x:v>修改</x:v>
      </x:c>
      <x:c r="E4" s="17" t="str">
        <x:v>由车龄队列+地区权重估算</x:v>
      </x:c>
      <x:c r="F4" s="17" t="str">
        <x:v>4.2参数/5.2数据</x:v>
      </x:c>
      <x:c r="G4" s="17" t="str">
        <x:v>城市退役量</x:v>
      </x:c>
      <x:c r="H4" s="17" t="str">
        <x:v>https://anl-ceeesa.github.io/RELOG/0.7/format/</x:v>
      </x:c>
    </x:row>
    <x:row r="5">
      <x:c r="A5" s="17" t="str">
        <x:v>potential plant locations</x:v>
      </x:c>
      <x:c r="B5" s="17" t="str">
        <x:v>候选工厂位置</x:v>
      </x:c>
      <x:c r="C5" s="17" t="str">
        <x:v>BYD回收点、汕尾/西安工厂、合规合作企业</x:v>
      </x:c>
      <x:c r="D5" s="17" t="str">
        <x:v>保留思想</x:v>
      </x:c>
      <x:c r="E5" s="17" t="str">
        <x:v>候选点必须有现实约束</x:v>
      </x:c>
      <x:c r="F5" s="17" t="str">
        <x:v>4.1网络结构</x:v>
      </x:c>
      <x:c r="G5" s="17" t="str">
        <x:v>经纬度/资质</x:v>
      </x:c>
      <x:c r="H5" s="17" t="str">
        <x:v>https://anl-ceeesa.github.io/RELOG/0.7/usage/</x:v>
      </x:c>
    </x:row>
    <x:row r="6">
      <x:c r="A6" s="17" t="str">
        <x:v>capacities</x:v>
      </x:c>
      <x:c r="B6" s="17" t="str">
        <x:v>设施容量档</x:v>
      </x:c>
      <x:c r="C6" s="17" t="str">
        <x:v>回收中心与再生设施规模档</x:v>
      </x:c>
      <x:c r="D6" s="17" t="str">
        <x:v>保留思想</x:v>
      </x:c>
      <x:c r="E6" s="17" t="str">
        <x:v>回答建多大</x:v>
      </x:c>
      <x:c r="F6" s="17" t="str">
        <x:v>4.3变量</x:v>
      </x:c>
      <x:c r="G6" s="17" t="str">
        <x:v>容量/投资</x:v>
      </x:c>
      <x:c r="H6" s="17" t="str">
        <x:v>https://anl-ceeesa.github.io/RELOG/0.7/format/</x:v>
      </x:c>
    </x:row>
    <x:row r="7">
      <x:c r="A7" s="17" t="str">
        <x:v>opening/fixed cost</x:v>
      </x:c>
      <x:c r="B7" s="17" t="str">
        <x:v>建设与固定运营成本</x:v>
      </x:c>
      <x:c r="C7" s="17" t="str">
        <x:v>年化固定成本</x:v>
      </x:c>
      <x:c r="D7" s="17" t="str">
        <x:v>修改单位</x:v>
      </x:c>
      <x:c r="E7" s="17" t="str">
        <x:v>统一人民币与研究期</x:v>
      </x:c>
      <x:c r="F7" s="17" t="str">
        <x:v>4.4目标函数</x:v>
      </x:c>
      <x:c r="G7" s="17" t="str">
        <x:v>项目投资/寿命/贴现率</x:v>
      </x:c>
      <x:c r="H7" s="17" t="str">
        <x:v>https://anl-ceeesa.github.io/RELOG/0.7/model/</x:v>
      </x:c>
    </x:row>
    <x:row r="8">
      <x:c r="A8" s="17" t="str">
        <x:v>transportation cost</x:v>
      </x:c>
      <x:c r="B8" s="17" t="str">
        <x:v>吨公里运输成本</x:v>
      </x:c>
      <x:c r="C8" s="17" t="str">
        <x:v>前端+后端危运成本</x:v>
      </x:c>
      <x:c r="D8" s="17" t="str">
        <x:v>扩展为两段</x:v>
      </x:c>
      <x:c r="E8" s="17" t="str">
        <x:v>中国回收网络有收集与集中处理两段</x:v>
      </x:c>
      <x:c r="F8" s="17" t="str">
        <x:v>4.4目标函数</x:v>
      </x:c>
      <x:c r="G8" s="17" t="str">
        <x:v>道路距离/危运报价</x:v>
      </x:c>
      <x:c r="H8" s="17" t="str">
        <x:v>https://anl-ceeesa.github.io/RELOG/0.7/model/</x:v>
      </x:c>
    </x:row>
    <x:row r="9">
      <x:c r="A9" s="17" t="str">
        <x:v>outputs tonne/tonne</x:v>
      </x:c>
      <x:c r="B9" s="17" t="str">
        <x:v>处理产出率</x:v>
      </x:c>
      <x:c r="C9" s="17" t="str">
        <x:v>锂盐/磷酸铁/石墨等回收产出</x:v>
      </x:c>
      <x:c r="D9" s="17" t="str">
        <x:v>保留思想</x:v>
      </x:c>
      <x:c r="E9" s="17" t="str">
        <x:v>体现闭环材料回流价值</x:v>
      </x:c>
      <x:c r="F9" s="17" t="str">
        <x:v>4.2参数</x:v>
      </x:c>
      <x:c r="G9" s="17" t="str">
        <x:v>材料含量/回收率</x:v>
      </x:c>
      <x:c r="H9" s="17" t="str">
        <x:v>https://anl-ceeesa.github.io/RELOG/0.7/format/</x:v>
      </x:c>
    </x:row>
    <x:row r="10">
      <x:c r="A10" s="17" t="str">
        <x:v>disposal cost/profit</x:v>
      </x:c>
      <x:c r="B10" s="17" t="str">
        <x:v>处置可为成本或收益</x:v>
      </x:c>
      <x:c r="C10" s="17" t="str">
        <x:v>再生材料收入或避免采购成本</x:v>
      </x:c>
      <x:c r="D10" s="17" t="str">
        <x:v>修改表述</x:v>
      </x:c>
      <x:c r="E10" s="17" t="str">
        <x:v>避免用负成本掩盖收益口径</x:v>
      </x:c>
      <x:c r="F10" s="17" t="str">
        <x:v>4.4目标函数</x:v>
      </x:c>
      <x:c r="G10" s="17" t="str">
        <x:v>材料价格</x:v>
      </x:c>
      <x:c r="H10" s="17" t="str">
        <x:v>https://anl-ceeesa.github.io/RELOG/0.7/usage/</x:v>
      </x:c>
    </x:row>
    <x:row r="11">
      <x:c r="A11" s="17" t="str">
        <x:v>multi-period/storage</x:v>
      </x:c>
      <x:c r="B11" s="17" t="str">
        <x:v>跨期建设扩容与储存</x:v>
      </x:c>
      <x:c r="C11" s="17" t="str">
        <x:v>基础模型不启用</x:v>
      </x:c>
      <x:c r="D11" s="17" t="str">
        <x:v>暂不保留</x:v>
      </x:c>
      <x:c r="E11" s="17" t="str">
        <x:v>减少数据量与解释负担</x:v>
      </x:c>
      <x:c r="F11" s="17" t="str">
        <x:v>7.3局限与展望</x:v>
      </x:c>
      <x:c r="G11" s="17" t="str">
        <x:v>多期需求/库存成本</x:v>
      </x:c>
      <x:c r="H11" s="17" t="str">
        <x:v>https://anl-ceeesa.github.io/RELOG/0.7/usage/</x:v>
      </x:c>
    </x:row>
    <x:row r="12">
      <x:c r="A12" s="17" t="str">
        <x:v>what-if resolve</x:v>
      </x:c>
      <x:c r="B12" s="17" t="str">
        <x:v>固定设施后重优化运营</x:v>
      </x:c>
      <x:c r="C12" s="17" t="str">
        <x:v>需求/成本/价格情景与稳健性分析</x:v>
      </x:c>
      <x:c r="D12" s="17" t="str">
        <x:v>保留思想</x:v>
      </x:c>
      <x:c r="E12" s="17" t="str">
        <x:v>处理参数不确定性</x:v>
      </x:c>
      <x:c r="F12" s="17" t="str">
        <x:v>6.5敏感性</x:v>
      </x:c>
      <x:c r="G12" s="17" t="str">
        <x:v>情景参数</x:v>
      </x:c>
      <x:c r="H12" s="17" t="str">
        <x:v>https://anl-ceeesa.github.io/RELOG/0.7/usage/</x:v>
      </x:c>
    </x:row>
    <x:row r="13">
      <x:c r="A13" s="17" t="str">
        <x:v>MILP facility location</x:v>
      </x:c>
      <x:c r="B13" s="17" t="str">
        <x:v>选址—容量—分配</x:v>
      </x:c>
      <x:c r="C13" s="17" t="str">
        <x:v>中国动力电池逆向物流MILP</x:v>
      </x:c>
      <x:c r="D13" s="17" t="str">
        <x:v>保留核心</x:v>
      </x:c>
      <x:c r="E13" s="17" t="str">
        <x:v>论文方法主干</x:v>
      </x:c>
      <x:c r="F13" s="17" t="str">
        <x:v>第4章</x:v>
      </x:c>
      <x:c r="G13" s="17" t="str">
        <x:v>全套输入</x:v>
      </x:c>
      <x:c r="H13" s="17" t="str">
        <x:v>https://anl-ceeesa.github.io/RELOG/0.7/model/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48" hidden="0" customWidth="1"/>
    <x:col min="8" max="8" width="14" hidden="0" customWidth="1"/>
    <x:col min="9" max="9" width="18" hidden="0" customWidth="1"/>
  </x:cols>
  <x:sheetData>
    <x:row r="1" ht="30" customHeight="1">
      <x:c r="A1" s="4" t="str">
        <x:v>完整情景参数（公开数据估算 + 文献情景 + 模型假设）</x:v>
      </x:c>
      <x:c r="B1" s="4" t="str">
        <x:v>完整情景参数（公开数据估算 + 文献情景 + 模型假设）</x:v>
      </x:c>
      <x:c r="C1" s="4" t="str">
        <x:v>完整情景参数（公开数据估算 + 文献情景 + 模型假设）</x:v>
      </x:c>
      <x:c r="D1" s="4" t="str">
        <x:v>完整情景参数（公开数据估算 + 文献情景 + 模型假设）</x:v>
      </x:c>
      <x:c r="E1" s="4" t="str">
        <x:v>完整情景参数（公开数据估算 + 文献情景 + 模型假设）</x:v>
      </x:c>
      <x:c r="F1" s="4" t="str">
        <x:v>完整情景参数（公开数据估算 + 文献情景 + 模型假设）</x:v>
      </x:c>
      <x:c r="G1" s="4" t="str">
        <x:v>完整情景参数（公开数据估算 + 文献情景 + 模型假设）</x:v>
      </x:c>
      <x:c r="H1" s="4" t="str">
        <x:v>完整情景参数（公开数据估算 + 文献情景 + 模型假设）</x:v>
      </x:c>
      <x:c r="I1" s="4" t="str">
        <x:v>完整情景参数（公开数据估算 + 文献情景 + 模型假设）</x:v>
      </x:c>
    </x:row>
    <x:row r="3" ht="28" customHeight="1">
      <x:c r="A3" s="14" t="str">
        <x:v>参数</x:v>
      </x:c>
      <x:c r="B3" s="14" t="str">
        <x:v>单位</x:v>
      </x:c>
      <x:c r="C3" s="14" t="str">
        <x:v>低情景</x:v>
      </x:c>
      <x:c r="D3" s="14" t="str">
        <x:v>基准情景</x:v>
      </x:c>
      <x:c r="E3" s="14" t="str">
        <x:v>高情景</x:v>
      </x:c>
      <x:c r="F3" s="14" t="str">
        <x:v>变动方式</x:v>
      </x:c>
      <x:c r="G3" s="14" t="str">
        <x:v>数据锚点</x:v>
      </x:c>
      <x:c r="H3" s="14" t="str">
        <x:v>基础/扩展</x:v>
      </x:c>
      <x:c r="I3" s="14" t="str">
        <x:v>状态</x:v>
      </x:c>
    </x:row>
    <x:row r="4">
      <x:c r="A4" s="17" t="str">
        <x:v>2025广东BYD退役电池估算</x:v>
      </x:c>
      <x:c r="B4" s="17" t="str">
        <x:v>吨/年</x:v>
      </x:c>
      <x:c r="C4" s="30" t="n">
        <x:v>3592.88</x:v>
      </x:c>
      <x:c r="D4" s="30" t="n">
        <x:v>8791.46</x:v>
      </x:c>
      <x:c r="E4" s="30" t="n">
        <x:v>23257.32</x:v>
      </x:c>
      <x:c r="F4" s="17" t="str">
        <x:v>低=长寿命×275kg；基准=中寿命×400kg；高=早退役×550kg</x:v>
      </x:c>
      <x:c r="G4" s="17" t="str">
        <x:v>BYD销量车龄队列×广东9.65%代理份额×单车电池质量</x:v>
      </x:c>
      <x:c r="H4" s="17" t="str">
        <x:v>基础</x:v>
      </x:c>
      <x:c r="I4" s="23" t="str">
        <x:v>C/D-可复现估算，非企业实绩</x:v>
      </x:c>
    </x:row>
    <x:row r="5">
      <x:c r="A5" s="17" t="str">
        <x:v>地区需求权重</x:v>
      </x:c>
      <x:c r="B5" s="17" t="str">
        <x:v>比例</x:v>
      </x:c>
      <x:c r="C5" s="30" t="str">
        <x:v>S1 GDP50%+人口50%</x:v>
      </x:c>
      <x:c r="D5" s="30" t="str">
        <x:v>S3 NEV零售代理</x:v>
      </x:c>
      <x:c r="E5" s="30" t="str">
        <x:v>S2 NEV60%+人口20%+GDP20%</x:v>
      </x:c>
      <x:c r="F5" s="17" t="str">
        <x:v>三个完整情景分别运行，不逐城切换算法</x:v>
      </x:c>
      <x:c r="G5" s="17" t="str">
        <x:v>21市均已完整；S3仍不是BYD真实上牌量</x:v>
      </x:c>
      <x:c r="H5" s="17" t="str">
        <x:v>基础</x:v>
      </x:c>
      <x:c r="I5" s="23" t="str">
        <x:v>C-代理情景</x:v>
      </x:c>
    </x:row>
    <x:row r="6">
      <x:c r="A6" s="17" t="str">
        <x:v>回收中心容量</x:v>
      </x:c>
      <x:c r="B6" s="17" t="str">
        <x:v>吨/年</x:v>
      </x:c>
      <x:c r="C6" s="30" t="n">
        <x:v>1000</x:v>
      </x:c>
      <x:c r="D6" s="30" t="n">
        <x:v>3000</x:v>
      </x:c>
      <x:c r="E6" s="30" t="n">
        <x:v>5000</x:v>
      </x:c>
      <x:c r="F6" s="17" t="str">
        <x:v>小/中/大情景</x:v>
      </x:c>
      <x:c r="G6" s="17" t="str">
        <x:v>城市级虚拟节点，无公开企业容量</x:v>
      </x:c>
      <x:c r="H6" s="17" t="str">
        <x:v>基础</x:v>
      </x:c>
      <x:c r="I6" s="23" t="str">
        <x:v>D-模型假设</x:v>
      </x:c>
    </x:row>
    <x:row r="7">
      <x:c r="A7" s="17" t="str">
        <x:v>梯次利用设施容量</x:v>
      </x:c>
      <x:c r="B7" s="17" t="str">
        <x:v>吨/年</x:v>
      </x:c>
      <x:c r="C7" s="30" t="n">
        <x:v>1000</x:v>
      </x:c>
      <x:c r="D7" s="30" t="n">
        <x:v>3000</x:v>
      </x:c>
      <x:c r="E7" s="30" t="n">
        <x:v>5000</x:v>
      </x:c>
      <x:c r="F7" s="17" t="str">
        <x:v>以2024规范最低产能为下限</x:v>
      </x:c>
      <x:c r="G7" s="17" t="str">
        <x:v>规范最低1000吨/年，不代表实际产能</x:v>
      </x:c>
      <x:c r="H7" s="17" t="str">
        <x:v>扩展</x:v>
      </x:c>
      <x:c r="I7" s="23" t="str">
        <x:v>A-下限+D-情景</x:v>
      </x:c>
    </x:row>
    <x:row r="8">
      <x:c r="A8" s="17" t="str">
        <x:v>再生利用设施容量</x:v>
      </x:c>
      <x:c r="B8" s="17" t="str">
        <x:v>吨/年</x:v>
      </x:c>
      <x:c r="C8" s="30" t="n">
        <x:v>5000</x:v>
      </x:c>
      <x:c r="D8" s="30" t="n">
        <x:v>10000</x:v>
      </x:c>
      <x:c r="E8" s="30" t="n">
        <x:v>20000</x:v>
      </x:c>
      <x:c r="F8" s="17" t="str">
        <x:v>规范下限+汕尾/西安项目锚点</x:v>
      </x:c>
      <x:c r="G8" s="17" t="str">
        <x:v>最低5000；汕尾10000；西安20000</x:v>
      </x:c>
      <x:c r="H8" s="17" t="str">
        <x:v>基础</x:v>
      </x:c>
      <x:c r="I8" s="23" t="str">
        <x:v>A/B-锚点</x:v>
      </x:c>
    </x:row>
    <x:row r="9">
      <x:c r="A9" s="17" t="str">
        <x:v>回收中心建设投资</x:v>
      </x:c>
      <x:c r="B9" s="17" t="str">
        <x:v>万元/座</x:v>
      </x:c>
      <x:c r="C9" s="30" t="n">
        <x:v>150</x:v>
      </x:c>
      <x:c r="D9" s="30" t="n">
        <x:v>300</x:v>
      </x:c>
      <x:c r="E9" s="30" t="n">
        <x:v>500</x:v>
      </x:c>
      <x:c r="F9" s="17" t="str">
        <x:v>按小/中/大档设置</x:v>
      </x:c>
      <x:c r="G9" s="17" t="str">
        <x:v>无公开可比项目，必须做敏感性</x:v>
      </x:c>
      <x:c r="H9" s="17" t="str">
        <x:v>基础</x:v>
      </x:c>
      <x:c r="I9" s="23" t="str">
        <x:v>D-模型假设</x:v>
      </x:c>
    </x:row>
    <x:row r="10">
      <x:c r="A10" s="17" t="str">
        <x:v>梯次设施单位投资</x:v>
      </x:c>
      <x:c r="B10" s="17" t="str">
        <x:v>万元/(吨/年)</x:v>
      </x:c>
      <x:c r="C10" s="30" t="n">
        <x:v>0.2</x:v>
      </x:c>
      <x:c r="D10" s="30" t="n">
        <x:v>0.25</x:v>
      </x:c>
      <x:c r="E10" s="30" t="n">
        <x:v>0.35</x:v>
      </x:c>
      <x:c r="F10" s="17" t="str">
        <x:v>由公开综合项目量级构造区间</x:v>
      </x:c>
      <x:c r="G10" s="17" t="str">
        <x:v>武汉5000万元/2万吨含回收与梯次，不能视为纯梯次真值</x:v>
      </x:c>
      <x:c r="H10" s="17" t="str">
        <x:v>扩展</x:v>
      </x:c>
      <x:c r="I10" s="23" t="str">
        <x:v>C/D-校准假设</x:v>
      </x:c>
    </x:row>
    <x:row r="11">
      <x:c r="A11" s="17" t="str">
        <x:v>再生设施单位投资</x:v>
      </x:c>
      <x:c r="B11" s="17" t="str">
        <x:v>万元/(吨/年)</x:v>
      </x:c>
      <x:c r="C11" s="30" t="n">
        <x:v>0.32</x:v>
      </x:c>
      <x:c r="D11" s="30" t="n">
        <x:v>0.390465</x:v>
      </x:c>
      <x:c r="E11" s="30" t="n">
        <x:v>0.55</x:v>
      </x:c>
      <x:c r="F11" s="17" t="str">
        <x:v>按单位产能折算</x:v>
      </x:c>
      <x:c r="G11" s="17" t="str">
        <x:v>汕尾3904.65万元/1万吨为基准锚点</x:v>
      </x:c>
      <x:c r="H11" s="17" t="str">
        <x:v>基础</x:v>
      </x:c>
      <x:c r="I11" s="23" t="str">
        <x:v>B-项目校准</x:v>
      </x:c>
    </x:row>
    <x:row r="12">
      <x:c r="A12" s="17" t="str">
        <x:v>运输成本_来源到回收</x:v>
      </x:c>
      <x:c r="B12" s="17" t="str">
        <x:v>元/(吨·km)</x:v>
      </x:c>
      <x:c r="C12" s="30" t="n">
        <x:v>0.34</x:v>
      </x:c>
      <x:c r="D12" s="30" t="n">
        <x:v>0.49</x:v>
      </x:c>
      <x:c r="E12" s="30" t="n">
        <x:v>0.64</x:v>
      </x:c>
      <x:c r="F12" s="17" t="str">
        <x:v>文献基准±约30%</x:v>
      </x:c>
      <x:c r="G12" s="17" t="str">
        <x:v>运输综述汇总的中国研究0.07美元/(吨·km)×7.0</x:v>
      </x:c>
      <x:c r="H12" s="17" t="str">
        <x:v>基础</x:v>
      </x:c>
      <x:c r="I12" s="23" t="str">
        <x:v>C-文献情景</x:v>
      </x:c>
    </x:row>
    <x:row r="13">
      <x:c r="A13" s="17" t="str">
        <x:v>运输成本_回收到梯次</x:v>
      </x:c>
      <x:c r="B13" s="17" t="str">
        <x:v>元/(吨·km)</x:v>
      </x:c>
      <x:c r="C13" s="30" t="n">
        <x:v>0.34</x:v>
      </x:c>
      <x:c r="D13" s="30" t="n">
        <x:v>0.49</x:v>
      </x:c>
      <x:c r="E13" s="30" t="n">
        <x:v>0.64</x:v>
      </x:c>
      <x:c r="F13" s="17" t="str">
        <x:v>暂与前段一致</x:v>
      </x:c>
      <x:c r="G13" s="17" t="str">
        <x:v>缺少分段危运报价，不人为制造差异</x:v>
      </x:c>
      <x:c r="H13" s="17" t="str">
        <x:v>扩展</x:v>
      </x:c>
      <x:c r="I13" s="23" t="str">
        <x:v>C-文献情景</x:v>
      </x:c>
    </x:row>
    <x:row r="14">
      <x:c r="A14" s="17" t="str">
        <x:v>运输成本_回收到再生</x:v>
      </x:c>
      <x:c r="B14" s="17" t="str">
        <x:v>元/(吨·km)</x:v>
      </x:c>
      <x:c r="C14" s="30" t="n">
        <x:v>0.34</x:v>
      </x:c>
      <x:c r="D14" s="30" t="n">
        <x:v>0.49</x:v>
      </x:c>
      <x:c r="E14" s="30" t="n">
        <x:v>0.64</x:v>
      </x:c>
      <x:c r="F14" s="17" t="str">
        <x:v>暂与前段一致</x:v>
      </x:c>
      <x:c r="G14" s="17" t="str">
        <x:v>缺少分段危运报价，不人为制造差异</x:v>
      </x:c>
      <x:c r="H14" s="17" t="str">
        <x:v>基础</x:v>
      </x:c>
      <x:c r="I14" s="23" t="str">
        <x:v>C-文献情景</x:v>
      </x:c>
    </x:row>
    <x:row r="15">
      <x:c r="A15" s="17" t="str">
        <x:v>回收检测单位成本</x:v>
      </x:c>
      <x:c r="B15" s="17" t="str">
        <x:v>元/吨</x:v>
      </x:c>
      <x:c r="C15" s="30" t="n">
        <x:v>400</x:v>
      </x:c>
      <x:c r="D15" s="30" t="n">
        <x:v>800</x:v>
      </x:c>
      <x:c r="E15" s="30" t="n">
        <x:v>1200</x:v>
      </x:c>
      <x:c r="F15" s="17" t="str">
        <x:v>登记、检测、放电、包装、暂存的组合情景</x:v>
      </x:c>
      <x:c r="G15" s="17" t="str">
        <x:v>无公开企业成本，正式实证需询价/访谈</x:v>
      </x:c>
      <x:c r="H15" s="17" t="str">
        <x:v>基础</x:v>
      </x:c>
      <x:c r="I15" s="23" t="str">
        <x:v>D-模型假设</x:v>
      </x:c>
    </x:row>
    <x:row r="16">
      <x:c r="A16" s="17" t="str">
        <x:v>梯次利用单位成本</x:v>
      </x:c>
      <x:c r="B16" s="17" t="str">
        <x:v>元/吨</x:v>
      </x:c>
      <x:c r="C16" s="30" t="n">
        <x:v>3500</x:v>
      </x:c>
      <x:c r="D16" s="30" t="n">
        <x:v>5500</x:v>
      </x:c>
      <x:c r="E16" s="30" t="n">
        <x:v>8000</x:v>
      </x:c>
      <x:c r="F16" s="17" t="str">
        <x:v>SOH检测、拆解、重组、BMS匹配情景</x:v>
      </x:c>
      <x:c r="G16" s="17" t="str">
        <x:v>无企业真实成本，采用宽区间敏感性</x:v>
      </x:c>
      <x:c r="H16" s="17" t="str">
        <x:v>扩展</x:v>
      </x:c>
      <x:c r="I16" s="23" t="str">
        <x:v>D-模型假设</x:v>
      </x:c>
    </x:row>
    <x:row r="17">
      <x:c r="A17" s="17" t="str">
        <x:v>再生利用单位成本</x:v>
      </x:c>
      <x:c r="B17" s="17" t="str">
        <x:v>元/吨</x:v>
      </x:c>
      <x:c r="C17" s="30" t="n">
        <x:v>10097</x:v>
      </x:c>
      <x:c r="D17" s="30" t="n">
        <x:v>12621</x:v>
      </x:c>
      <x:c r="E17" s="30" t="n">
        <x:v>15145</x:v>
      </x:c>
      <x:c r="F17" s="17" t="str">
        <x:v>1803美元/吨×7.0，再上下浮动20%</x:v>
      </x:c>
      <x:c r="G17" s="17" t="str">
        <x:v>国际同行评议论文，仅作敏感性</x:v>
      </x:c>
      <x:c r="H17" s="17" t="str">
        <x:v>基础</x:v>
      </x:c>
      <x:c r="I17" s="23" t="str">
        <x:v>C-文献情景</x:v>
      </x:c>
    </x:row>
    <x:row r="18">
      <x:c r="A18" s="17" t="str">
        <x:v>最大距离_来源到回收</x:v>
      </x:c>
      <x:c r="B18" s="17" t="str">
        <x:v>km</x:v>
      </x:c>
      <x:c r="C18" s="30" t="n">
        <x:v>100</x:v>
      </x:c>
      <x:c r="D18" s="30" t="n">
        <x:v>150</x:v>
      </x:c>
      <x:c r="E18" s="30" t="n">
        <x:v>200</x:v>
      </x:c>
      <x:c r="F18" s="17" t="str">
        <x:v>服务半径约束情景</x:v>
      </x:c>
      <x:c r="G18" s="17" t="str">
        <x:v>管理假设</x:v>
      </x:c>
      <x:c r="H18" s="17" t="str">
        <x:v>基础</x:v>
      </x:c>
      <x:c r="I18" s="23" t="str">
        <x:v>D-模型假设</x:v>
      </x:c>
    </x:row>
    <x:row r="19">
      <x:c r="A19" s="17" t="str">
        <x:v>最大距离_回收到梯次</x:v>
      </x:c>
      <x:c r="B19" s="17" t="str">
        <x:v>km</x:v>
      </x:c>
      <x:c r="C19" s="30" t="n">
        <x:v>200</x:v>
      </x:c>
      <x:c r="D19" s="30" t="n">
        <x:v>300</x:v>
      </x:c>
      <x:c r="E19" s="30" t="n">
        <x:v>400</x:v>
      </x:c>
      <x:c r="F19" s="17" t="str">
        <x:v>服务半径约束情景</x:v>
      </x:c>
      <x:c r="G19" s="17" t="str">
        <x:v>管理假设</x:v>
      </x:c>
      <x:c r="H19" s="17" t="str">
        <x:v>扩展</x:v>
      </x:c>
      <x:c r="I19" s="23" t="str">
        <x:v>D-模型假设</x:v>
      </x:c>
    </x:row>
    <x:row r="20">
      <x:c r="A20" s="17" t="str">
        <x:v>最大距离_回收到再生</x:v>
      </x:c>
      <x:c r="B20" s="17" t="str">
        <x:v>km</x:v>
      </x:c>
      <x:c r="C20" s="30" t="n">
        <x:v>300</x:v>
      </x:c>
      <x:c r="D20" s="30" t="n">
        <x:v>400</x:v>
      </x:c>
      <x:c r="E20" s="30" t="n">
        <x:v>500</x:v>
      </x:c>
      <x:c r="F20" s="17" t="str">
        <x:v>服务半径约束情景</x:v>
      </x:c>
      <x:c r="G20" s="17" t="str">
        <x:v>管理假设</x:v>
      </x:c>
      <x:c r="H20" s="17" t="str">
        <x:v>基础</x:v>
      </x:c>
      <x:c r="I20" s="23" t="str">
        <x:v>D-模型假设</x:v>
      </x:c>
    </x:row>
    <x:row r="21">
      <x:c r="A21" s="17" t="str">
        <x:v>reuse_share</x:v>
      </x:c>
      <x:c r="B21" s="17" t="str">
        <x:v>比例</x:v>
      </x:c>
      <x:c r="C21" s="35" t="n">
        <x:v>0.2</x:v>
      </x:c>
      <x:c r="D21" s="35" t="n">
        <x:v>0.35</x:v>
      </x:c>
      <x:c r="E21" s="35" t="n">
        <x:v>0.5</x:v>
      </x:c>
      <x:c r="F21" s="17" t="str">
        <x:v>SOH分流情景</x:v>
      </x:c>
      <x:c r="G21" s="17" t="str">
        <x:v>未披露BYD真实分流比例</x:v>
      </x:c>
      <x:c r="H21" s="17" t="str">
        <x:v>扩展</x:v>
      </x:c>
      <x:c r="I21" s="23" t="str">
        <x:v>D-模型假设</x:v>
      </x:c>
    </x:row>
    <x:row r="22">
      <x:c r="A22" s="17" t="str">
        <x:v>recycle_share</x:v>
      </x:c>
      <x:c r="B22" s="17" t="str">
        <x:v>比例</x:v>
      </x:c>
      <x:c r="C22" s="35" t="n">
        <x:v>0.8</x:v>
      </x:c>
      <x:c r="D22" s="35" t="n">
        <x:v>0.65</x:v>
      </x:c>
      <x:c r="E22" s="35" t="n">
        <x:v>0.5</x:v>
      </x:c>
      <x:c r="F22" s="17" t="str">
        <x:v>1减reuse_share</x:v>
      </x:c>
      <x:c r="G22" s="17" t="str">
        <x:v>与梯次利用比例互补</x:v>
      </x:c>
      <x:c r="H22" s="17" t="str">
        <x:v>扩展</x:v>
      </x:c>
      <x:c r="I22" s="23" t="str">
        <x:v>公式关系</x:v>
      </x:c>
    </x:row>
    <x:row r="23">
      <x:c r="A23" s="17" t="str">
        <x:v>回收中心启用数下限</x:v>
      </x:c>
      <x:c r="B23" s="17" t="str">
        <x:v>座</x:v>
      </x:c>
      <x:c r="C23" s="30" t="n">
        <x:v>2</x:v>
      </x:c>
      <x:c r="D23" s="30" t="n">
        <x:v>3</x:v>
      </x:c>
      <x:c r="E23" s="30" t="n">
        <x:v>4</x:v>
      </x:c>
      <x:c r="F23" s="17" t="str">
        <x:v>网络覆盖情景</x:v>
      </x:c>
      <x:c r="G23" s="17" t="str">
        <x:v>非企业实际数量</x:v>
      </x:c>
      <x:c r="H23" s="17" t="str">
        <x:v>基础</x:v>
      </x:c>
      <x:c r="I23" s="23" t="str">
        <x:v>D-模型假设</x:v>
      </x:c>
    </x:row>
    <x:row r="24">
      <x:c r="A24" s="17" t="str">
        <x:v>回收中心启用数上限</x:v>
      </x:c>
      <x:c r="B24" s="17" t="str">
        <x:v>座</x:v>
      </x:c>
      <x:c r="C24" s="30" t="n">
        <x:v>7</x:v>
      </x:c>
      <x:c r="D24" s="30" t="n">
        <x:v>10</x:v>
      </x:c>
      <x:c r="E24" s="30" t="n">
        <x:v>14</x:v>
      </x:c>
      <x:c r="F24" s="17" t="str">
        <x:v>网络覆盖情景</x:v>
      </x:c>
      <x:c r="G24" s="17" t="str">
        <x:v>非企业实际数量</x:v>
      </x:c>
      <x:c r="H24" s="17" t="str">
        <x:v>基础</x:v>
      </x:c>
      <x:c r="I24" s="23" t="str">
        <x:v>D-模型假设</x:v>
      </x:c>
    </x:row>
    <x:row r="25">
      <x:c r="A25" s="17" t="str">
        <x:v>梯次设施启用数下限</x:v>
      </x:c>
      <x:c r="B25" s="17" t="str">
        <x:v>座</x:v>
      </x:c>
      <x:c r="C25" s="30" t="n">
        <x:v>1</x:v>
      </x:c>
      <x:c r="D25" s="30" t="n">
        <x:v>1</x:v>
      </x:c>
      <x:c r="E25" s="30" t="n">
        <x:v>2</x:v>
      </x:c>
      <x:c r="F25" s="17" t="str">
        <x:v>保证三类设施均存在</x:v>
      </x:c>
      <x:c r="G25" s="17" t="str">
        <x:v>模型可行性约束</x:v>
      </x:c>
      <x:c r="H25" s="17" t="str">
        <x:v>扩展</x:v>
      </x:c>
      <x:c r="I25" s="23" t="str">
        <x:v>D-模型假设</x:v>
      </x:c>
    </x:row>
    <x:row r="26">
      <x:c r="A26" s="17" t="str">
        <x:v>梯次设施启用数上限</x:v>
      </x:c>
      <x:c r="B26" s="17" t="str">
        <x:v>座</x:v>
      </x:c>
      <x:c r="C26" s="30" t="n">
        <x:v>4</x:v>
      </x:c>
      <x:c r="D26" s="30" t="n">
        <x:v>6</x:v>
      </x:c>
      <x:c r="E26" s="30" t="n">
        <x:v>8</x:v>
      </x:c>
      <x:c r="F26" s="17" t="str">
        <x:v>候选集规模约束</x:v>
      </x:c>
      <x:c r="G26" s="17" t="str">
        <x:v>非企业实际数量</x:v>
      </x:c>
      <x:c r="H26" s="17" t="str">
        <x:v>扩展</x:v>
      </x:c>
      <x:c r="I26" s="23" t="str">
        <x:v>D-模型假设</x:v>
      </x:c>
    </x:row>
    <x:row r="27">
      <x:c r="A27" s="17" t="str">
        <x:v>再生设施启用数下限</x:v>
      </x:c>
      <x:c r="B27" s="17" t="str">
        <x:v>座</x:v>
      </x:c>
      <x:c r="C27" s="30" t="n">
        <x:v>1</x:v>
      </x:c>
      <x:c r="D27" s="30" t="n">
        <x:v>1</x:v>
      </x:c>
      <x:c r="E27" s="30" t="n">
        <x:v>2</x:v>
      </x:c>
      <x:c r="F27" s="17" t="str">
        <x:v>保证后端设施存在</x:v>
      </x:c>
      <x:c r="G27" s="17" t="str">
        <x:v>模型可行性约束</x:v>
      </x:c>
      <x:c r="H27" s="17" t="str">
        <x:v>基础</x:v>
      </x:c>
      <x:c r="I27" s="23" t="str">
        <x:v>D-模型假设</x:v>
      </x:c>
    </x:row>
    <x:row r="28">
      <x:c r="A28" s="17" t="str">
        <x:v>再生设施启用数上限</x:v>
      </x:c>
      <x:c r="B28" s="17" t="str">
        <x:v>座</x:v>
      </x:c>
      <x:c r="C28" s="30" t="n">
        <x:v>2</x:v>
      </x:c>
      <x:c r="D28" s="30" t="n">
        <x:v>3</x:v>
      </x:c>
      <x:c r="E28" s="30" t="n">
        <x:v>4</x:v>
      </x:c>
      <x:c r="F28" s="17" t="str">
        <x:v>候选集规模约束</x:v>
      </x:c>
      <x:c r="G28" s="17" t="str">
        <x:v>非企业实际数量</x:v>
      </x:c>
      <x:c r="H28" s="17" t="str">
        <x:v>基础</x:v>
      </x:c>
      <x:c r="I28" s="23" t="str">
        <x:v>D-模型假设</x:v>
      </x:c>
    </x:row>
    <x:row r="29">
      <x:c r="A29" s="17" t="str">
        <x:v>求解时间上限</x:v>
      </x:c>
      <x:c r="B29" s="17" t="str">
        <x:v>秒</x:v>
      </x:c>
      <x:c r="C29" s="30" t="n">
        <x:v>120</x:v>
      </x:c>
      <x:c r="D29" s="30" t="n">
        <x:v>300</x:v>
      </x:c>
      <x:c r="E29" s="30" t="n">
        <x:v>600</x:v>
      </x:c>
      <x:c r="F29" s="17" t="str">
        <x:v>求解器设置</x:v>
      </x:c>
      <x:c r="G29" s="17" t="str">
        <x:v>与数据事实无关</x:v>
      </x:c>
      <x:c r="H29" s="17" t="str">
        <x:v>基础</x:v>
      </x:c>
      <x:c r="I29" s="23" t="str">
        <x:v>模型参数</x:v>
      </x:c>
    </x:row>
    <x:row r="30">
      <x:c r="A30" s="17" t="str">
        <x:v>MIP gap</x:v>
      </x:c>
      <x:c r="B30" s="17" t="str">
        <x:v>比例</x:v>
      </x:c>
      <x:c r="C30" s="35" t="n">
        <x:v>0.02</x:v>
      </x:c>
      <x:c r="D30" s="35" t="n">
        <x:v>0.01</x:v>
      </x:c>
      <x:c r="E30" s="35" t="n">
        <x:v>0.005</x:v>
      </x:c>
      <x:c r="F30" s="17" t="str">
        <x:v>求解终止精度</x:v>
      </x:c>
      <x:c r="G30" s="17" t="str">
        <x:v>与数据事实无关</x:v>
      </x:c>
      <x:c r="H30" s="17" t="str">
        <x:v>基础</x:v>
      </x:c>
      <x:c r="I30" s="23" t="str">
        <x:v>模型参数</x:v>
      </x:c>
    </x:row>
    <x:row r="31">
      <x:c r="A31" s="17" t="str">
        <x:v>道路距离修正</x:v>
      </x:c>
      <x:c r="B31" s="17" t="str">
        <x:v>倍数</x:v>
      </x:c>
      <x:c r="C31" s="30" t="n">
        <x:v>1.1</x:v>
      </x:c>
      <x:c r="D31" s="30" t="n">
        <x:v>1.2</x:v>
      </x:c>
      <x:c r="E31" s="30" t="n">
        <x:v>1.3</x:v>
      </x:c>
      <x:c r="F31" s="17" t="str">
        <x:v>无道路API时使用</x:v>
      </x:c>
      <x:c r="G31" s="17" t="str">
        <x:v>当前仍为Haversine代理</x:v>
      </x:c>
      <x:c r="H31" s="17" t="str">
        <x:v>稳健性</x:v>
      </x:c>
      <x:c r="I31" s="23" t="str">
        <x:v>D-方法参数</x:v>
      </x:c>
    </x:row>
    <x:row r="32">
      <x:c r="A32" s="17" t="str">
        <x:v>折现率</x:v>
      </x:c>
      <x:c r="B32" s="17" t="str">
        <x:v>比例</x:v>
      </x:c>
      <x:c r="C32" s="35" t="n">
        <x:v>0.05</x:v>
      </x:c>
      <x:c r="D32" s="35" t="n">
        <x:v>0.08</x:v>
      </x:c>
      <x:c r="E32" s="35" t="n">
        <x:v>0.12</x:v>
      </x:c>
      <x:c r="F32" s="17" t="str">
        <x:v>资本回收因子CRF</x:v>
      </x:c>
      <x:c r="G32" s="17" t="str">
        <x:v>项目评价情景，不是企业披露</x:v>
      </x:c>
      <x:c r="H32" s="17" t="str">
        <x:v>基础</x:v>
      </x:c>
      <x:c r="I32" s="23" t="str">
        <x:v>D-模型假设</x:v>
      </x:c>
    </x:row>
    <x:row r="33">
      <x:c r="A33" s="17" t="str">
        <x:v>设施寿命</x:v>
      </x:c>
      <x:c r="B33" s="17" t="str">
        <x:v>年</x:v>
      </x:c>
      <x:c r="C33" s="30" t="n">
        <x:v>10</x:v>
      </x:c>
      <x:c r="D33" s="30" t="n">
        <x:v>10</x:v>
      </x:c>
      <x:c r="E33" s="30" t="n">
        <x:v>10</x:v>
      </x:c>
      <x:c r="F33" s="17" t="str">
        <x:v>CRF年限</x:v>
      </x:c>
      <x:c r="G33" s="17" t="str">
        <x:v>应在可研/访谈后替换</x:v>
      </x:c>
      <x:c r="H33" s="17" t="str">
        <x:v>基础</x:v>
      </x:c>
      <x:c r="I33" s="23" t="str">
        <x:v>D-模型假设</x:v>
      </x:c>
    </x:row>
    <x:row r="34">
      <x:c r="A34" s="17" t="str">
        <x:v>固定运维率</x:v>
      </x:c>
      <x:c r="B34" s="17" t="str">
        <x:v>占总投资比例/年</x:v>
      </x:c>
      <x:c r="C34" s="35" t="n">
        <x:v>0.02</x:v>
      </x:c>
      <x:c r="D34" s="35" t="n">
        <x:v>0.04</x:v>
      </x:c>
      <x:c r="E34" s="35" t="n">
        <x:v>0.06</x:v>
      </x:c>
      <x:c r="F34" s="17" t="str">
        <x:v>年度固定运维成本=总投资×比例</x:v>
      </x:c>
      <x:c r="G34" s="17" t="str">
        <x:v>避免与单位处理成本重复</x:v>
      </x:c>
      <x:c r="H34" s="17" t="str">
        <x:v>基础</x:v>
      </x:c>
      <x:c r="I34" s="23" t="str">
        <x:v>D-模型假设</x:v>
      </x:c>
    </x:row>
    <x:row r="35">
      <x:c r="A35" s="17" t="str">
        <x:v>汕尾项目总投资</x:v>
      </x:c>
      <x:c r="B35" s="17" t="str">
        <x:v>万元</x:v>
      </x:c>
      <x:c r="C35" s="37" t="n">
        <x:v>3904.65</x:v>
      </x:c>
      <x:c r="D35" s="37" t="n">
        <x:v>3904.65</x:v>
      </x:c>
      <x:c r="E35" s="37" t="n">
        <x:v>3904.65</x:v>
      </x:c>
      <x:c r="F35" s="17" t="str">
        <x:v>公开历史投资，未做价格指数调整</x:v>
      </x:c>
      <x:c r="G35" s="17" t="str">
        <x:v>汕尾项目环评</x:v>
      </x:c>
      <x:c r="H35" s="17" t="str">
        <x:v>基础</x:v>
      </x:c>
      <x:c r="I35" s="22" t="str">
        <x:v>A-已核验</x:v>
      </x:c>
    </x:row>
    <x:row r="36">
      <x:c r="A36" s="17" t="str">
        <x:v>CRF</x:v>
      </x:c>
      <x:c r="B36" s="17" t="str">
        <x:v>比例/年</x:v>
      </x:c>
      <x:c r="C36" s="36" t="n">
        <x:f>C32*(1+C32)^C33/((1+C32)^C33-1)</x:f>
        <x:v>0.12950457496545661</x:v>
      </x:c>
      <x:c r="D36" s="36" t="n">
        <x:f>D32*(1+D32)^D33/((1+D32)^D33-1)</x:f>
        <x:v>0.14902948869707533</x:v>
      </x:c>
      <x:c r="E36" s="36" t="n">
        <x:f>E32*(1+E32)^E33/((1+E32)^E33-1)</x:f>
        <x:v>0.176984164159844</x:v>
      </x:c>
      <x:c r="F36" s="17" t="str">
        <x:v>随折现率和寿命计算</x:v>
      </x:c>
      <x:c r="G36" s="17" t="str">
        <x:v>资本回收因子</x:v>
      </x:c>
      <x:c r="H36" s="17" t="str">
        <x:v>基础</x:v>
      </x:c>
      <x:c r="I36" s="23" t="str">
        <x:v>公式</x:v>
      </x:c>
    </x:row>
    <x:row r="37">
      <x:c r="A37" s="17" t="str">
        <x:v>汕尾年化资本成本</x:v>
      </x:c>
      <x:c r="B37" s="17" t="str">
        <x:v>万元/年</x:v>
      </x:c>
      <x:c r="C37" s="37" t="n">
        <x:f>C35*C36</x:f>
        <x:v>505.6700386388702</x:v>
      </x:c>
      <x:c r="D37" s="37" t="n">
        <x:f>D35*D36</x:f>
        <x:v>581.9079930410352</x:v>
      </x:c>
      <x:c r="E37" s="37" t="n">
        <x:f>E35*E36</x:f>
        <x:v>691.0612165867349</x:v>
      </x:c>
      <x:c r="F37" s="17" t="str">
        <x:v>总投资×CRF</x:v>
      </x:c>
      <x:c r="G37" s="17" t="str">
        <x:v>新建设施等价口径</x:v>
      </x:c>
      <x:c r="H37" s="17" t="str">
        <x:v>基础</x:v>
      </x:c>
      <x:c r="I37" s="23" t="str">
        <x:v>公式</x:v>
      </x:c>
    </x:row>
    <x:row r="38">
      <x:c r="A38" s="17" t="str">
        <x:v>汕尾年化固定成本</x:v>
      </x:c>
      <x:c r="B38" s="17" t="str">
        <x:v>万元/年</x:v>
      </x:c>
      <x:c r="C38" s="37" t="n">
        <x:f>C37+C35*C34</x:f>
        <x:v>583.7630386388702</x:v>
      </x:c>
      <x:c r="D38" s="37" t="n">
        <x:f>D37+D35*D34</x:f>
        <x:v>738.0939930410352</x:v>
      </x:c>
      <x:c r="E38" s="37" t="n">
        <x:f>E37+E35*E34</x:f>
        <x:v>925.3402165867349</x:v>
      </x:c>
      <x:c r="F38" s="17" t="str">
        <x:v>年化资本成本+年度固定运维</x:v>
      </x:c>
      <x:c r="G38" s="17" t="str">
        <x:v>既有设施建模时应只计运维或设为必须启用</x:v>
      </x:c>
      <x:c r="H38" s="17" t="str">
        <x:v>基础</x:v>
      </x:c>
      <x:c r="I38" s="23" t="str">
        <x:v>公式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22" hidden="0" customWidth="1"/>
    <x:col min="19" max="19" width="60" hidden="0" customWidth="1"/>
  </x:cols>
  <x:sheetData>
    <x:row r="1" ht="30" customHeight="1">
      <x:c r="A1" s="4" t="str">
        <x:v>比亚迪新能源汽车车龄队列：2025年广东退役动力电池量估算</x:v>
      </x:c>
      <x:c r="B1" s="4" t="str">
        <x:v>比亚迪新能源汽车车龄队列：2025年广东退役动力电池量估算</x:v>
      </x:c>
      <x:c r="C1" s="4" t="str">
        <x:v>比亚迪新能源汽车车龄队列：2025年广东退役动力电池量估算</x:v>
      </x:c>
      <x:c r="D1" s="4" t="str">
        <x:v>比亚迪新能源汽车车龄队列：2025年广东退役动力电池量估算</x:v>
      </x:c>
      <x:c r="E1" s="4" t="str">
        <x:v>比亚迪新能源汽车车龄队列：2025年广东退役动力电池量估算</x:v>
      </x:c>
      <x:c r="F1" s="4" t="str">
        <x:v>比亚迪新能源汽车车龄队列：2025年广东退役动力电池量估算</x:v>
      </x:c>
      <x:c r="G1" s="4" t="str">
        <x:v>比亚迪新能源汽车车龄队列：2025年广东退役动力电池量估算</x:v>
      </x:c>
      <x:c r="H1" s="4" t="str">
        <x:v>比亚迪新能源汽车车龄队列：2025年广东退役动力电池量估算</x:v>
      </x:c>
      <x:c r="I1" s="4" t="str">
        <x:v>比亚迪新能源汽车车龄队列：2025年广东退役动力电池量估算</x:v>
      </x:c>
      <x:c r="J1" s="4" t="str">
        <x:v>比亚迪新能源汽车车龄队列：2025年广东退役动力电池量估算</x:v>
      </x:c>
      <x:c r="K1" s="4" t="str">
        <x:v>比亚迪新能源汽车车龄队列：2025年广东退役动力电池量估算</x:v>
      </x:c>
      <x:c r="L1" s="4" t="str">
        <x:v>比亚迪新能源汽车车龄队列：2025年广东退役动力电池量估算</x:v>
      </x:c>
      <x:c r="M1" s="4" t="str">
        <x:v>比亚迪新能源汽车车龄队列：2025年广东退役动力电池量估算</x:v>
      </x:c>
      <x:c r="N1" s="4" t="str">
        <x:v>比亚迪新能源汽车车龄队列：2025年广东退役动力电池量估算</x:v>
      </x:c>
      <x:c r="O1" s="4" t="str">
        <x:v>比亚迪新能源汽车车龄队列：2025年广东退役动力电池量估算</x:v>
      </x:c>
      <x:c r="P1" s="4" t="str">
        <x:v>比亚迪新能源汽车车龄队列：2025年广东退役动力电池量估算</x:v>
      </x:c>
      <x:c r="Q1" s="4" t="str">
        <x:v>比亚迪新能源汽车车龄队列：2025年广东退役动力电池量估算</x:v>
      </x:c>
      <x:c r="R1" s="4" t="str">
        <x:v>比亚迪新能源汽车车龄队列：2025年广东退役动力电池量估算</x:v>
      </x:c>
      <x:c r="S1" s="4" t="str">
        <x:v>比亚迪新能源汽车车龄队列：2025年广东退役动力电池量估算</x:v>
      </x:c>
    </x:row>
    <x:row r="2">
      <x:c r="A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B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C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D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E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F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G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H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I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J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K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L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M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N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O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P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Q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R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  <x:c r="S2" s="20" t="str">
        <x:v>模型口径：全国BYD历年新能源车销量×目标年车龄退役概率×广东NEV零售份额代理×单车电池质量。输出是公开数据驱动的估算区间，不是比亚迪实际回收量或广东真实退役量。</x:v>
      </x:c>
    </x:row>
    <x:row r="4" ht="28" customHeight="1">
      <x:c r="A4" s="14" t="str">
        <x:v>假设</x:v>
      </x:c>
      <x:c r="B4" s="14" t="str">
        <x:v>数值</x:v>
      </x:c>
      <x:c r="C4" s="14" t="str">
        <x:v>单位</x:v>
      </x:c>
      <x:c r="D4" s="14" t="str">
        <x:v>口径</x:v>
      </x:c>
    </x:row>
    <x:row r="5">
      <x:c r="A5" s="17" t="str">
        <x:v>目标年份</x:v>
      </x:c>
      <x:c r="B5" s="38" t="n">
        <x:v>2025</x:v>
      </x:c>
      <x:c r="C5" s="17" t="str">
        <x:v>年</x:v>
      </x:c>
      <x:c r="D5" s="17" t="str">
        <x:v>单周期案例年</x:v>
      </x:c>
    </x:row>
    <x:row r="6">
      <x:c r="A6" s="17" t="str">
        <x:v>广东分配份额</x:v>
      </x:c>
      <x:c r="B6" s="25" t="n">
        <x:v>0.0965</x:v>
      </x:c>
      <x:c r="C6" s="17" t="str">
        <x:v>比例</x:v>
      </x:c>
      <x:c r="D6" s="17" t="str">
        <x:v>2023广东NEV零售91.6万辆/全国NEV销量约949.5万辆的近似；BYD省份结构不可得</x:v>
      </x:c>
    </x:row>
    <x:row r="7">
      <x:c r="A7" s="17" t="str">
        <x:v>低情景单车电池质量</x:v>
      </x:c>
      <x:c r="B7" s="39" t="n">
        <x:v>0.275</x:v>
      </x:c>
      <x:c r="C7" s="17" t="str">
        <x:v>吨/辆</x:v>
      </x:c>
      <x:c r="D7" s="17" t="str">
        <x:v>文献：混合动力乘用车平均275kg</x:v>
      </x:c>
    </x:row>
    <x:row r="8">
      <x:c r="A8" s="17" t="str">
        <x:v>基准单车电池质量</x:v>
      </x:c>
      <x:c r="B8" s="39" t="n">
        <x:v>0.4</x:v>
      </x:c>
      <x:c r="C8" s="17" t="str">
        <x:v>吨/辆</x:v>
      </x:c>
      <x:c r="D8" s="17" t="str">
        <x:v>位于275kg与550kg之间的模型假设</x:v>
      </x:c>
    </x:row>
    <x:row r="9">
      <x:c r="A9" s="17" t="str">
        <x:v>高情景单车电池质量</x:v>
      </x:c>
      <x:c r="B9" s="39" t="n">
        <x:v>0.55</x:v>
      </x:c>
      <x:c r="C9" s="17" t="str">
        <x:v>吨/辆</x:v>
      </x:c>
      <x:c r="D9" s="17" t="str">
        <x:v>文献：纯电动乘用车平均550kg</x:v>
      </x:c>
    </x:row>
    <x:row r="11" ht="28" customHeight="1">
      <x:c r="A11" s="14" t="str">
        <x:v>销售年</x:v>
      </x:c>
      <x:c r="B11" s="14" t="str">
        <x:v>BYD新能源车销量(辆)</x:v>
      </x:c>
      <x:c r="C11" s="14" t="str">
        <x:v>数据来源口径</x:v>
      </x:c>
      <x:c r="D11" s="14" t="str">
        <x:v>2025车龄</x:v>
      </x:c>
      <x:c r="E11" s="14" t="str">
        <x:v>低需求退役概率</x:v>
      </x:c>
      <x:c r="F11" s="14" t="str">
        <x:v>基准退役概率</x:v>
      </x:c>
      <x:c r="G11" s="14" t="str">
        <x:v>高需求退役概率</x:v>
      </x:c>
      <x:c r="H11" s="14" t="str">
        <x:v>低情景退役车辆</x:v>
      </x:c>
      <x:c r="I11" s="14" t="str">
        <x:v>基准退役车辆</x:v>
      </x:c>
      <x:c r="J11" s="14" t="str">
        <x:v>高情景退役车辆</x:v>
      </x:c>
      <x:c r="K11" s="14" t="str">
        <x:v>广东份额代理</x:v>
      </x:c>
      <x:c r="L11" s="14" t="str">
        <x:v>低质量(吨/辆)</x:v>
      </x:c>
      <x:c r="M11" s="14" t="str">
        <x:v>基准质量(吨/辆)</x:v>
      </x:c>
      <x:c r="N11" s="14" t="str">
        <x:v>高质量(吨/辆)</x:v>
      </x:c>
      <x:c r="O11" s="14" t="str">
        <x:v>低情景吨数</x:v>
      </x:c>
      <x:c r="P11" s="14" t="str">
        <x:v>基准吨数</x:v>
      </x:c>
      <x:c r="Q11" s="14" t="str">
        <x:v>高情景吨数</x:v>
      </x:c>
      <x:c r="R11" s="14" t="str">
        <x:v>数据等级</x:v>
      </x:c>
      <x:c r="S11" s="14" t="str">
        <x:v>来源URL</x:v>
      </x:c>
    </x:row>
    <x:row r="12">
      <x:c r="A12" s="17" t="n">
        <x:v>2015</x:v>
      </x:c>
      <x:c r="B12" s="17" t="n">
        <x:v>69222</x:v>
      </x:c>
      <x:c r="C12" s="17" t="str">
        <x:v>公司报告/公开披露汇编</x:v>
      </x:c>
      <x:c r="D12" s="17" t="n">
        <x:v>10</x:v>
      </x:c>
      <x:c r="E12" s="41" t="n">
        <x:v>0.33</x:v>
      </x:c>
      <x:c r="F12" s="41" t="n">
        <x:v>0.07</x:v>
      </x:c>
      <x:c r="G12" s="41" t="n">
        <x:v>0.015</x:v>
      </x:c>
      <x:c r="H12" s="21" t="n">
        <x:f>B12*E12</x:f>
        <x:v>22843.260000000002</x:v>
      </x:c>
      <x:c r="I12" s="21" t="n">
        <x:f>B12*F12</x:f>
        <x:v>4845.540000000001</x:v>
      </x:c>
      <x:c r="J12" s="21" t="n">
        <x:f>B12*G12</x:f>
        <x:v>1038.33</x:v>
      </x:c>
      <x:c r="K12" s="25" t="n">
        <x:f>$B$6</x:f>
        <x:v>0.0965</x:v>
      </x:c>
      <x:c r="L12" s="39" t="n">
        <x:f>$B$7</x:f>
        <x:v>0.275</x:v>
      </x:c>
      <x:c r="M12" s="39" t="n">
        <x:f>$B$8</x:f>
        <x:v>0.4</x:v>
      </x:c>
      <x:c r="N12" s="39" t="n">
        <x:f>$B$9</x:f>
        <x:v>0.55</x:v>
      </x:c>
      <x:c r="O12" s="21" t="n">
        <x:f>H12*K12*L12</x:f>
        <x:v>606.2030122500001</x:v>
      </x:c>
      <x:c r="P12" s="21" t="n">
        <x:f>I12*K12*M12</x:f>
        <x:v>187.03784400000006</x:v>
      </x:c>
      <x:c r="Q12" s="21" t="n">
        <x:f>J12*K12*N12</x:f>
        <x:v>55.10936475</x:v>
      </x:c>
      <x:c r="R12" s="17" t="str">
        <x:v>B-统一为新能源车总销量</x:v>
      </x:c>
      <x:c r="S12" s="17" t="str">
        <x:v>https://paper.people.com.cn/zgnyb/html/2016-03/03/content_1658143.htm</x:v>
      </x:c>
    </x:row>
    <x:row r="13">
      <x:c r="A13" s="17" t="n">
        <x:v>2016</x:v>
      </x:c>
      <x:c r="B13" s="17" t="n">
        <x:v>100183</x:v>
      </x:c>
      <x:c r="C13" s="17" t="str">
        <x:v>公司销售快报汇编</x:v>
      </x:c>
      <x:c r="D13" s="17" t="n">
        <x:v>9</x:v>
      </x:c>
      <x:c r="E13" s="41" t="n">
        <x:v>0.25</x:v>
      </x:c>
      <x:c r="F13" s="41" t="n">
        <x:v>0.15</x:v>
      </x:c>
      <x:c r="G13" s="41" t="n">
        <x:v>0.03</x:v>
      </x:c>
      <x:c r="H13" s="21" t="n">
        <x:f>B13*E13</x:f>
        <x:v>25045.75</x:v>
      </x:c>
      <x:c r="I13" s="21" t="n">
        <x:f>B13*F13</x:f>
        <x:v>15027.449999999999</x:v>
      </x:c>
      <x:c r="J13" s="21" t="n">
        <x:f>B13*G13</x:f>
        <x:v>3005.49</x:v>
      </x:c>
      <x:c r="K13" s="25" t="n">
        <x:f>$B$6</x:f>
        <x:v>0.0965</x:v>
      </x:c>
      <x:c r="L13" s="39" t="n">
        <x:f>$B$7</x:f>
        <x:v>0.275</x:v>
      </x:c>
      <x:c r="M13" s="39" t="n">
        <x:f>$B$8</x:f>
        <x:v>0.4</x:v>
      </x:c>
      <x:c r="N13" s="39" t="n">
        <x:f>$B$9</x:f>
        <x:v>0.55</x:v>
      </x:c>
      <x:c r="O13" s="21" t="n">
        <x:f>H13*K13*L13</x:f>
        <x:v>664.651590625</x:v>
      </x:c>
      <x:c r="P13" s="21" t="n">
        <x:f>I13*K13*M13</x:f>
        <x:v>580.05957</x:v>
      </x:c>
      <x:c r="Q13" s="21" t="n">
        <x:f>J13*K13*N13</x:f>
        <x:v>159.51638175000002</x:v>
      </x:c>
      <x:c r="R13" s="17" t="str">
        <x:v>B-官方披露数值汇编</x:v>
      </x:c>
      <x:c r="S13" s="17" t="str">
        <x:v>https://www1.hkexnews.hk/search/titlesearch.xhtml?category=0&amp;market=SEHK&amp;stockId=2696</x:v>
      </x:c>
    </x:row>
    <x:row r="14">
      <x:c r="A14" s="17" t="n">
        <x:v>2017</x:v>
      </x:c>
      <x:c r="B14" s="17" t="n">
        <x:v>113669</x:v>
      </x:c>
      <x:c r="C14" s="17" t="str">
        <x:v>公司销售快报汇编</x:v>
      </x:c>
      <x:c r="D14" s="17" t="n">
        <x:v>8</x:v>
      </x:c>
      <x:c r="E14" s="41" t="n">
        <x:v>0.2</x:v>
      </x:c>
      <x:c r="F14" s="41" t="n">
        <x:v>0.23</x:v>
      </x:c>
      <x:c r="G14" s="41" t="n">
        <x:v>0.07</x:v>
      </x:c>
      <x:c r="H14" s="21" t="n">
        <x:f>B14*E14</x:f>
        <x:v>22733.800000000003</x:v>
      </x:c>
      <x:c r="I14" s="21" t="n">
        <x:f>B14*F14</x:f>
        <x:v>26143.870000000003</x:v>
      </x:c>
      <x:c r="J14" s="21" t="n">
        <x:f>B14*G14</x:f>
        <x:v>7956.830000000001</x:v>
      </x:c>
      <x:c r="K14" s="25" t="n">
        <x:f>$B$6</x:f>
        <x:v>0.0965</x:v>
      </x:c>
      <x:c r="L14" s="39" t="n">
        <x:f>$B$7</x:f>
        <x:v>0.275</x:v>
      </x:c>
      <x:c r="M14" s="39" t="n">
        <x:f>$B$8</x:f>
        <x:v>0.4</x:v>
      </x:c>
      <x:c r="N14" s="39" t="n">
        <x:f>$B$9</x:f>
        <x:v>0.55</x:v>
      </x:c>
      <x:c r="O14" s="21" t="n">
        <x:f>H14*K14*L14</x:f>
        <x:v>603.2982175000001</x:v>
      </x:c>
      <x:c r="P14" s="21" t="n">
        <x:f>I14*K14*M14</x:f>
        <x:v>1009.1533820000001</x:v>
      </x:c>
      <x:c r="Q14" s="21" t="n">
        <x:f>J14*K14*N14</x:f>
        <x:v>422.30875225000005</x:v>
      </x:c>
      <x:c r="R14" s="17" t="str">
        <x:v>B-官方披露数值汇编</x:v>
      </x:c>
      <x:c r="S14" s="17" t="str">
        <x:v>https://auto.people.com.cn/n1/2018/0116/c1005-29768638.html</x:v>
      </x:c>
    </x:row>
    <x:row r="15">
      <x:c r="A15" s="17" t="n">
        <x:v>2018</x:v>
      </x:c>
      <x:c r="B15" s="17" t="n">
        <x:v>247811</x:v>
      </x:c>
      <x:c r="C15" s="17" t="str">
        <x:v>公司销量快报</x:v>
      </x:c>
      <x:c r="D15" s="17" t="n">
        <x:v>7</x:v>
      </x:c>
      <x:c r="E15" s="41" t="n">
        <x:v>0.12</x:v>
      </x:c>
      <x:c r="F15" s="41" t="n">
        <x:v>0.24</x:v>
      </x:c>
      <x:c r="G15" s="41" t="n">
        <x:v>0.15</x:v>
      </x:c>
      <x:c r="H15" s="21" t="n">
        <x:f>B15*E15</x:f>
        <x:v>29737.32</x:v>
      </x:c>
      <x:c r="I15" s="21" t="n">
        <x:f>B15*F15</x:f>
        <x:v>59474.64</x:v>
      </x:c>
      <x:c r="J15" s="21" t="n">
        <x:f>B15*G15</x:f>
        <x:v>37171.65</x:v>
      </x:c>
      <x:c r="K15" s="25" t="n">
        <x:f>$B$6</x:f>
        <x:v>0.0965</x:v>
      </x:c>
      <x:c r="L15" s="39" t="n">
        <x:f>$B$7</x:f>
        <x:v>0.275</x:v>
      </x:c>
      <x:c r="M15" s="39" t="n">
        <x:f>$B$8</x:f>
        <x:v>0.4</x:v>
      </x:c>
      <x:c r="N15" s="39" t="n">
        <x:f>$B$9</x:f>
        <x:v>0.55</x:v>
      </x:c>
      <x:c r="O15" s="21" t="n">
        <x:f>H15*K15*L15</x:f>
        <x:v>789.1541295000002</x:v>
      </x:c>
      <x:c r="P15" s="21" t="n">
        <x:f>I15*K15*M15</x:f>
        <x:v>2295.721104</x:v>
      </x:c>
      <x:c r="Q15" s="21" t="n">
        <x:f>J15*K15*N15</x:f>
        <x:v>1972.8853237500002</x:v>
      </x:c>
      <x:c r="R15" s="17" t="str">
        <x:v>A/B-公告转载</x:v>
      </x:c>
      <x:c r="S15" s="17" t="str">
        <x:v>https://vip.stock.finance.sina.com.cn/corp/view/vCB_AllBulletinDetail.php?id=4977610</x:v>
      </x:c>
    </x:row>
    <x:row r="16">
      <x:c r="A16" s="17" t="n">
        <x:v>2019</x:v>
      </x:c>
      <x:c r="B16" s="17" t="n">
        <x:v>229506</x:v>
      </x:c>
      <x:c r="C16" s="17" t="str">
        <x:v>公司销售快报汇编</x:v>
      </x:c>
      <x:c r="D16" s="17" t="n">
        <x:v>6</x:v>
      </x:c>
      <x:c r="E16" s="41" t="n">
        <x:v>0.06</x:v>
      </x:c>
      <x:c r="F16" s="41" t="n">
        <x:v>0.16</x:v>
      </x:c>
      <x:c r="G16" s="41" t="n">
        <x:v>0.25</x:v>
      </x:c>
      <x:c r="H16" s="21" t="n">
        <x:f>B16*E16</x:f>
        <x:v>13770.359999999999</x:v>
      </x:c>
      <x:c r="I16" s="21" t="n">
        <x:f>B16*F16</x:f>
        <x:v>36720.96</x:v>
      </x:c>
      <x:c r="J16" s="21" t="n">
        <x:f>B16*G16</x:f>
        <x:v>57376.5</x:v>
      </x:c>
      <x:c r="K16" s="25" t="n">
        <x:f>$B$6</x:f>
        <x:v>0.0965</x:v>
      </x:c>
      <x:c r="L16" s="39" t="n">
        <x:f>$B$7</x:f>
        <x:v>0.275</x:v>
      </x:c>
      <x:c r="M16" s="39" t="n">
        <x:f>$B$8</x:f>
        <x:v>0.4</x:v>
      </x:c>
      <x:c r="N16" s="39" t="n">
        <x:f>$B$9</x:f>
        <x:v>0.55</x:v>
      </x:c>
      <x:c r="O16" s="21" t="n">
        <x:f>H16*K16*L16</x:f>
        <x:v>365.4309285</x:v>
      </x:c>
      <x:c r="P16" s="21" t="n">
        <x:f>I16*K16*M16</x:f>
        <x:v>1417.429056</x:v>
      </x:c>
      <x:c r="Q16" s="21" t="n">
        <x:f>J16*K16*N16</x:f>
        <x:v>3045.2577375000005</x:v>
      </x:c>
      <x:c r="R16" s="17" t="str">
        <x:v>B-官方披露数值汇编</x:v>
      </x:c>
      <x:c r="S16" s="17" t="str">
        <x:v>https://www1.hkexnews.hk/search/titlesearch.xhtml?category=0&amp;market=SEHK&amp;stockId=2696</x:v>
      </x:c>
    </x:row>
    <x:row r="17">
      <x:c r="A17" s="17" t="n">
        <x:v>2020</x:v>
      </x:c>
      <x:c r="B17" s="17" t="n">
        <x:v>189689</x:v>
      </x:c>
      <x:c r="C17" s="17" t="str">
        <x:v>公司销售快报汇编</x:v>
      </x:c>
      <x:c r="D17" s="17" t="n">
        <x:v>5</x:v>
      </x:c>
      <x:c r="E17" s="41" t="n">
        <x:v>0.025</x:v>
      </x:c>
      <x:c r="F17" s="41" t="n">
        <x:v>0.09</x:v>
      </x:c>
      <x:c r="G17" s="41" t="n">
        <x:v>0.25</x:v>
      </x:c>
      <x:c r="H17" s="21" t="n">
        <x:f>B17*E17</x:f>
        <x:v>4742.225</x:v>
      </x:c>
      <x:c r="I17" s="21" t="n">
        <x:f>B17*F17</x:f>
        <x:v>17072.01</x:v>
      </x:c>
      <x:c r="J17" s="21" t="n">
        <x:f>B17*G17</x:f>
        <x:v>47422.25</x:v>
      </x:c>
      <x:c r="K17" s="25" t="n">
        <x:f>$B$6</x:f>
        <x:v>0.0965</x:v>
      </x:c>
      <x:c r="L17" s="39" t="n">
        <x:f>$B$7</x:f>
        <x:v>0.275</x:v>
      </x:c>
      <x:c r="M17" s="39" t="n">
        <x:f>$B$8</x:f>
        <x:v>0.4</x:v>
      </x:c>
      <x:c r="N17" s="39" t="n">
        <x:f>$B$9</x:f>
        <x:v>0.55</x:v>
      </x:c>
      <x:c r="O17" s="21" t="n">
        <x:f>H17*K17*L17</x:f>
        <x:v>125.84679593750002</x:v>
      </x:c>
      <x:c r="P17" s="21" t="n">
        <x:f>I17*K17*M17</x:f>
        <x:v>658.9795859999999</x:v>
      </x:c>
      <x:c r="Q17" s="21" t="n">
        <x:f>J17*K17*N17</x:f>
        <x:v>2516.93591875</x:v>
      </x:c>
      <x:c r="R17" s="17" t="str">
        <x:v>B-官方披露数值汇编</x:v>
      </x:c>
      <x:c r="S17" s="17" t="str">
        <x:v>https://www1.hkexnews.hk/search/titlesearch.xhtml?category=0&amp;market=SEHK&amp;stockId=2696</x:v>
      </x:c>
    </x:row>
    <x:row r="18">
      <x:c r="A18" s="17" t="n">
        <x:v>2021</x:v>
      </x:c>
      <x:c r="B18" s="17" t="n">
        <x:v>603783</x:v>
      </x:c>
      <x:c r="C18" s="17" t="str">
        <x:v>公司销售快报/CSR</x:v>
      </x:c>
      <x:c r="D18" s="17" t="n">
        <x:v>4</x:v>
      </x:c>
      <x:c r="E18" s="41" t="n">
        <x:v>0.01</x:v>
      </x:c>
      <x:c r="F18" s="41" t="n">
        <x:v>0.04</x:v>
      </x:c>
      <x:c r="G18" s="41" t="n">
        <x:v>0.15</x:v>
      </x:c>
      <x:c r="H18" s="21" t="n">
        <x:f>B18*E18</x:f>
        <x:v>6037.83</x:v>
      </x:c>
      <x:c r="I18" s="21" t="n">
        <x:f>B18*F18</x:f>
        <x:v>24151.32</x:v>
      </x:c>
      <x:c r="J18" s="21" t="n">
        <x:f>B18*G18</x:f>
        <x:v>90567.45</x:v>
      </x:c>
      <x:c r="K18" s="25" t="n">
        <x:f>$B$6</x:f>
        <x:v>0.0965</x:v>
      </x:c>
      <x:c r="L18" s="39" t="n">
        <x:f>$B$7</x:f>
        <x:v>0.275</x:v>
      </x:c>
      <x:c r="M18" s="39" t="n">
        <x:f>$B$8</x:f>
        <x:v>0.4</x:v>
      </x:c>
      <x:c r="N18" s="39" t="n">
        <x:f>$B$9</x:f>
        <x:v>0.55</x:v>
      </x:c>
      <x:c r="O18" s="21" t="n">
        <x:f>H18*K18*L18</x:f>
        <x:v>160.228913625</x:v>
      </x:c>
      <x:c r="P18" s="21" t="n">
        <x:f>I18*K18*M18</x:f>
        <x:v>932.240952</x:v>
      </x:c>
      <x:c r="Q18" s="21" t="n">
        <x:f>J18*K18*N18</x:f>
        <x:v>4806.86740875</x:v>
      </x:c>
      <x:c r="R18" s="17" t="str">
        <x:v>A/B-公司披露</x:v>
      </x:c>
      <x:c r="S18" s="17" t="str">
        <x:v>https://www1.hkexnews.hk/listedco/listconews/sehk/2022/0329/2022032901676.pdf</x:v>
      </x:c>
    </x:row>
    <x:row r="19">
      <x:c r="A19" s="17" t="n">
        <x:v>2022</x:v>
      </x:c>
      <x:c r="B19" s="17" t="n">
        <x:v>1863494</x:v>
      </x:c>
      <x:c r="C19" s="17" t="str">
        <x:v>公司销售快报/年报</x:v>
      </x:c>
      <x:c r="D19" s="17" t="n">
        <x:v>3</x:v>
      </x:c>
      <x:c r="E19" s="41" t="n">
        <x:v>0.004</x:v>
      </x:c>
      <x:c r="F19" s="41" t="n">
        <x:v>0.015</x:v>
      </x:c>
      <x:c r="G19" s="41" t="n">
        <x:v>0.06</x:v>
      </x:c>
      <x:c r="H19" s="21" t="n">
        <x:f>B19*E19</x:f>
        <x:v>7453.976000000001</x:v>
      </x:c>
      <x:c r="I19" s="21" t="n">
        <x:f>B19*F19</x:f>
        <x:v>27952.41</x:v>
      </x:c>
      <x:c r="J19" s="21" t="n">
        <x:f>B19*G19</x:f>
        <x:v>111809.64</x:v>
      </x:c>
      <x:c r="K19" s="25" t="n">
        <x:f>$B$6</x:f>
        <x:v>0.0965</x:v>
      </x:c>
      <x:c r="L19" s="39" t="n">
        <x:f>$B$7</x:f>
        <x:v>0.275</x:v>
      </x:c>
      <x:c r="M19" s="39" t="n">
        <x:f>$B$8</x:f>
        <x:v>0.4</x:v>
      </x:c>
      <x:c r="N19" s="39" t="n">
        <x:f>$B$9</x:f>
        <x:v>0.55</x:v>
      </x:c>
      <x:c r="O19" s="21" t="n">
        <x:f>H19*K19*L19</x:f>
        <x:v>197.80988810000005</x:v>
      </x:c>
      <x:c r="P19" s="21" t="n">
        <x:f>I19*K19*M19</x:f>
        <x:v>1078.9630260000001</x:v>
      </x:c>
      <x:c r="Q19" s="21" t="n">
        <x:f>J19*K19*N19</x:f>
        <x:v>5934.296643000001</x:v>
      </x:c>
      <x:c r="R19" s="17" t="str">
        <x:v>A/B-公司披露</x:v>
      </x:c>
      <x:c r="S19" s="17" t="str">
        <x:v>https://www1.hkexnews.hk/search/titlesearch.xhtml?category=0&amp;market=SEHK&amp;stockId=2696</x:v>
      </x:c>
    </x:row>
    <x:row r="20">
      <x:c r="A20" s="17" t="n">
        <x:v>2023</x:v>
      </x:c>
      <x:c r="B20" s="17" t="n">
        <x:v>3024417</x:v>
      </x:c>
      <x:c r="C20" s="17" t="str">
        <x:v>公司销售快报/年报</x:v>
      </x:c>
      <x:c r="D20" s="17" t="n">
        <x:v>2</x:v>
      </x:c>
      <x:c r="E20" s="41" t="n">
        <x:v>0.001</x:v>
      </x:c>
      <x:c r="F20" s="41" t="n">
        <x:v>0.004</x:v>
      </x:c>
      <x:c r="G20" s="41" t="n">
        <x:v>0.02</x:v>
      </x:c>
      <x:c r="H20" s="21" t="n">
        <x:f>B20*E20</x:f>
        <x:v>3024.417</x:v>
      </x:c>
      <x:c r="I20" s="21" t="n">
        <x:f>B20*F20</x:f>
        <x:v>12097.668</x:v>
      </x:c>
      <x:c r="J20" s="21" t="n">
        <x:f>B20*G20</x:f>
        <x:v>60488.340000000004</x:v>
      </x:c>
      <x:c r="K20" s="25" t="n">
        <x:f>$B$6</x:f>
        <x:v>0.0965</x:v>
      </x:c>
      <x:c r="L20" s="39" t="n">
        <x:f>$B$7</x:f>
        <x:v>0.275</x:v>
      </x:c>
      <x:c r="M20" s="39" t="n">
        <x:f>$B$8</x:f>
        <x:v>0.4</x:v>
      </x:c>
      <x:c r="N20" s="39" t="n">
        <x:f>$B$9</x:f>
        <x:v>0.55</x:v>
      </x:c>
      <x:c r="O20" s="21" t="n">
        <x:f>H20*K20*L20</x:f>
        <x:v>80.2604661375</x:v>
      </x:c>
      <x:c r="P20" s="21" t="n">
        <x:f>I20*K20*M20</x:f>
        <x:v>466.9699848</x:v>
      </x:c>
      <x:c r="Q20" s="21" t="n">
        <x:f>J20*K20*N20</x:f>
        <x:v>3210.4186455000004</x:v>
      </x:c>
      <x:c r="R20" s="17" t="str">
        <x:v>A/B-公司披露</x:v>
      </x:c>
      <x:c r="S20" s="17" t="str">
        <x:v>https://www1.hkexnews.hk/search/titlesearch.xhtml?category=0&amp;market=SEHK&amp;stockId=2696</x:v>
      </x:c>
    </x:row>
    <x:row r="21">
      <x:c r="A21" s="17" t="n">
        <x:v>2024</x:v>
      </x:c>
      <x:c r="B21" s="17" t="n">
        <x:v>4272145</x:v>
      </x:c>
      <x:c r="C21" s="17" t="str">
        <x:v>公司销售快报/年报</x:v>
      </x:c>
      <x:c r="D21" s="17" t="n">
        <x:v>1</x:v>
      </x:c>
      <x:c r="E21" s="41" t="n">
        <x:v>0</x:v>
      </x:c>
      <x:c r="F21" s="41" t="n">
        <x:v>0.001</x:v>
      </x:c>
      <x:c r="G21" s="41" t="n">
        <x:v>0.005</x:v>
      </x:c>
      <x:c r="H21" s="21" t="n">
        <x:f>B21*E21</x:f>
        <x:v>0</x:v>
      </x:c>
      <x:c r="I21" s="21" t="n">
        <x:f>B21*F21</x:f>
        <x:v>4272.145</x:v>
      </x:c>
      <x:c r="J21" s="21" t="n">
        <x:f>B21*G21</x:f>
        <x:v>21360.725000000002</x:v>
      </x:c>
      <x:c r="K21" s="25" t="n">
        <x:f>$B$6</x:f>
        <x:v>0.0965</x:v>
      </x:c>
      <x:c r="L21" s="39" t="n">
        <x:f>$B$7</x:f>
        <x:v>0.275</x:v>
      </x:c>
      <x:c r="M21" s="39" t="n">
        <x:f>$B$8</x:f>
        <x:v>0.4</x:v>
      </x:c>
      <x:c r="N21" s="39" t="n">
        <x:f>$B$9</x:f>
        <x:v>0.55</x:v>
      </x:c>
      <x:c r="O21" s="21" t="n">
        <x:f>H21*K21*L21</x:f>
        <x:v>0</x:v>
      </x:c>
      <x:c r="P21" s="21" t="n">
        <x:f>I21*K21*M21</x:f>
        <x:v>164.90479700000003</x:v>
      </x:c>
      <x:c r="Q21" s="21" t="n">
        <x:f>J21*K21*N21</x:f>
        <x:v>1133.7204793750004</x:v>
      </x:c>
      <x:c r="R21" s="17" t="str">
        <x:v>A-公司披露</x:v>
      </x:c>
      <x:c r="S21" s="17" t="str">
        <x:v>https://www.hkexnews.hk/listedco/listconews/sehk/2025/0324/2025032401238.pdf</x:v>
      </x:c>
    </x:row>
    <x:row r="22">
      <x:c r="A22" s="17" t="str">
        <x:v>合计</x:v>
      </x:c>
      <x:c r="B22" s="17"/>
      <x:c r="C22" s="17"/>
      <x:c r="D22" s="17"/>
      <x:c r="E22" s="17"/>
      <x:c r="F22" s="17"/>
      <x:c r="G22" s="17"/>
      <x:c r="H22" s="21" t="n">
        <x:f>SUM(H12:H21)</x:f>
        <x:v>135388.938</x:v>
      </x:c>
      <x:c r="I22" s="21" t="n">
        <x:f>SUM(I12:I21)</x:f>
        <x:v>227758.013</x:v>
      </x:c>
      <x:c r="J22" s="21" t="n">
        <x:f>SUM(J12:J21)</x:f>
        <x:v>438197.205</x:v>
      </x:c>
      <x:c r="K22" s="17"/>
      <x:c r="L22" s="17"/>
      <x:c r="M22" s="17"/>
      <x:c r="N22" s="17"/>
      <x:c r="O22" s="21" t="n">
        <x:f>SUM(O12:O21)</x:f>
        <x:v>3592.8839421750004</x:v>
      </x:c>
      <x:c r="P22" s="21" t="n">
        <x:f>SUM(P12:P21)</x:f>
        <x:v>8791.459301800001</x:v>
      </x:c>
      <x:c r="Q22" s="21" t="n">
        <x:f>SUM(Q12:Q21)</x:f>
        <x:v>23257.316655375</x:v>
      </x:c>
      <x:c r="R22" s="17"/>
      <x:c r="S22" s="17"/>
    </x:row>
    <x:row r="24" ht="28" customHeight="1">
      <x:c r="A24" s="14" t="str">
        <x:v>与情景参数模板校验（低/基准/高，应一致）</x:v>
      </x:c>
      <x:c r="B24" s="14" t="str">
        <x:v>与情景参数模板校验（低/基准/高，应一致）</x:v>
      </x:c>
      <x:c r="C24" s="14" t="str">
        <x:v>与情景参数模板校验（低/基准/高，应一致）</x:v>
      </x:c>
      <x:c r="D24" s="14" t="str">
        <x:v>与情景参数模板校验（低/基准/高，应一致）</x:v>
      </x:c>
      <x:c r="E24" s="14" t="str">
        <x:v>与情景参数模板校验（低/基准/高，应一致）</x:v>
      </x:c>
      <x:c r="F24" s="14" t="str">
        <x:v>与情景参数模板校验（低/基准/高，应一致）</x:v>
      </x:c>
      <x:c r="G24" s="14" t="str">
        <x:v>与情景参数模板校验（低/基准/高，应一致）</x:v>
      </x:c>
      <x:c r="H24" s="14" t="str">
        <x:v>与情景参数模板校验（低/基准/高，应一致）</x:v>
      </x:c>
      <x:c r="I24" s="14" t="str">
        <x:v>与情景参数模板校验（低/基准/高，应一致）</x:v>
      </x:c>
      <x:c r="J24" s="14" t="str">
        <x:v>与情景参数模板校验（低/基准/高，应一致）</x:v>
      </x:c>
      <x:c r="K24" s="14" t="str">
        <x:v>与情景参数模板校验（低/基准/高，应一致）</x:v>
      </x:c>
      <x:c r="L24" s="14" t="str">
        <x:v>与情景参数模板校验（低/基准/高，应一致）</x:v>
      </x:c>
      <x:c r="M24" s="14" t="str">
        <x:v>与情景参数模板校验（低/基准/高，应一致）</x:v>
      </x:c>
      <x:c r="N24" s="14" t="str">
        <x:v>与情景参数模板校验（低/基准/高，应一致）</x:v>
      </x:c>
      <x:c r="O24" s="40" t="n">
        <x:f>O22-'情景参数模板'!C4</x:f>
        <x:v>0.0039421750002475164</x:v>
      </x:c>
      <x:c r="P24" s="40" t="n">
        <x:f>P22-'情景参数模板'!D4</x:f>
        <x:v>-0.000698199997714255</x:v>
      </x:c>
      <x:c r="Q24" s="40" t="n">
        <x:f>Q22-'情景参数模板'!E4</x:f>
        <x:v>-0.0033446249981352594</x:v>
      </x:c>
    </x:row>
  </x:sheetData>
  <x:mergeCells>
    <x:mergeCell ref="A1:S1"/>
    <x:mergeCell ref="A2:S2"/>
    <x:mergeCell ref="A24:N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24" hidden="0" customWidth="1"/>
    <x:col min="4" max="4" width="10" hidden="0" customWidth="1"/>
    <x:col min="5" max="5" width="18" hidden="0" customWidth="1"/>
    <x:col min="6" max="6" width="50" hidden="0" customWidth="1"/>
    <x:col min="7" max="7" width="10" hidden="0" customWidth="1"/>
    <x:col min="8" max="8" width="66" hidden="0" customWidth="1"/>
  </x:cols>
  <x:sheetData>
    <x:row r="1" ht="30" customHeight="1">
      <x:c r="A1" s="4" t="str">
        <x:v>来源目录与证据用途</x:v>
      </x:c>
      <x:c r="B1" s="4" t="str">
        <x:v>来源目录与证据用途</x:v>
      </x:c>
      <x:c r="C1" s="4" t="str">
        <x:v>来源目录与证据用途</x:v>
      </x:c>
      <x:c r="D1" s="4" t="str">
        <x:v>来源目录与证据用途</x:v>
      </x:c>
      <x:c r="E1" s="4" t="str">
        <x:v>来源目录与证据用途</x:v>
      </x:c>
      <x:c r="F1" s="4" t="str">
        <x:v>来源目录与证据用途</x:v>
      </x:c>
      <x:c r="G1" s="4" t="str">
        <x:v>来源目录与证据用途</x:v>
      </x:c>
      <x:c r="H1" s="4" t="str">
        <x:v>来源目录与证据用途</x:v>
      </x:c>
    </x:row>
    <x:row r="3" ht="28" customHeight="1">
      <x:c r="A3" s="14" t="str">
        <x:v>编号</x:v>
      </x:c>
      <x:c r="B3" s="14" t="str">
        <x:v>来源名称</x:v>
      </x:c>
      <x:c r="C3" s="14" t="str">
        <x:v>机构</x:v>
      </x:c>
      <x:c r="D3" s="14" t="str">
        <x:v>年份</x:v>
      </x:c>
      <x:c r="E3" s="14" t="str">
        <x:v>类型</x:v>
      </x:c>
      <x:c r="F3" s="14" t="str">
        <x:v>可支持的内容</x:v>
      </x:c>
      <x:c r="G3" s="14" t="str">
        <x:v>可靠性</x:v>
      </x:c>
      <x:c r="H3" s="14" t="str">
        <x:v>URL</x:v>
      </x:c>
    </x:row>
    <x:row r="4">
      <x:c r="A4" s="17" t="str">
        <x:v>S01</x:v>
      </x:c>
      <x:c r="B4" s="17" t="str">
        <x:v>RELOG GitHub仓库</x:v>
      </x:c>
      <x:c r="C4" s="17" t="str">
        <x:v>Argonne/ANL-CEEESA</x:v>
      </x:c>
      <x:c r="D4" s="17" t="n">
        <x:v>2026</x:v>
      </x:c>
      <x:c r="E4" s="17" t="str">
        <x:v>代码仓库</x:v>
      </x:c>
      <x:c r="F4" s="17" t="str">
        <x:v>当前master为0.8.0；逆向/循环供应链MILP定位</x:v>
      </x:c>
      <x:c r="G4" s="17" t="str">
        <x:v>A</x:v>
      </x:c>
      <x:c r="H4" s="17" t="str">
        <x:v>https://github.com/ANL-CEEESA/RELOG</x:v>
      </x:c>
    </x:row>
    <x:row r="5">
      <x:c r="A5" s="17" t="str">
        <x:v>S02</x:v>
      </x:c>
      <x:c r="B5" s="17" t="str">
        <x:v>RELOG 0.7 Usage</x:v>
      </x:c>
      <x:c r="C5" s="17" t="str">
        <x:v>Argonne</x:v>
      </x:c>
      <x:c r="D5" s="17" t="n">
        <x:v>2023</x:v>
      </x:c>
      <x:c r="E5" s="17" t="str">
        <x:v>官方文档</x:v>
      </x:c>
      <x:c r="F5" s="17" t="str">
        <x:v>Julia 1.8、HiGHS、solve/resolve、产品与工厂逻辑</x:v>
      </x:c>
      <x:c r="G5" s="17" t="str">
        <x:v>A</x:v>
      </x:c>
      <x:c r="H5" s="17" t="str">
        <x:v>https://anl-ceeesa.github.io/RELOG/0.7/usage/</x:v>
      </x:c>
    </x:row>
    <x:row r="6">
      <x:c r="A6" s="17" t="str">
        <x:v>S03</x:v>
      </x:c>
      <x:c r="B6" s="17" t="str">
        <x:v>RELOG 0.7 Data Format</x:v>
      </x:c>
      <x:c r="C6" s="17" t="str">
        <x:v>Argonne</x:v>
      </x:c>
      <x:c r="D6" s="17" t="n">
        <x:v>2023</x:v>
      </x:c>
      <x:c r="E6" s="17" t="str">
        <x:v>官方文档</x:v>
      </x:c>
      <x:c r="F6" s="17" t="str">
        <x:v>parameters/products/plants字段与限制</x:v>
      </x:c>
      <x:c r="G6" s="17" t="str">
        <x:v>A</x:v>
      </x:c>
      <x:c r="H6" s="17" t="str">
        <x:v>https://anl-ceeesa.github.io/RELOG/0.7/format/</x:v>
      </x:c>
    </x:row>
    <x:row r="7">
      <x:c r="A7" s="17" t="str">
        <x:v>S04</x:v>
      </x:c>
      <x:c r="B7" s="17" t="str">
        <x:v>RELOG Optimization Model</x:v>
      </x:c>
      <x:c r="C7" s="17" t="str">
        <x:v>Argonne</x:v>
      </x:c>
      <x:c r="D7" s="17" t="n">
        <x:v>2023</x:v>
      </x:c>
      <x:c r="E7" s="17" t="str">
        <x:v>官方文档</x:v>
      </x:c>
      <x:c r="F7" s="17" t="str">
        <x:v>设施选址MILP目标函数与约束</x:v>
      </x:c>
      <x:c r="G7" s="17" t="str">
        <x:v>A</x:v>
      </x:c>
      <x:c r="H7" s="17" t="str">
        <x:v>https://anl-ceeesa.github.io/RELOG/0.7/model/</x:v>
      </x:c>
    </x:row>
    <x:row r="8">
      <x:c r="A8" s="17" t="str">
        <x:v>S05</x:v>
      </x:c>
      <x:c r="B8" s="17" t="str">
        <x:v>BYD 2024 Sustainability Report</x:v>
      </x:c>
      <x:c r="C8" s="17" t="str">
        <x:v>比亚迪/HKEX</x:v>
      </x:c>
      <x:c r="D8" s="17" t="n">
        <x:v>2025</x:v>
      </x:c>
      <x:c r="E8" s="17" t="str">
        <x:v>公司报告</x:v>
      </x:c>
      <x:c r="F8" s="17" t="str">
        <x:v>闭环链条、2座回收工厂、回收超1万吨</x:v>
      </x:c>
      <x:c r="G8" s="17" t="str">
        <x:v>A</x:v>
      </x:c>
      <x:c r="H8" s="17" t="str">
        <x:v>https://www1.hkexnews.hk/listedco/listconews/sehk/2025/0324/2025032401244.pdf</x:v>
      </x:c>
    </x:row>
    <x:row r="9">
      <x:c r="A9" s="17" t="str">
        <x:v>S06</x:v>
      </x:c>
      <x:c r="B9" s="17" t="str">
        <x:v>BYD 2025 Sustainability Report</x:v>
      </x:c>
      <x:c r="C9" s="17" t="str">
        <x:v>比亚迪/HKEX</x:v>
      </x:c>
      <x:c r="D9" s="17" t="n">
        <x:v>2026</x:v>
      </x:c>
      <x:c r="E9" s="17" t="str">
        <x:v>公司报告</x:v>
      </x:c>
      <x:c r="F9" s="17" t="str">
        <x:v>最新ESG与公司回收叙述，需定稿前抽取最新数值</x:v>
      </x:c>
      <x:c r="G9" s="17" t="str">
        <x:v>A</x:v>
      </x:c>
      <x:c r="H9" s="17" t="str">
        <x:v>https://www1.hkexnews.hk/listedco/listconews/sehk/2026/0327/2026032702828.pdf</x:v>
      </x:c>
    </x:row>
    <x:row r="10">
      <x:c r="A10" s="17" t="str">
        <x:v>S07</x:v>
      </x:c>
      <x:c r="B10" s="17" t="str">
        <x:v>比亚迪售后服务</x:v>
      </x:c>
      <x:c r="C10" s="17" t="str">
        <x:v>比亚迪</x:v>
      </x:c>
      <x:c r="D10" s="17" t="n">
        <x:v>2026</x:v>
      </x:c>
      <x:c r="E10" s="17" t="str">
        <x:v>公司官网</x:v>
      </x:c>
      <x:c r="F10" s="17" t="str">
        <x:v>2300+售后网点、回收承诺</x:v>
      </x:c>
      <x:c r="G10" s="17" t="str">
        <x:v>A</x:v>
      </x:c>
      <x:c r="H10" s="17" t="str">
        <x:v>https://www.byd.com/cn/after-sales-service</x:v>
      </x:c>
    </x:row>
    <x:row r="11">
      <x:c r="A11" s="17" t="str">
        <x:v>S08</x:v>
      </x:c>
      <x:c r="B11" s="17" t="str">
        <x:v>比亚迪动力电池回收点</x:v>
      </x:c>
      <x:c r="C11" s="17" t="str">
        <x:v>比亚迪</x:v>
      </x:c>
      <x:c r="D11" s="17" t="n">
        <x:v>2026</x:v>
      </x:c>
      <x:c r="E11" s="17" t="str">
        <x:v>公司官网</x:v>
      </x:c>
      <x:c r="F11" s="17" t="str">
        <x:v>前端回收点地址候选集</x:v>
      </x:c>
      <x:c r="G11" s="17" t="str">
        <x:v>A</x:v>
      </x:c>
      <x:c r="H11" s="17" t="str">
        <x:v>https://www.bydglobal.com/cn/SocialResponsibility/BatteryRecycle.html</x:v>
      </x:c>
    </x:row>
    <x:row r="12">
      <x:c r="A12" s="17" t="str">
        <x:v>S09</x:v>
      </x:c>
      <x:c r="B12" s="17" t="str">
        <x:v>汕尾比亚迪回收项目审批前公示</x:v>
      </x:c>
      <x:c r="C12" s="17" t="str">
        <x:v>汕尾生态环境局</x:v>
      </x:c>
      <x:c r="D12" s="17" t="n">
        <x:v>2018</x:v>
      </x:c>
      <x:c r="E12" s="17" t="str">
        <x:v>政府环评</x:v>
      </x:c>
      <x:c r="F12" s="17" t="str">
        <x:v>1万吨/年、3904.65万元、工艺、人员</x:v>
      </x:c>
      <x:c r="G12" s="17" t="str">
        <x:v>A</x:v>
      </x:c>
      <x:c r="H12" s="17" t="str">
        <x:v>https://www.shanwei.gov.cn/swhbj/493/506/content/post_526956.html</x:v>
      </x:c>
    </x:row>
    <x:row r="13">
      <x:c r="A13" s="17" t="str">
        <x:v>S10</x:v>
      </x:c>
      <x:c r="B13" s="17" t="str">
        <x:v>汕尾红草工业园项目汇总环评</x:v>
      </x:c>
      <x:c r="C13" s="17" t="str">
        <x:v>汕尾市政府</x:v>
      </x:c>
      <x:c r="D13" s="17" t="n">
        <x:v>2026</x:v>
      </x:c>
      <x:c r="E13" s="17" t="str">
        <x:v>政府环评</x:v>
      </x:c>
      <x:c r="F13" s="17" t="str">
        <x:v>回收项目验收状态、梯次能力、现有项目</x:v>
      </x:c>
      <x:c r="G13" s="17" t="str">
        <x:v>A</x:v>
      </x:c>
      <x:c r="H13" s="17" t="str">
        <x:v>https://www.shanwei.gov.cn/attachment/0/84/84827/1245132.pdf</x:v>
      </x:c>
    </x:row>
    <x:row r="14">
      <x:c r="A14" s="17" t="str">
        <x:v>S11</x:v>
      </x:c>
      <x:c r="B14" s="17" t="str">
        <x:v>陕西省人大建议答复</x:v>
      </x:c>
      <x:c r="C14" s="17" t="str">
        <x:v>陕西省科技厅</x:v>
      </x:c>
      <x:c r="D14" s="17" t="n">
        <x:v>2025</x:v>
      </x:c>
      <x:c r="E14" s="17" t="str">
        <x:v>政府答复</x:v>
      </x:c>
      <x:c r="F14" s="17" t="str">
        <x:v>西安比亚迪2万吨/年自动化拆解线</x:v>
      </x:c>
      <x:c r="G14" s="17" t="str">
        <x:v>A</x:v>
      </x:c>
      <x:c r="H14" s="17" t="str">
        <x:v>https://kjt.shaanxi.gov.cn/gk/fdzdgknr/yabl/rddb/2025nrddb/202508/t20250826_3558894.html</x:v>
      </x:c>
    </x:row>
    <x:row r="15">
      <x:c r="A15" s="17" t="str">
        <x:v>S12</x:v>
      </x:c>
      <x:c r="B15" s="17" t="str">
        <x:v>广东省政协提案答复</x:v>
      </x:c>
      <x:c r="C15" s="17" t="str">
        <x:v>广东省发改委</x:v>
      </x:c>
      <x:c r="D15" s="17" t="n">
        <x:v>2024</x:v>
      </x:c>
      <x:c r="E15" s="17" t="str">
        <x:v>政府答复</x:v>
      </x:c>
      <x:c r="F15" s="17" t="str">
        <x:v>比亚迪龙岗/濠江等回收网点、政策与合作</x:v>
      </x:c>
      <x:c r="G15" s="17" t="str">
        <x:v>A</x:v>
      </x:c>
      <x:c r="H15" s="17" t="str">
        <x:v>https://drc.gd.gov.cn/gkmlpt/content/4/4467/post_4467293.html</x:v>
      </x:c>
    </x:row>
    <x:row r="16">
      <x:c r="A16" s="17" t="str">
        <x:v>S13</x:v>
      </x:c>
      <x:c r="B16" s="17" t="str">
        <x:v>广东动力电池回收利用提案答复</x:v>
      </x:c>
      <x:c r="C16" s="17" t="str">
        <x:v>广东省工信厅</x:v>
      </x:c>
      <x:c r="D16" s="17" t="n">
        <x:v>2023</x:v>
      </x:c>
      <x:c r="E16" s="17" t="str">
        <x:v>政府答复</x:v>
      </x:c>
      <x:c r="F16" s="17" t="str">
        <x:v>1532网点、12规范企业、产业联盟</x:v>
      </x:c>
      <x:c r="G16" s="17" t="str">
        <x:v>A</x:v>
      </x:c>
      <x:c r="H16" s="17" t="str">
        <x:v>https://gdii.gd.gov.cn/rdjyhzxtabljg/content/post_4211929.html</x:v>
      </x:c>
    </x:row>
    <x:row r="17">
      <x:c r="A17" s="17" t="str">
        <x:v>S14</x:v>
      </x:c>
      <x:c r="B17" s="17" t="str">
        <x:v>2024版综合利用行业规范条件解读</x:v>
      </x:c>
      <x:c r="C17" s="17" t="str">
        <x:v>工信部</x:v>
      </x:c>
      <x:c r="D17" s="17" t="n">
        <x:v>2024</x:v>
      </x:c>
      <x:c r="E17" s="17" t="str">
        <x:v>部门文件</x:v>
      </x:c>
      <x:c r="F17" s="17" t="str">
        <x:v>148家企业、锂90%、电极粉98%等</x:v>
      </x:c>
      <x:c r="G17" s="17" t="str">
        <x:v>A</x:v>
      </x:c>
      <x:c r="H17" s="17" t="str">
        <x:v>https://www.miit.gov.cn/jgsj/jns/zhlyh/art/2024/art_8938322a9cc94cc2940192fe760781db.html</x:v>
      </x:c>
    </x:row>
    <x:row r="18">
      <x:c r="A18" s="17" t="str">
        <x:v>S15</x:v>
      </x:c>
      <x:c r="B18" s="17" t="str">
        <x:v>废旧动力电池回收和综合利用管理暂行办法</x:v>
      </x:c>
      <x:c r="C18" s="17" t="str">
        <x:v>六部门</x:v>
      </x:c>
      <x:c r="D18" s="17" t="n">
        <x:v>2026</x:v>
      </x:c>
      <x:c r="E18" s="17" t="str">
        <x:v>部门规章</x:v>
      </x:c>
      <x:c r="F18" s="17" t="str">
        <x:v>生产者责任、溯源、合规交付、现行制度</x:v>
      </x:c>
      <x:c r="G18" s="17" t="str">
        <x:v>A</x:v>
      </x:c>
      <x:c r="H18" s="17" t="str">
        <x:v>https://www.miit.gov.cn/gyhxxhb/jgsj/cyzcyfgs/bmgz/art/2026/art_392462fdc40c415ea4a4129cac3028c2.html</x:v>
      </x:c>
    </x:row>
    <x:row r="19">
      <x:c r="A19" s="17" t="str">
        <x:v>S16</x:v>
      </x:c>
      <x:c r="B19" s="17" t="str">
        <x:v>2024年广东各市GDP</x:v>
      </x:c>
      <x:c r="C19" s="17" t="str">
        <x:v>广东省统计局</x:v>
      </x:c>
      <x:c r="D19" s="17" t="n">
        <x:v>2025</x:v>
      </x:c>
      <x:c r="E19" s="17" t="str">
        <x:v>统计数据</x:v>
      </x:c>
      <x:c r="F19" s="17" t="str">
        <x:v>21市GDP需求代理变量</x:v>
      </x:c>
      <x:c r="G19" s="17" t="str">
        <x:v>A</x:v>
      </x:c>
      <x:c r="H19" s="17" t="str">
        <x:v>https://stats.gd.gov.cn/fsjdgnsczz/content/post_4666332.html</x:v>
      </x:c>
    </x:row>
    <x:row r="20">
      <x:c r="A20" s="17" t="str">
        <x:v>S17</x:v>
      </x:c>
      <x:c r="B20" s="17" t="str">
        <x:v>宝鸡动力电池回收项目批复</x:v>
      </x:c>
      <x:c r="C20" s="17" t="str">
        <x:v>宝鸡市政府</x:v>
      </x:c>
      <x:c r="D20" s="17" t="n">
        <x:v>2025</x:v>
      </x:c>
      <x:c r="E20" s="17" t="str">
        <x:v>政府环评</x:v>
      </x:c>
      <x:c r="F20" s="17" t="str">
        <x:v>2万吨拆解+2万吨梯次、投资1.1亿元</x:v>
      </x:c>
      <x:c r="G20" s="17" t="str">
        <x:v>B</x:v>
      </x:c>
      <x:c r="H20" s="17" t="str">
        <x:v>https://www.baoji.gov.cn/col9816/col9817/col9846/col9853/202510/t20251011_1217742.html</x:v>
      </x:c>
    </x:row>
    <x:row r="21">
      <x:c r="A21" s="17" t="str">
        <x:v>S18</x:v>
      </x:c>
      <x:c r="B21" s="17" t="str">
        <x:v>武汉动力电池回收项目批复</x:v>
      </x:c>
      <x:c r="C21" s="17" t="str">
        <x:v>武汉蔡甸区政府</x:v>
      </x:c>
      <x:c r="D21" s="17" t="n">
        <x:v>2023</x:v>
      </x:c>
      <x:c r="E21" s="17" t="str">
        <x:v>政府环评</x:v>
      </x:c>
      <x:c r="F21" s="17" t="str">
        <x:v>2万吨拆分、5000万元、梯次能力</x:v>
      </x:c>
      <x:c r="G21" s="17" t="str">
        <x:v>B</x:v>
      </x:c>
      <x:c r="H21" s="17" t="str">
        <x:v>https://www.caidian.gov.cn/zwgk/xxgkml/zdxm/hjsp_/202308/t20230825_2253391.shtml</x:v>
      </x:c>
    </x:row>
    <x:row r="22">
      <x:c r="A22" s="17" t="str">
        <x:v>S19</x:v>
      </x:c>
      <x:c r="B22" s="17" t="str">
        <x:v>广州报废动力电池材料再生项目公示</x:v>
      </x:c>
      <x:c r="C22" s="17" t="str">
        <x:v>广州市生态环境局</x:v>
      </x:c>
      <x:c r="D22" s="17" t="n">
        <x:v>2024</x:v>
      </x:c>
      <x:c r="E22" s="17" t="str">
        <x:v>政府环评</x:v>
      </x:c>
      <x:c r="F22" s="17" t="str">
        <x:v>2.75万吨处理规模与产出结构</x:v>
      </x:c>
      <x:c r="G22" s="17" t="str">
        <x:v>B</x:v>
      </x:c>
      <x:c r="H22" s="17" t="str">
        <x:v>https://sthjj.gz.gov.cn/hjgl/jsxm/hpspqgs/content/post_9780380.html</x:v>
      </x:c>
    </x:row>
    <x:row r="23">
      <x:c r="A23" s="17" t="str">
        <x:v>S20</x:v>
      </x:c>
      <x:c r="B23" s="17" t="str">
        <x:v>广东省第七次全国人口普查公报（第二号）</x:v>
      </x:c>
      <x:c r="C23" s="17" t="str">
        <x:v>广东省统计局</x:v>
      </x:c>
      <x:c r="D23" s="17" t="n">
        <x:v>2021</x:v>
      </x:c>
      <x:c r="E23" s="17" t="str">
        <x:v>官方统计</x:v>
      </x:c>
      <x:c r="F23" s="17" t="str">
        <x:v>2020年21市常住人口及人口份额</x:v>
      </x:c>
      <x:c r="G23" s="17" t="str">
        <x:v>A</x:v>
      </x:c>
      <x:c r="H23" s="17" t="str">
        <x:v>https://stats.gd.gov.cn/attachment/0/421/421309/3283428.pdf</x:v>
      </x:c>
    </x:row>
    <x:row r="24">
      <x:c r="A24" s="17" t="str">
        <x:v>S21</x:v>
      </x:c>
      <x:c r="B24" s="17" t="str">
        <x:v>Nominatim Search API</x:v>
      </x:c>
      <x:c r="C24" s="17" t="str">
        <x:v>OpenStreetMap</x:v>
      </x:c>
      <x:c r="D24" s="17" t="n">
        <x:v>2026</x:v>
      </x:c>
      <x:c r="E24" s="17" t="str">
        <x:v>开放地理数据</x:v>
      </x:c>
      <x:c r="F24" s="17" t="str">
        <x:v>21市行政节点代理经纬度；不等于政府驻地或厂址</x:v>
      </x:c>
      <x:c r="G24" s="17" t="str">
        <x:v>B</x:v>
      </x:c>
      <x:c r="H24" s="17" t="str">
        <x:v>https://nominatim.openstreetmap.org/</x:v>
      </x:c>
    </x:row>
    <x:row r="25">
      <x:c r="A25" s="17" t="str">
        <x:v>S22</x:v>
      </x:c>
      <x:c r="B25" s="17" t="str">
        <x:v>2024版动力电池综合利用规范条件解读</x:v>
      </x:c>
      <x:c r="C25" s="17" t="str">
        <x:v>工业和信息化部</x:v>
      </x:c>
      <x:c r="D25" s="17" t="n">
        <x:v>2024</x:v>
      </x:c>
      <x:c r="E25" s="17" t="str">
        <x:v>官方政策解读</x:v>
      </x:c>
      <x:c r="F25" s="17" t="str">
        <x:v>梯次利用最低产能1000吨/年、再生利用最低产能5000吨/年</x:v>
      </x:c>
      <x:c r="G25" s="17" t="str">
        <x:v>A</x:v>
      </x:c>
      <x:c r="H25" s="17" t="str">
        <x:v>https://www.miit.gov.cn/zwgk/zcjd/art/2024/art_a2042b19234045b5881e7123f46a8d06.html</x:v>
      </x:c>
    </x:row>
    <x:row r="26">
      <x:c r="A26" s="17" t="str">
        <x:v>S23</x:v>
      </x:c>
      <x:c r="B26" s="17" t="str">
        <x:v>Transportation of EoL EV lithium-ion batteries: literature review</x:v>
      </x:c>
      <x:c r="C26" s="17" t="str">
        <x:v>Resources, Conservation &amp; Recycling</x:v>
      </x:c>
      <x:c r="D26" s="17" t="n">
        <x:v>2021</x:v>
      </x:c>
      <x:c r="E26" s="17" t="str">
        <x:v>同行评议综述</x:v>
      </x:c>
      <x:c r="F26" s="17" t="str">
        <x:v>运输成本高度不确定；汇总中国研究0.07美元/(吨·km)</x:v>
      </x:c>
      <x:c r="G26" s="17" t="str">
        <x:v>C</x:v>
      </x:c>
      <x:c r="H26" s="17" t="str">
        <x:v>https://doi.org/10.1016/j.resconrec.2021.105755</x:v>
      </x:c>
    </x:row>
    <x:row r="27">
      <x:c r="A27" s="17" t="str">
        <x:v>S24</x:v>
      </x:c>
      <x:c r="B27" s="17" t="str">
        <x:v>Economic and environmental assessments of an integrated LIB recycling supply chain</x:v>
      </x:c>
      <x:c r="C27" s="17" t="str">
        <x:v>Journal of Cleaner Production</x:v>
      </x:c>
      <x:c r="D27" s="17" t="n">
        <x:v>2022</x:v>
      </x:c>
      <x:c r="E27" s="17" t="str">
        <x:v>同行评议论文</x:v>
      </x:c>
      <x:c r="F27" s="17" t="str">
        <x:v>最优回收运营成本1803美元/吨；仅作跨国敏感性参考</x:v>
      </x:c>
      <x:c r="G27" s="17" t="str">
        <x:v>C</x:v>
      </x:c>
      <x:c r="H27" s="17" t="str">
        <x:v>https://doi.org/10.1016/j.jclepro.2022.134625</x:v>
      </x:c>
    </x:row>
    <x:row r="28">
      <x:c r="A28" s="17" t="str">
        <x:v>S25</x:v>
      </x:c>
      <x:c r="B28" s="17" t="str">
        <x:v>规范企业名单（第一批）</x:v>
      </x:c>
      <x:c r="C28" s="17" t="str">
        <x:v>工业和信息化部</x:v>
      </x:c>
      <x:c r="D28" s="17" t="n">
        <x:v>2018</x:v>
      </x:c>
      <x:c r="E28" s="17" t="str">
        <x:v>官方名单</x:v>
      </x:c>
      <x:c r="F28" s="17" t="str">
        <x:v>广东光华科技股份有限公司</x:v>
      </x:c>
      <x:c r="G28" s="17" t="str">
        <x:v>A</x:v>
      </x:c>
      <x:c r="H28" s="17" t="str">
        <x:v>https://www.miit.gov.cn/jgsj/jns/gzdt/art/2020/art_4340b1ff730f47b79c37c62a77f06ef9.html</x:v>
      </x:c>
    </x:row>
    <x:row r="29">
      <x:c r="A29" s="17" t="str">
        <x:v>S26</x:v>
      </x:c>
      <x:c r="B29" s="17" t="str">
        <x:v>规范企业名单（第二批）</x:v>
      </x:c>
      <x:c r="C29" s="17" t="str">
        <x:v>工业和信息化部</x:v>
      </x:c>
      <x:c r="D29" s="17" t="n">
        <x:v>2021</x:v>
      </x:c>
      <x:c r="E29" s="17" t="str">
        <x:v>官方名单</x:v>
      </x:c>
      <x:c r="F29" s="17" t="str">
        <x:v>乾泰、中力、恒创睿能、佳纳等广东候选设施</x:v>
      </x:c>
      <x:c r="G29" s="17" t="str">
        <x:v>A</x:v>
      </x:c>
      <x:c r="H29" s="17" t="str">
        <x:v>https://wap.miit.gov.cn/jgsj/jns/gzdt/art/2021/art_d84563327a33454f9f54d164cfde859b.html</x:v>
      </x:c>
    </x:row>
    <x:row r="30">
      <x:c r="A30" s="17" t="str">
        <x:v>S27</x:v>
      </x:c>
      <x:c r="B30" s="17" t="str">
        <x:v>规范企业名单（第三批）</x:v>
      </x:c>
      <x:c r="C30" s="17" t="str">
        <x:v>工业和信息化部</x:v>
      </x:c>
      <x:c r="D30" s="17" t="n">
        <x:v>2021</x:v>
      </x:c>
      <x:c r="E30" s="17" t="str">
        <x:v>官方名单</x:v>
      </x:c>
      <x:c r="F30" s="17" t="str">
        <x:v>朗达、迪度等广东候选设施</x:v>
      </x:c>
      <x:c r="G30" s="17" t="str">
        <x:v>A</x:v>
      </x:c>
      <x:c r="H30" s="17" t="str">
        <x:v>https://www.miit.gov.cn/jgsj/jns/zhlyh/art/2021/art_617843b5857c463dac604b8ef8f19ba9.html</x:v>
      </x:c>
    </x:row>
    <x:row r="31">
      <x:c r="A31" s="17" t="str">
        <x:v>S28</x:v>
      </x:c>
      <x:c r="B31" s="17" t="str">
        <x:v>规范企业名单（第四批）</x:v>
      </x:c>
      <x:c r="C31" s="17" t="str">
        <x:v>工业和信息化部</x:v>
      </x:c>
      <x:c r="D31" s="17" t="n">
        <x:v>2022</x:v>
      </x:c>
      <x:c r="E31" s="17" t="str">
        <x:v>官方名单</x:v>
      </x:c>
      <x:c r="F31" s="17" t="str">
        <x:v>博森、宇阳、广汽商贸、杰成等广东候选设施</x:v>
      </x:c>
      <x:c r="G31" s="17" t="str">
        <x:v>A</x:v>
      </x:c>
      <x:c r="H31" s="17" t="str">
        <x:v>https://www.miit.gov.cn/zwgk/zcwj/wjfb/gg/art/2022/art_751a83c5cae9443087ecfc5cb16e3be5.html</x:v>
      </x:c>
    </x:row>
    <x:row r="32">
      <x:c r="A32" s="17" t="str">
        <x:v>S29</x:v>
      </x:c>
      <x:c r="B32" s="17" t="str">
        <x:v>规范企业名单（第五批）</x:v>
      </x:c>
      <x:c r="C32" s="17" t="str">
        <x:v>工业和信息化部</x:v>
      </x:c>
      <x:c r="D32" s="17" t="n">
        <x:v>2023</x:v>
      </x:c>
      <x:c r="E32" s="17" t="str">
        <x:v>官方名单</x:v>
      </x:c>
      <x:c r="F32" s="17" t="str">
        <x:v>新增8家广东法人主体；双类型企业拆分为梯次/再生功能节点</x:v>
      </x:c>
      <x:c r="G32" s="17" t="str">
        <x:v>A</x:v>
      </x:c>
      <x:c r="H32" s="17" t="str">
        <x:v>https://www.miit.gov.cn/cms_files/filemanager/1226211233/attach/20238/77f5d7ade1bf4ca9b32ac9e430e2725d.pdf</x:v>
      </x:c>
    </x:row>
    <x:row r="33">
      <x:c r="A33" s="17" t="str">
        <x:v>S30</x:v>
      </x:c>
      <x:c r="B33" s="17" t="str">
        <x:v>广东汽车保有量突破3000万辆</x:v>
      </x:c>
      <x:c r="C33" s="17" t="str">
        <x:v>中国新闻网/广东省汽车流通协会</x:v>
      </x:c>
      <x:c r="D33" s="17" t="n">
        <x:v>2024</x:v>
      </x:c>
      <x:c r="E33" s="17" t="str">
        <x:v>协会数据报道</x:v>
      </x:c>
      <x:c r="F33" s="17" t="str">
        <x:v>2023广东NEV零售91.6万辆；广州23.5、深圳22.7万辆</x:v>
      </x:c>
      <x:c r="G33" s="17" t="str">
        <x:v>B</x:v>
      </x:c>
      <x:c r="H33" s="17" t="str">
        <x:v>https://www.chinanews.com.cn/cj/2024/03-22/10185287.shtml</x:v>
      </x:c>
    </x:row>
    <x:row r="34">
      <x:c r="A34" s="17" t="str">
        <x:v>S31</x:v>
      </x:c>
      <x:c r="B34" s="17" t="str">
        <x:v>2023年广东21地市汽车零售量排行榜</x:v>
      </x:c>
      <x:c r="C34" s="17" t="str">
        <x:v>公开资料整理/协会数据</x:v>
      </x:c>
      <x:c r="D34" s="17" t="n">
        <x:v>2024</x:v>
      </x:c>
      <x:c r="E34" s="17" t="str">
        <x:v>二次整理</x:v>
      </x:c>
      <x:c r="F34" s="17" t="str">
        <x:v>21市汽车零售量，用于分配省级NEV残差</x:v>
      </x:c>
      <x:c r="G34" s="17" t="str">
        <x:v>C</x:v>
      </x:c>
      <x:c r="H34" s="17" t="str">
        <x:v>https://www.sohu.com/a/783516060_120340049</x:v>
      </x:c>
    </x:row>
    <x:row r="35">
      <x:c r="A35" s="17" t="str">
        <x:v>S32</x:v>
      </x:c>
      <x:c r="B35" s="17" t="str">
        <x:v>我国废动力电池回收处理过程环境风险及管理对策</x:v>
      </x:c>
      <x:c r="C35" s="17" t="str">
        <x:v>环境工程技术学报</x:v>
      </x:c>
      <x:c r="D35" s="17" t="n">
        <x:v>2019</x:v>
      </x:c>
      <x:c r="E35" s="17" t="str">
        <x:v>同行评议论文</x:v>
      </x:c>
      <x:c r="F35" s="17" t="str">
        <x:v>混动乘用车275kg、纯电乘用车550kg；市场供给A模型</x:v>
      </x:c>
      <x:c r="G35" s="17" t="str">
        <x:v>C</x:v>
      </x:c>
      <x:c r="H35" s="17" t="str">
        <x:v>https://doi.org/10.12153/j.issn.1674-991X.2018.10.090</x:v>
      </x:c>
    </x:row>
    <x:row r="36">
      <x:c r="A36" s="17" t="str">
        <x:v>S33</x:v>
      </x:c>
      <x:c r="B36" s="17" t="str">
        <x:v>BYD上市公司文件检索</x:v>
      </x:c>
      <x:c r="C36" s="17" t="str">
        <x:v>香港交易所</x:v>
      </x:c>
      <x:c r="D36" s="17" t="n">
        <x:v>2026</x:v>
      </x:c>
      <x:c r="E36" s="17" t="str">
        <x:v>官方披露索引</x:v>
      </x:c>
      <x:c r="F36" s="17" t="str">
        <x:v>历年年报与销量快报的审计入口</x:v>
      </x:c>
      <x:c r="G36" s="17" t="str">
        <x:v>A</x:v>
      </x:c>
      <x:c r="H36" s="17" t="str">
        <x:v>https://www1.hkexnews.hk/search/titlesearch.xhtml?category=0&amp;market=SEHK&amp;stockId=2696</x:v>
      </x:c>
    </x:row>
    <x:row r="37">
      <x:c r="A37" s="17" t="str">
        <x:v>S34</x:v>
      </x:c>
      <x:c r="B37" s="17" t="str">
        <x:v>2024 BYD Annual Report</x:v>
      </x:c>
      <x:c r="C37" s="17" t="str">
        <x:v>比亚迪/HKEX</x:v>
      </x:c>
      <x:c r="D37" s="17" t="n">
        <x:v>2025</x:v>
      </x:c>
      <x:c r="E37" s="17" t="str">
        <x:v>公司年报</x:v>
      </x:c>
      <x:c r="F37" s="17" t="str">
        <x:v>2024新能源车销量与公司经营背景</x:v>
      </x:c>
      <x:c r="G37" s="17" t="str">
        <x:v>A</x:v>
      </x:c>
      <x:c r="H37" s="17" t="str">
        <x:v>https://www.hkexnews.hk/listedco/listconews/sehk/2025/0324/2025032401238.pdf</x:v>
      </x:c>
    </x:row>
    <x:row r="38">
      <x:c r="A38" s="17" t="str">
        <x:v>S35</x:v>
      </x:c>
      <x:c r="B38" s="17" t="str">
        <x:v>动力电池回收和综合利用管理暂行办法新闻发布会</x:v>
      </x:c>
      <x:c r="C38" s="17" t="str">
        <x:v>工业和信息化部</x:v>
      </x:c>
      <x:c r="D38" s="17" t="n">
        <x:v>2026</x:v>
      </x:c>
      <x:c r="E38" s="17" t="str">
        <x:v>官方发布会</x:v>
      </x:c>
      <x:c r="F38" s="17" t="str">
        <x:v>2025年全国综合利用量超过40万吨；回收网络责任要求</x:v>
      </x:c>
      <x:c r="G38" s="17" t="str">
        <x:v>A</x:v>
      </x:c>
      <x:c r="H38" s="17" t="str">
        <x:v>https://www.miit.gov.cn/xwfb/xwfbh/bxwfbh/art/2026/art_c5c9031e409e468eb4004d82fd394241.html</x:v>
      </x:c>
    </x:row>
    <x:row r="39" ht="48" hidden="0" customHeight="1">
      <x:c r="A39" s="51" t="str">
        <x:v>S36</x:v>
      </x:c>
      <x:c r="B39" s="51" t="str">
        <x:v>比亚迪动力电池回收点官网与公开接口</x:v>
      </x:c>
      <x:c r="C39" s="51" t="str">
        <x:v>比亚迪</x:v>
      </x:c>
      <x:c r="D39" s="51" t="n">
        <x:v>2026</x:v>
      </x:c>
      <x:c r="E39" s="51" t="str">
        <x:v>公司官网/接口</x:v>
      </x:c>
      <x:c r="F39" s="51" t="str">
        <x:v>全国13个、广东3个官方公开企业回收点及名称地址</x:v>
      </x:c>
      <x:c r="G39" s="51" t="str">
        <x:v>A</x:v>
      </x:c>
      <x:c r="H39" s="51" t="str">
        <x:v>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</x:row>
    <x:row r="40" ht="15" hidden="0" customHeight="1">
      <x:c r="A40" s="51" t="str">
        <x:v>S37</x:v>
      </x:c>
      <x:c r="B40" s="51" t="str">
        <x:v>广州市新能源汽车动力蓄电池回收服务网点名单</x:v>
      </x:c>
      <x:c r="C40" s="51" t="str">
        <x:v>广州市工信局</x:v>
      </x:c>
      <x:c r="D40" s="51" t="n">
        <x:v>2022</x:v>
      </x:c>
      <x:c r="E40" s="51" t="str">
        <x:v>政府名单</x:v>
      </x:c>
      <x:c r="F40" s="51" t="str">
        <x:v>广州广汽比亚迪回收点交叉核验</x:v>
      </x:c>
      <x:c r="G40" s="51" t="str">
        <x:v>A</x:v>
      </x:c>
      <x:c r="H40" s="51" t="str">
        <x:v>https://gxj.gz.gov.cn/attachment/7/7342/7342740/8640184.pdf</x:v>
      </x:c>
    </x:row>
    <x:row r="41" ht="15" hidden="0" customHeight="1">
      <x:c r="A41" s="51" t="str">
        <x:v>S38</x:v>
      </x:c>
      <x:c r="B41" s="51" t="str">
        <x:v>广州广汽比亚迪项目环评文件</x:v>
      </x:c>
      <x:c r="C41" s="51" t="str">
        <x:v>广州市生态环境局</x:v>
      </x:c>
      <x:c r="D41" s="51" t="n">
        <x:v>2025</x:v>
      </x:c>
      <x:c r="E41" s="51" t="str">
        <x:v>政府环评</x:v>
      </x:c>
      <x:c r="F41" s="51" t="str">
        <x:v>广州点项目中心经纬度及厂址交叉核验</x:v>
      </x:c>
      <x:c r="G41" s="51" t="str">
        <x:v>A/B</x:v>
      </x:c>
      <x:c r="H41" s="51" t="str">
        <x:v>https://sthjj.gz.gov.cn/attachment/7/7895/7895332/10165629.pdf</x:v>
      </x:c>
    </x:row>
    <x:row r="42" ht="15" hidden="0" customHeight="1">
      <x:c r="A42" s="51" t="str">
        <x:v>S39</x:v>
      </x:c>
      <x:c r="B42" s="51" t="str">
        <x:v>深圳比亚迪锂电池有限公司地图点</x:v>
      </x:c>
      <x:c r="C42" s="51" t="str">
        <x:v>高德地图</x:v>
      </x:c>
      <x:c r="D42" s="51" t="n">
        <x:v>2026</x:v>
      </x:c>
      <x:c r="E42" s="51" t="str">
        <x:v>公开地图</x:v>
      </x:c>
      <x:c r="F42" s="51" t="str">
        <x:v>深圳官方地址的坐标补充</x:v>
      </x:c>
      <x:c r="G42" s="51" t="str">
        <x:v>B</x:v>
      </x:c>
      <x:c r="H42" s="51" t="str">
        <x:v>https://www.amap.com/place/B02F38JOBL</x:v>
      </x:c>
    </x:row>
    <x:row r="43" ht="15" hidden="0" customHeight="1">
      <x:c r="A43" s="51" t="str">
        <x:v>S40</x:v>
      </x:c>
      <x:c r="B43" s="51" t="str">
        <x:v>汕头比亚迪实业地理坐标页</x:v>
      </x:c>
      <x:c r="C43" s="51" t="str">
        <x:v>公开地理数据</x:v>
      </x:c>
      <x:c r="D43" s="51" t="n">
        <x:v>2026</x:v>
      </x:c>
      <x:c r="E43" s="51" t="str">
        <x:v>二次地理数据</x:v>
      </x:c>
      <x:c r="F43" s="51" t="str">
        <x:v>汕头官方地址的坐标补充</x:v>
      </x:c>
      <x:c r="G43" s="51" t="str">
        <x:v>C</x:v>
      </x:c>
      <x:c r="H43" s="51" t="str">
        <x:v>https://www.cndatatrading.com/data/m/meteorological/NEA-rtb.html</x:v>
      </x:c>
    </x:row>
    <x:row r="44" ht="15" hidden="0" customHeight="1">
      <x:c r="A44" s="51" t="str">
        <x:v>S41</x:v>
      </x:c>
      <x:c r="B44" s="51" t="str">
        <x:v>OSRM Table Service</x:v>
      </x:c>
      <x:c r="C44" s="51" t="str">
        <x:v>OSRM/OpenStreetMap</x:v>
      </x:c>
      <x:c r="D44" s="51" t="n">
        <x:v>2026</x:v>
      </x:c>
      <x:c r="E44" s="51" t="str">
        <x:v>开放路网API</x:v>
      </x:c>
      <x:c r="F44" s="51" t="str">
        <x:v>945条弧的driving/car道路距离与时长</x:v>
      </x:c>
      <x:c r="G44" s="51" t="str">
        <x:v>C</x:v>
      </x:c>
      <x:c r="H44" s="51" t="str">
        <x:v>https://project-osrm.org/docs/v5.24.0/api/#table-service</x:v>
      </x:c>
    </x:row>
    <x:row r="45" ht="24" hidden="0" customHeight="1">
      <x:c r="A45" s="51" t="str">
        <x:v>S42</x:v>
      </x:c>
      <x:c r="B45" s="51" t="str">
        <x:v>现行动力电池回收和综合利用管理暂行办法</x:v>
      </x:c>
      <x:c r="C45" s="51" t="str">
        <x:v>六部门</x:v>
      </x:c>
      <x:c r="D45" s="51" t="n">
        <x:v>2026</x:v>
      </x:c>
      <x:c r="E45" s="51" t="str">
        <x:v>部门规章</x:v>
      </x:c>
      <x:c r="F45" s="51" t="str">
        <x:v>2026-04-01生效、综合利用定义及责任体系</x:v>
      </x:c>
      <x:c r="G45" s="51" t="str">
        <x:v>A</x:v>
      </x:c>
      <x:c r="H45" s="51" t="str">
        <x:v>https://www.miit.gov.cn/gyhxxhb/jgsj/cyzcyfgs/bmgz/jdcjxl/art/2026/art_392462fdc40c415ea4a4129cac3028c2.html</x:v>
      </x:c>
    </x:row>
    <x:row r="46" ht="24" hidden="0" customHeight="1">
      <x:c r="A46" s="51" t="str">
        <x:v>S43</x:v>
      </x:c>
      <x:c r="B46" s="51" t="str">
        <x:v>回收管理暂行办法新闻发布会</x:v>
      </x:c>
      <x:c r="C46" s="51" t="str">
        <x:v>工业和信息化部</x:v>
      </x:c>
      <x:c r="D46" s="51" t="n">
        <x:v>2026</x:v>
      </x:c>
      <x:c r="E46" s="51" t="str">
        <x:v>官方发布会</x:v>
      </x:c>
      <x:c r="F46" s="51" t="str">
        <x:v>明确不再采用‘梯次利用’概念</x:v>
      </x:c>
      <x:c r="G46" s="51" t="str">
        <x:v>A</x:v>
      </x:c>
      <x:c r="H46" s="51" t="str">
        <x:v>https://www.miit.gov.cn/xwfb/xwfbh/bxwfbh/art/2026/art_c5c9031e409e468eb4004d82fd394241.html</x:v>
      </x:c>
    </x:row>
    <x:row r="47" ht="15" hidden="0" customHeight="1">
      <x:c r="A47" s="51" t="str">
        <x:v>S44</x:v>
      </x:c>
      <x:c r="B47" s="51" t="str">
        <x:v>工业和信息化部公告2026年第20号转引</x:v>
      </x:c>
      <x:c r="C47" s="51" t="str">
        <x:v>工信部公告/上海有色网转引</x:v>
      </x:c>
      <x:c r="D47" s="51" t="n">
        <x:v>2026</x:v>
      </x:c>
      <x:c r="E47" s="51" t="str">
        <x:v>政策公告转引</x:v>
      </x:c>
      <x:c r="F47" s="51" t="str">
        <x:v>取消梯次利用规范企业公告管理，保留再生利用名单效力</x:v>
      </x:c>
      <x:c r="G47" s="51" t="str">
        <x:v>B</x:v>
      </x:c>
      <x:c r="H47" s="51" t="str">
        <x:v>https://news.smm.cn/news/104034391</x:v>
      </x:c>
    </x:row>
    <x:row r="48" ht="24" hidden="0" customHeight="1">
      <x:c r="A48" s="51" t="str">
        <x:v>S45</x:v>
      </x:c>
      <x:c r="B48" s="51" t="str">
        <x:v>2024版综合利用行业规范条件解读</x:v>
      </x:c>
      <x:c r="C48" s="51" t="str">
        <x:v>工业和信息化部</x:v>
      </x:c>
      <x:c r="D48" s="51" t="n">
        <x:v>2024</x:v>
      </x:c>
      <x:c r="E48" s="51" t="str">
        <x:v>官方政策解读</x:v>
      </x:c>
      <x:c r="F48" s="51" t="str">
        <x:v>原梯次名义产能不低于1000吨/年、再生不低于5000吨/年；不是最低开工量</x:v>
      </x:c>
      <x:c r="G48" s="51" t="str">
        <x:v>A</x:v>
      </x:c>
      <x:c r="H48" s="51" t="str">
        <x:v>https://www.miit.gov.cn/zwgk/zcjd/art/2024/art_a2042b19234045b5881e7123f46a8d06.html</x:v>
      </x:c>
    </x:row>
    <x:row r="49" ht="15" hidden="0" customHeight="1">
      <x:c r="A49" s="51" t="str">
        <x:v>S46</x:v>
      </x:c>
      <x:c r="B49" s="51" t="str">
        <x:v>红草产业园现有工程与排污许可材料</x:v>
      </x:c>
      <x:c r="C49" s="51" t="str">
        <x:v>汕尾市政府</x:v>
      </x:c>
      <x:c r="D49" s="51" t="n">
        <x:v>2026</x:v>
      </x:c>
      <x:c r="E49" s="51" t="str">
        <x:v>政府环评</x:v>
      </x:c>
      <x:c r="F49" s="51" t="str">
        <x:v>P01作为现有项目及2025年许可证据；不披露实际吞吐量</x:v>
      </x:c>
      <x:c r="G49" s="51" t="str">
        <x:v>A</x:v>
      </x:c>
      <x:c r="H49" s="51" t="str">
        <x:v>https://www.shanwei.gov.cn/attachment/0/84/84827/1245132.pdf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42" hidden="0" customWidth="1"/>
    <x:col min="4" max="4" width="44" hidden="0" customWidth="1"/>
    <x:col min="5" max="5" width="36" hidden="0" customWidth="1"/>
    <x:col min="6" max="6" width="24" hidden="0" customWidth="1"/>
    <x:col min="7" max="7" width="10" hidden="0" customWidth="1"/>
    <x:col min="8" max="8" width="16" hidden="0" customWidth="1"/>
  </x:cols>
  <x:sheetData>
    <x:row r="1" ht="30" customHeight="1">
      <x:c r="A1" s="4" t="str">
        <x:v>ChatGPT数据审查意见：核对结论与落实情况</x:v>
      </x:c>
      <x:c r="B1" s="4" t="str">
        <x:v>ChatGPT数据审查意见：核对结论与落实情况</x:v>
      </x:c>
      <x:c r="C1" s="4" t="str">
        <x:v>ChatGPT数据审查意见：核对结论与落实情况</x:v>
      </x:c>
      <x:c r="D1" s="4" t="str">
        <x:v>ChatGPT数据审查意见：核对结论与落实情况</x:v>
      </x:c>
      <x:c r="E1" s="4" t="str">
        <x:v>ChatGPT数据审查意见：核对结论与落实情况</x:v>
      </x:c>
      <x:c r="F1" s="4" t="str">
        <x:v>ChatGPT数据审查意见：核对结论与落实情况</x:v>
      </x:c>
      <x:c r="G1" s="4" t="str">
        <x:v>ChatGPT数据审查意见：核对结论与落实情况</x:v>
      </x:c>
      <x:c r="H1" s="4" t="str">
        <x:v>ChatGPT数据审查意见：核对结论与落实情况</x:v>
      </x:c>
    </x:row>
    <x:row r="3" ht="28" customHeight="1">
      <x:c r="A3" s="14" t="str">
        <x:v>审查意见</x:v>
      </x:c>
      <x:c r="B3" s="14" t="str">
        <x:v>判断</x:v>
      </x:c>
      <x:c r="C3" s="14" t="str">
        <x:v>理由</x:v>
      </x:c>
      <x:c r="D3" s="14" t="str">
        <x:v>本次处理</x:v>
      </x:c>
      <x:c r="E3" s="14" t="str">
        <x:v>仍需补充</x:v>
      </x:c>
      <x:c r="F3" s="14" t="str">
        <x:v>能否进入正式实证</x:v>
      </x:c>
      <x:c r="G3" s="14" t="str">
        <x:v>优先级</x:v>
      </x:c>
      <x:c r="H3" s="14" t="str">
        <x:v>状态</x:v>
      </x:c>
    </x:row>
    <x:row r="4">
      <x:c r="A4" s="17" t="str">
        <x:v>GDP只能作辅助代理</x:v>
      </x:c>
      <x:c r="B4" s="17" t="str">
        <x:v>合理</x:v>
      </x:c>
      <x:c r="C4" s="17" t="str">
        <x:v>经济规模与退役电池空间分布并非同一变量</x:v>
      </x:c>
      <x:c r="D4" s="17" t="str">
        <x:v>保留GDP+人口作为S1稳健性；基准改用NEV零售空间代理</x:v>
      </x:c>
      <x:c r="E4" s="17" t="str">
        <x:v>BYD真实分城市上牌/保有量</x:v>
      </x:c>
      <x:c r="F4" s="17" t="str">
        <x:v>代理情景可用</x:v>
      </x:c>
      <x:c r="G4" s="17" t="str">
        <x:v>P0</x:v>
      </x:c>
      <x:c r="H4" s="23" t="str">
        <x:v>已落实</x:v>
      </x:c>
    </x:row>
    <x:row r="5">
      <x:c r="A5" s="17" t="str">
        <x:v>项目总投资不能直接当年度固定成本</x:v>
      </x:c>
      <x:c r="B5" s="17" t="str">
        <x:v>合理且必须修正</x:v>
      </x:c>
      <x:c r="C5" s="17" t="str">
        <x:v>资本性支出与年度目标函数口径不同</x:v>
      </x:c>
      <x:c r="D5" s="17" t="str">
        <x:v>新增CRF、年化资本成本和固定运维率公式</x:v>
      </x:c>
      <x:c r="E5" s="17" t="str">
        <x:v>价格指数、真实寿命和运维费用</x:v>
      </x:c>
      <x:c r="F5" s="17" t="str">
        <x:v>情景校准后可用</x:v>
      </x:c>
      <x:c r="G5" s="17" t="str">
        <x:v>P0</x:v>
      </x:c>
      <x:c r="H5" s="23" t="str">
        <x:v>已落实</x:v>
      </x:c>
    </x:row>
    <x:row r="6">
      <x:c r="A6" s="17" t="str">
        <x:v>组合权重逐行切换会导致口径不一致</x:v>
      </x:c>
      <x:c r="B6" s="17" t="str">
        <x:v>正确，原公式存在风险</x:v>
      </x:c>
      <x:c r="C6" s="17" t="str">
        <x:v>部分城市缺失NEV时会混用两种算法，权重也可能不归一</x:v>
      </x:c>
      <x:c r="D6" s="17" t="str">
        <x:v>统一原始分数后归一化；S2/S3须21市完整才启用</x:v>
      </x:c>
      <x:c r="E6" s="17" t="str">
        <x:v>21市NEV/BYD数据</x:v>
      </x:c>
      <x:c r="F6" s="17" t="str">
        <x:v>S1可用，S2/S3待数据</x:v>
      </x:c>
      <x:c r="G6" s="17" t="str">
        <x:v>P0</x:v>
      </x:c>
      <x:c r="H6" s="23" t="str">
        <x:v>已修正</x:v>
      </x:c>
    </x:row>
    <x:row r="7">
      <x:c r="A7" s="17" t="str">
        <x:v>2300+售后网点不等于回收网点</x:v>
      </x:c>
      <x:c r="B7" s="17" t="str">
        <x:v>合理</x:v>
      </x:c>
      <x:c r="C7" s="17" t="str">
        <x:v>售后责任与正式回收节点不是同一口径</x:v>
      </x:c>
      <x:c r="D7" s="17" t="str">
        <x:v>不把售后网点直接作为候选设施</x:v>
      </x:c>
      <x:c r="E7" s="17" t="str">
        <x:v>BYD正式回收点地址清单</x:v>
      </x:c>
      <x:c r="F7" s="17" t="str">
        <x:v>否</x:v>
      </x:c>
      <x:c r="G7" s="17" t="str">
        <x:v>P0</x:v>
      </x:c>
      <x:c r="H7" s="23" t="str">
        <x:v>继续收集</x:v>
      </x:c>
    </x:row>
    <x:row r="8">
      <x:c r="A8" s="17" t="str">
        <x:v>1532个网点是全行业历史值</x:v>
      </x:c>
      <x:c r="B8" s="17" t="str">
        <x:v>合理</x:v>
      </x:c>
      <x:c r="C8" s="17" t="str">
        <x:v>主体和时间口径均不匹配BYD案例</x:v>
      </x:c>
      <x:c r="D8" s="17" t="str">
        <x:v>只用于网络密度背景，不作为BYD节点数</x:v>
      </x:c>
      <x:c r="E8" s="17" t="str">
        <x:v>最新全行业与BYD专属网点</x:v>
      </x:c>
      <x:c r="F8" s="17" t="str">
        <x:v>否</x:v>
      </x:c>
      <x:c r="G8" s="17" t="str">
        <x:v>P1</x:v>
      </x:c>
      <x:c r="H8" s="23" t="str">
        <x:v>已限定</x:v>
      </x:c>
    </x:row>
    <x:row r="9">
      <x:c r="A9" s="17" t="str">
        <x:v>21市缺经纬度和人口</x:v>
      </x:c>
      <x:c r="B9" s="17" t="str">
        <x:v>合理</x:v>
      </x:c>
      <x:c r="C9" s="17" t="str">
        <x:v>模型节点和权重需要完整字段</x:v>
      </x:c>
      <x:c r="D9" s="17" t="str">
        <x:v>补入OSM城市行政节点代理坐标、七普人口、汽车零售与NEV代理</x:v>
      </x:c>
      <x:c r="E9" s="17" t="str">
        <x:v>后续用真实NEV保有量与道路API更新</x:v>
      </x:c>
      <x:c r="F9" s="17" t="str">
        <x:v>代理情景可用</x:v>
      </x:c>
      <x:c r="G9" s="17" t="str">
        <x:v>P0</x:v>
      </x:c>
      <x:c r="H9" s="23" t="str">
        <x:v>已补齐代理</x:v>
      </x:c>
    </x:row>
    <x:row r="10">
      <x:c r="A10" s="17" t="str">
        <x:v>优先补候选设施和距离矩阵</x:v>
      </x:c>
      <x:c r="B10" s="17" t="str">
        <x:v>合理</x:v>
      </x:c>
      <x:c r="C10" s="17" t="str">
        <x:v>决定选址、服务半径和运输成本</x:v>
      </x:c>
      <x:c r="D10" s="17" t="str">
        <x:v>更新至五批规范企业；建立来源→回收→处理两层运输弧</x:v>
      </x:c>
      <x:c r="E10" s="17" t="str">
        <x:v>实际厂址、实际道路距离、剩余产能</x:v>
      </x:c>
      <x:c r="F10" s="17" t="str">
        <x:v>原型可用</x:v>
      </x:c>
      <x:c r="G10" s="17" t="str">
        <x:v>P0</x:v>
      </x:c>
      <x:c r="H10" s="23" t="str">
        <x:v>已补齐原型</x:v>
      </x:c>
    </x:row>
    <x:row r="11">
      <x:c r="A11" s="17" t="str">
        <x:v>运输和处理成本应补齐</x:v>
      </x:c>
      <x:c r="B11" s="17" t="str">
        <x:v>合理，但公开值只能作情景</x:v>
      </x:c>
      <x:c r="C11" s="17" t="str">
        <x:v>公开研究跨地区、跨年份，不能冒充企业报价</x:v>
      </x:c>
      <x:c r="D11" s="17" t="str">
        <x:v>三段运输与三类处理成本均已给出低中高情景</x:v>
      </x:c>
      <x:c r="E11" s="17" t="str">
        <x:v>至少3家危运报价、企业处理成本</x:v>
      </x:c>
      <x:c r="F11" s="17" t="str">
        <x:v>敏感性分析可用</x:v>
      </x:c>
      <x:c r="G11" s="17" t="str">
        <x:v>P0</x:v>
      </x:c>
      <x:c r="H11" s="23" t="str">
        <x:v>已补齐情景</x:v>
      </x:c>
    </x:row>
    <x:row r="12">
      <x:c r="A12" s="17" t="str">
        <x:v>GitHub必须使用regions.csv/facilities.csv/scenario.json</x:v>
      </x:c>
      <x:c r="B12" s="17" t="str">
        <x:v>有条件合理</x:v>
      </x:c>
      <x:c r="C12" s="17" t="str">
        <x:v>这是具体原型接口，不是RELOG官方通用格式；需以当前代码仓库为准</x:v>
      </x:c>
      <x:c r="D12" s="17" t="str">
        <x:v>已新增regions_input、facilities_input、scenario_input完整接口表</x:v>
      </x:c>
      <x:c r="E12" s="17" t="str">
        <x:v>仍需按最终代码仓库确认键名</x:v>
      </x:c>
      <x:c r="F12" s="17" t="str">
        <x:v>可导出后适配</x:v>
      </x:c>
      <x:c r="G12" s="17" t="str">
        <x:v>P1</x:v>
      </x:c>
      <x:c r="H12" s="23" t="str">
        <x:v>已完成数据侧</x:v>
      </x:c>
    </x:row>
    <x:row r="13">
      <x:c r="A13" s="17" t="str">
        <x:v>可用性85%/50%/25%-30%</x:v>
      </x:c>
      <x:c r="B13" s="17" t="str">
        <x:v>方向合理，百分比主观</x:v>
      </x:c>
      <x:c r="C13" s="17" t="str">
        <x:v>没有客观评分量表</x:v>
      </x:c>
      <x:c r="D13" s="17" t="str">
        <x:v>不把百分比写入论文，只保留缺口清单</x:v>
      </x:c>
      <x:c r="E13" s="17" t="str">
        <x:v>定义可复现的数据完整度指标</x:v>
      </x:c>
      <x:c r="F13" s="17" t="str">
        <x:v>否</x:v>
      </x:c>
      <x:c r="G13" s="17" t="str">
        <x:v>P2</x:v>
      </x:c>
      <x:c r="H13" s="23" t="str">
        <x:v>不采用数值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2" hidden="0" customWidth="1"/>
    <x:col min="5" max="5" width="13" hidden="0" customWidth="1"/>
    <x:col min="6" max="6" width="13" hidden="0" customWidth="1"/>
    <x:col min="7" max="7" width="18" hidden="0" customWidth="1"/>
    <x:col min="8" max="8" width="16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24" hidden="0" customWidth="1"/>
    <x:col min="15" max="15" width="32" hidden="0" customWidth="1"/>
    <x:col min="16" max="16" width="55" hidden="0" customWidth="1"/>
  </x:cols>
  <x:sheetData>
    <x:row r="1" ht="30" customHeight="1">
      <x:c r="A1" s="4" t="str">
        <x:v>候选设施清单：虚拟回收中心 + 广东公开综合利用企业</x:v>
      </x:c>
      <x:c r="B1" s="4" t="str">
        <x:v>候选设施清单：虚拟回收中心 + 广东公开综合利用企业</x:v>
      </x:c>
      <x:c r="C1" s="4" t="str">
        <x:v>候选设施清单：虚拟回收中心 + 广东公开综合利用企业</x:v>
      </x:c>
      <x:c r="D1" s="4" t="str">
        <x:v>候选设施清单：虚拟回收中心 + 广东公开综合利用企业</x:v>
      </x:c>
      <x:c r="E1" s="4" t="str">
        <x:v>候选设施清单：虚拟回收中心 + 广东公开综合利用企业</x:v>
      </x:c>
      <x:c r="F1" s="4" t="str">
        <x:v>候选设施清单：虚拟回收中心 + 广东公开综合利用企业</x:v>
      </x:c>
      <x:c r="G1" s="4" t="str">
        <x:v>候选设施清单：虚拟回收中心 + 广东公开综合利用企业</x:v>
      </x:c>
      <x:c r="H1" s="4" t="str">
        <x:v>候选设施清单：虚拟回收中心 + 广东公开综合利用企业</x:v>
      </x:c>
      <x:c r="I1" s="4" t="str">
        <x:v>候选设施清单：虚拟回收中心 + 广东公开综合利用企业</x:v>
      </x:c>
      <x:c r="J1" s="4" t="str">
        <x:v>候选设施清单：虚拟回收中心 + 广东公开综合利用企业</x:v>
      </x:c>
      <x:c r="K1" s="4" t="str">
        <x:v>候选设施清单：虚拟回收中心 + 广东公开综合利用企业</x:v>
      </x:c>
      <x:c r="L1" s="4" t="str">
        <x:v>候选设施清单：虚拟回收中心 + 广东公开综合利用企业</x:v>
      </x:c>
      <x:c r="M1" s="4" t="str">
        <x:v>候选设施清单：虚拟回收中心 + 广东公开综合利用企业</x:v>
      </x:c>
      <x:c r="N1" s="4" t="str">
        <x:v>候选设施清单：虚拟回收中心 + 广东公开综合利用企业</x:v>
      </x:c>
      <x:c r="O1" s="4" t="str">
        <x:v>候选设施清单：虚拟回收中心 + 广东公开综合利用企业</x:v>
      </x:c>
      <x:c r="P1" s="4" t="str">
        <x:v>候选设施清单：虚拟回收中心 + 广东公开综合利用企业</x:v>
      </x:c>
    </x:row>
    <x:row r="2">
      <x:c r="A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B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C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D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E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F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G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H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I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J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K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L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M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N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O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  <x:c r="P2" s="20" t="str">
        <x:v>虚拟回收中心仅代表城市级候选位置，不是比亚迪真实网点；白名单企业坐标暂以所在城市行政节点代理。2024规范条件的最低产能仅用于容量情景下限，不等于企业实际产能。</x:v>
      </x:c>
    </x:row>
    <x:row r="4" ht="28" customHeight="1">
      <x:c r="A4" s="14" t="str">
        <x:v>facility_id</x:v>
      </x:c>
      <x:c r="B4" s="14" t="str">
        <x:v>设施名称</x:v>
      </x:c>
      <x:c r="C4" s="14" t="str">
        <x:v>设施类型</x:v>
      </x:c>
      <x:c r="D4" s="14" t="str">
        <x:v>城市</x:v>
      </x:c>
      <x:c r="E4" s="14" t="str">
        <x:v>经度</x:v>
      </x:c>
      <x:c r="F4" s="14" t="str">
        <x:v>纬度</x:v>
      </x:c>
      <x:c r="G4" s="14" t="str">
        <x:v>坐标口径</x:v>
      </x:c>
      <x:c r="H4" s="14" t="str">
        <x:v>名单/证据</x:v>
      </x:c>
      <x:c r="I4" s="14" t="str">
        <x:v>公开实际容量(吨/年)</x:v>
      </x:c>
      <x:c r="J4" s="14" t="str">
        <x:v>容量低情景</x:v>
      </x:c>
      <x:c r="K4" s="14" t="str">
        <x:v>容量基准情景</x:v>
      </x:c>
      <x:c r="L4" s="14" t="str">
        <x:v>容量高情景</x:v>
      </x:c>
      <x:c r="M4" s="14" t="str">
        <x:v>项目总投资(万元)</x:v>
      </x:c>
      <x:c r="N4" s="14" t="str">
        <x:v>基准年化固定成本(万元/年)</x:v>
      </x:c>
      <x:c r="O4" s="14" t="str">
        <x:v>数据状态</x:v>
      </x:c>
      <x:c r="P4" s="14" t="str">
        <x:v>来源URL</x:v>
      </x:c>
    </x:row>
    <x:row r="5">
      <x:c r="A5" s="17" t="str">
        <x:v>C01</x:v>
      </x:c>
      <x:c r="B5" s="17" t="str">
        <x:v>广州虚拟回收/检测中心</x:v>
      </x:c>
      <x:c r="C5" s="17" t="str">
        <x:v>回收中心候选</x:v>
      </x:c>
      <x:c r="D5" s="17" t="str">
        <x:v>广州</x:v>
      </x:c>
      <x:c r="E5" s="24" t="n">
        <x:v>113.2589581</x:v>
      </x:c>
      <x:c r="F5" s="24" t="n">
        <x:v>23.1288429</x:v>
      </x:c>
      <x:c r="G5" s="17" t="str">
        <x:v>城市级代理</x:v>
      </x:c>
      <x:c r="H5" s="17" t="str">
        <x:v>情景节点</x:v>
      </x:c>
      <x:c r="I5" s="21"/>
      <x:c r="J5" s="42" t="n">
        <x:v>1000</x:v>
      </x:c>
      <x:c r="K5" s="42" t="n">
        <x:v>3000</x:v>
      </x:c>
      <x:c r="L5" s="42" t="n">
        <x:v>5000</x:v>
      </x:c>
      <x:c r="M5" s="42"/>
      <x:c r="N5" s="42"/>
      <x:c r="O5" s="30" t="str">
        <x:v>D-非真实企业地址；容量为情景</x:v>
      </x:c>
      <x:c r="P5" s="17" t="str">
        <x:v>https://nominatim.openstreetmap.org/</x:v>
      </x:c>
    </x:row>
    <x:row r="6">
      <x:c r="A6" s="17" t="str">
        <x:v>C02</x:v>
      </x:c>
      <x:c r="B6" s="17" t="str">
        <x:v>深圳虚拟回收/检测中心</x:v>
      </x:c>
      <x:c r="C6" s="17" t="str">
        <x:v>回收中心候选</x:v>
      </x:c>
      <x:c r="D6" s="17" t="str">
        <x:v>深圳</x:v>
      </x:c>
      <x:c r="E6" s="24" t="n">
        <x:v>114.0545429</x:v>
      </x:c>
      <x:c r="F6" s="24" t="n">
        <x:v>22.5445741</x:v>
      </x:c>
      <x:c r="G6" s="17" t="str">
        <x:v>城市级代理</x:v>
      </x:c>
      <x:c r="H6" s="17" t="str">
        <x:v>情景节点</x:v>
      </x:c>
      <x:c r="I6" s="21"/>
      <x:c r="J6" s="42" t="n">
        <x:v>1000</x:v>
      </x:c>
      <x:c r="K6" s="42" t="n">
        <x:v>3000</x:v>
      </x:c>
      <x:c r="L6" s="42" t="n">
        <x:v>5000</x:v>
      </x:c>
      <x:c r="M6" s="42"/>
      <x:c r="N6" s="42"/>
      <x:c r="O6" s="30" t="str">
        <x:v>D-非真实企业地址；容量为情景</x:v>
      </x:c>
      <x:c r="P6" s="17" t="str">
        <x:v>https://nominatim.openstreetmap.org/</x:v>
      </x:c>
    </x:row>
    <x:row r="7">
      <x:c r="A7" s="17" t="str">
        <x:v>C03</x:v>
      </x:c>
      <x:c r="B7" s="17" t="str">
        <x:v>珠海虚拟回收/检测中心</x:v>
      </x:c>
      <x:c r="C7" s="17" t="str">
        <x:v>回收中心候选</x:v>
      </x:c>
      <x:c r="D7" s="17" t="str">
        <x:v>珠海</x:v>
      </x:c>
      <x:c r="E7" s="24" t="n">
        <x:v>113.5721327</x:v>
      </x:c>
      <x:c r="F7" s="24" t="n">
        <x:v>22.273734</x:v>
      </x:c>
      <x:c r="G7" s="17" t="str">
        <x:v>城市级代理</x:v>
      </x:c>
      <x:c r="H7" s="17" t="str">
        <x:v>情景节点</x:v>
      </x:c>
      <x:c r="I7" s="21"/>
      <x:c r="J7" s="42" t="n">
        <x:v>1000</x:v>
      </x:c>
      <x:c r="K7" s="42" t="n">
        <x:v>3000</x:v>
      </x:c>
      <x:c r="L7" s="42" t="n">
        <x:v>5000</x:v>
      </x:c>
      <x:c r="M7" s="42"/>
      <x:c r="N7" s="42"/>
      <x:c r="O7" s="30" t="str">
        <x:v>D-非真实企业地址；容量为情景</x:v>
      </x:c>
      <x:c r="P7" s="17" t="str">
        <x:v>https://nominatim.openstreetmap.org/</x:v>
      </x:c>
    </x:row>
    <x:row r="8">
      <x:c r="A8" s="17" t="str">
        <x:v>C04</x:v>
      </x:c>
      <x:c r="B8" s="17" t="str">
        <x:v>汕头虚拟回收/检测中心</x:v>
      </x:c>
      <x:c r="C8" s="17" t="str">
        <x:v>回收中心候选</x:v>
      </x:c>
      <x:c r="D8" s="17" t="str">
        <x:v>汕头</x:v>
      </x:c>
      <x:c r="E8" s="24" t="n">
        <x:v>116.6775856</x:v>
      </x:c>
      <x:c r="F8" s="24" t="n">
        <x:v>23.3563921</x:v>
      </x:c>
      <x:c r="G8" s="17" t="str">
        <x:v>城市级代理</x:v>
      </x:c>
      <x:c r="H8" s="17" t="str">
        <x:v>情景节点</x:v>
      </x:c>
      <x:c r="I8" s="21"/>
      <x:c r="J8" s="42" t="n">
        <x:v>1000</x:v>
      </x:c>
      <x:c r="K8" s="42" t="n">
        <x:v>3000</x:v>
      </x:c>
      <x:c r="L8" s="42" t="n">
        <x:v>5000</x:v>
      </x:c>
      <x:c r="M8" s="42"/>
      <x:c r="N8" s="42"/>
      <x:c r="O8" s="30" t="str">
        <x:v>D-非真实企业地址；容量为情景</x:v>
      </x:c>
      <x:c r="P8" s="17" t="str">
        <x:v>https://nominatim.openstreetmap.org/</x:v>
      </x:c>
    </x:row>
    <x:row r="9">
      <x:c r="A9" s="17" t="str">
        <x:v>C05</x:v>
      </x:c>
      <x:c r="B9" s="17" t="str">
        <x:v>佛山虚拟回收/检测中心</x:v>
      </x:c>
      <x:c r="C9" s="17" t="str">
        <x:v>回收中心候选</x:v>
      </x:c>
      <x:c r="D9" s="17" t="str">
        <x:v>佛山</x:v>
      </x:c>
      <x:c r="E9" s="24" t="n">
        <x:v>113.1159558</x:v>
      </x:c>
      <x:c r="F9" s="24" t="n">
        <x:v>23.0239788</x:v>
      </x:c>
      <x:c r="G9" s="17" t="str">
        <x:v>城市级代理</x:v>
      </x:c>
      <x:c r="H9" s="17" t="str">
        <x:v>情景节点</x:v>
      </x:c>
      <x:c r="I9" s="21"/>
      <x:c r="J9" s="42" t="n">
        <x:v>1000</x:v>
      </x:c>
      <x:c r="K9" s="42" t="n">
        <x:v>3000</x:v>
      </x:c>
      <x:c r="L9" s="42" t="n">
        <x:v>5000</x:v>
      </x:c>
      <x:c r="M9" s="42"/>
      <x:c r="N9" s="42"/>
      <x:c r="O9" s="30" t="str">
        <x:v>D-非真实企业地址；容量为情景</x:v>
      </x:c>
      <x:c r="P9" s="17" t="str">
        <x:v>https://nominatim.openstreetmap.org/</x:v>
      </x:c>
    </x:row>
    <x:row r="10">
      <x:c r="A10" s="17" t="str">
        <x:v>C06</x:v>
      </x:c>
      <x:c r="B10" s="17" t="str">
        <x:v>韶关虚拟回收/检测中心</x:v>
      </x:c>
      <x:c r="C10" s="17" t="str">
        <x:v>回收中心候选</x:v>
      </x:c>
      <x:c r="D10" s="17" t="str">
        <x:v>韶关</x:v>
      </x:c>
      <x:c r="E10" s="24" t="n">
        <x:v>113.8155263</x:v>
      </x:c>
      <x:c r="F10" s="24" t="n">
        <x:v>24.8309489</x:v>
      </x:c>
      <x:c r="G10" s="17" t="str">
        <x:v>城市级代理</x:v>
      </x:c>
      <x:c r="H10" s="17" t="str">
        <x:v>情景节点</x:v>
      </x:c>
      <x:c r="I10" s="21"/>
      <x:c r="J10" s="42" t="n">
        <x:v>1000</x:v>
      </x:c>
      <x:c r="K10" s="42" t="n">
        <x:v>3000</x:v>
      </x:c>
      <x:c r="L10" s="42" t="n">
        <x:v>5000</x:v>
      </x:c>
      <x:c r="M10" s="42"/>
      <x:c r="N10" s="42"/>
      <x:c r="O10" s="30" t="str">
        <x:v>D-非真实企业地址；容量为情景</x:v>
      </x:c>
      <x:c r="P10" s="17" t="str">
        <x:v>https://nominatim.openstreetmap.org/</x:v>
      </x:c>
    </x:row>
    <x:row r="11">
      <x:c r="A11" s="17" t="str">
        <x:v>C07</x:v>
      </x:c>
      <x:c r="B11" s="17" t="str">
        <x:v>河源虚拟回收/检测中心</x:v>
      </x:c>
      <x:c r="C11" s="17" t="str">
        <x:v>回收中心候选</x:v>
      </x:c>
      <x:c r="D11" s="17" t="str">
        <x:v>河源</x:v>
      </x:c>
      <x:c r="E11" s="24" t="n">
        <x:v>115.0577538</x:v>
      </x:c>
      <x:c r="F11" s="24" t="n">
        <x:v>24.1014769</x:v>
      </x:c>
      <x:c r="G11" s="17" t="str">
        <x:v>城市级代理</x:v>
      </x:c>
      <x:c r="H11" s="17" t="str">
        <x:v>情景节点</x:v>
      </x:c>
      <x:c r="I11" s="21"/>
      <x:c r="J11" s="42" t="n">
        <x:v>1000</x:v>
      </x:c>
      <x:c r="K11" s="42" t="n">
        <x:v>3000</x:v>
      </x:c>
      <x:c r="L11" s="42" t="n">
        <x:v>5000</x:v>
      </x:c>
      <x:c r="M11" s="42"/>
      <x:c r="N11" s="42"/>
      <x:c r="O11" s="30" t="str">
        <x:v>D-非真实企业地址；容量为情景</x:v>
      </x:c>
      <x:c r="P11" s="17" t="str">
        <x:v>https://nominatim.openstreetmap.org/</x:v>
      </x:c>
    </x:row>
    <x:row r="12">
      <x:c r="A12" s="17" t="str">
        <x:v>C08</x:v>
      </x:c>
      <x:c r="B12" s="17" t="str">
        <x:v>梅州虚拟回收/检测中心</x:v>
      </x:c>
      <x:c r="C12" s="17" t="str">
        <x:v>回收中心候选</x:v>
      </x:c>
      <x:c r="D12" s="17" t="str">
        <x:v>梅州</x:v>
      </x:c>
      <x:c r="E12" s="24" t="n">
        <x:v>116.1171428</x:v>
      </x:c>
      <x:c r="F12" s="24" t="n">
        <x:v>24.2918414</x:v>
      </x:c>
      <x:c r="G12" s="17" t="str">
        <x:v>城市级代理</x:v>
      </x:c>
      <x:c r="H12" s="17" t="str">
        <x:v>情景节点</x:v>
      </x:c>
      <x:c r="I12" s="21"/>
      <x:c r="J12" s="42" t="n">
        <x:v>1000</x:v>
      </x:c>
      <x:c r="K12" s="42" t="n">
        <x:v>3000</x:v>
      </x:c>
      <x:c r="L12" s="42" t="n">
        <x:v>5000</x:v>
      </x:c>
      <x:c r="M12" s="42"/>
      <x:c r="N12" s="42"/>
      <x:c r="O12" s="30" t="str">
        <x:v>D-非真实企业地址；容量为情景</x:v>
      </x:c>
      <x:c r="P12" s="17" t="str">
        <x:v>https://nominatim.openstreetmap.org/</x:v>
      </x:c>
    </x:row>
    <x:row r="13">
      <x:c r="A13" s="17" t="str">
        <x:v>C09</x:v>
      </x:c>
      <x:c r="B13" s="17" t="str">
        <x:v>惠州虚拟回收/检测中心</x:v>
      </x:c>
      <x:c r="C13" s="17" t="str">
        <x:v>回收中心候选</x:v>
      </x:c>
      <x:c r="D13" s="17" t="str">
        <x:v>惠州</x:v>
      </x:c>
      <x:c r="E13" s="24" t="n">
        <x:v>114.4127007</x:v>
      </x:c>
      <x:c r="F13" s="24" t="n">
        <x:v>23.1125153</x:v>
      </x:c>
      <x:c r="G13" s="17" t="str">
        <x:v>城市级代理</x:v>
      </x:c>
      <x:c r="H13" s="17" t="str">
        <x:v>情景节点</x:v>
      </x:c>
      <x:c r="I13" s="21"/>
      <x:c r="J13" s="42" t="n">
        <x:v>1000</x:v>
      </x:c>
      <x:c r="K13" s="42" t="n">
        <x:v>3000</x:v>
      </x:c>
      <x:c r="L13" s="42" t="n">
        <x:v>5000</x:v>
      </x:c>
      <x:c r="M13" s="42"/>
      <x:c r="N13" s="42"/>
      <x:c r="O13" s="30" t="str">
        <x:v>D-非真实企业地址；容量为情景</x:v>
      </x:c>
      <x:c r="P13" s="17" t="str">
        <x:v>https://nominatim.openstreetmap.org/</x:v>
      </x:c>
    </x:row>
    <x:row r="14">
      <x:c r="A14" s="17" t="str">
        <x:v>C10</x:v>
      </x:c>
      <x:c r="B14" s="17" t="str">
        <x:v>汕尾虚拟回收/检测中心</x:v>
      </x:c>
      <x:c r="C14" s="17" t="str">
        <x:v>回收中心候选</x:v>
      </x:c>
      <x:c r="D14" s="17" t="str">
        <x:v>汕尾</x:v>
      </x:c>
      <x:c r="E14" s="24" t="n">
        <x:v>115.5099937</x:v>
      </x:c>
      <x:c r="F14" s="24" t="n">
        <x:v>23.0123639</x:v>
      </x:c>
      <x:c r="G14" s="17" t="str">
        <x:v>城市级代理</x:v>
      </x:c>
      <x:c r="H14" s="17" t="str">
        <x:v>情景节点</x:v>
      </x:c>
      <x:c r="I14" s="21"/>
      <x:c r="J14" s="42" t="n">
        <x:v>1000</x:v>
      </x:c>
      <x:c r="K14" s="42" t="n">
        <x:v>3000</x:v>
      </x:c>
      <x:c r="L14" s="42" t="n">
        <x:v>5000</x:v>
      </x:c>
      <x:c r="M14" s="42"/>
      <x:c r="N14" s="42"/>
      <x:c r="O14" s="30" t="str">
        <x:v>D-非真实企业地址；容量为情景</x:v>
      </x:c>
      <x:c r="P14" s="17" t="str">
        <x:v>https://nominatim.openstreetmap.org/</x:v>
      </x:c>
    </x:row>
    <x:row r="15">
      <x:c r="A15" s="17" t="str">
        <x:v>C11</x:v>
      </x:c>
      <x:c r="B15" s="17" t="str">
        <x:v>东莞虚拟回收/检测中心</x:v>
      </x:c>
      <x:c r="C15" s="17" t="str">
        <x:v>回收中心候选</x:v>
      </x:c>
      <x:c r="D15" s="17" t="str">
        <x:v>东莞</x:v>
      </x:c>
      <x:c r="E15" s="24" t="n">
        <x:v>113.7452332</x:v>
      </x:c>
      <x:c r="F15" s="24" t="n">
        <x:v>23.0183568</x:v>
      </x:c>
      <x:c r="G15" s="17" t="str">
        <x:v>城市级代理</x:v>
      </x:c>
      <x:c r="H15" s="17" t="str">
        <x:v>情景节点</x:v>
      </x:c>
      <x:c r="I15" s="21"/>
      <x:c r="J15" s="42" t="n">
        <x:v>1000</x:v>
      </x:c>
      <x:c r="K15" s="42" t="n">
        <x:v>3000</x:v>
      </x:c>
      <x:c r="L15" s="42" t="n">
        <x:v>5000</x:v>
      </x:c>
      <x:c r="M15" s="42"/>
      <x:c r="N15" s="42"/>
      <x:c r="O15" s="30" t="str">
        <x:v>D-非真实企业地址；容量为情景</x:v>
      </x:c>
      <x:c r="P15" s="17" t="str">
        <x:v>https://nominatim.openstreetmap.org/</x:v>
      </x:c>
    </x:row>
    <x:row r="16">
      <x:c r="A16" s="17" t="str">
        <x:v>C12</x:v>
      </x:c>
      <x:c r="B16" s="17" t="str">
        <x:v>中山虚拟回收/检测中心</x:v>
      </x:c>
      <x:c r="C16" s="17" t="str">
        <x:v>回收中心候选</x:v>
      </x:c>
      <x:c r="D16" s="17" t="str">
        <x:v>中山</x:v>
      </x:c>
      <x:c r="E16" s="24" t="n">
        <x:v>113.3872302</x:v>
      </x:c>
      <x:c r="F16" s="24" t="n">
        <x:v>22.5197073</x:v>
      </x:c>
      <x:c r="G16" s="17" t="str">
        <x:v>城市级代理</x:v>
      </x:c>
      <x:c r="H16" s="17" t="str">
        <x:v>情景节点</x:v>
      </x:c>
      <x:c r="I16" s="21"/>
      <x:c r="J16" s="42" t="n">
        <x:v>1000</x:v>
      </x:c>
      <x:c r="K16" s="42" t="n">
        <x:v>3000</x:v>
      </x:c>
      <x:c r="L16" s="42" t="n">
        <x:v>5000</x:v>
      </x:c>
      <x:c r="M16" s="42"/>
      <x:c r="N16" s="42"/>
      <x:c r="O16" s="30" t="str">
        <x:v>D-非真实企业地址；容量为情景</x:v>
      </x:c>
      <x:c r="P16" s="17" t="str">
        <x:v>https://nominatim.openstreetmap.org/</x:v>
      </x:c>
    </x:row>
    <x:row r="17">
      <x:c r="A17" s="17" t="str">
        <x:v>C13</x:v>
      </x:c>
      <x:c r="B17" s="17" t="str">
        <x:v>江门虚拟回收/检测中心</x:v>
      </x:c>
      <x:c r="C17" s="17" t="str">
        <x:v>回收中心候选</x:v>
      </x:c>
      <x:c r="D17" s="17" t="str">
        <x:v>江门</x:v>
      </x:c>
      <x:c r="E17" s="24" t="n">
        <x:v>113.0761073</x:v>
      </x:c>
      <x:c r="F17" s="24" t="n">
        <x:v>22.5816619</x:v>
      </x:c>
      <x:c r="G17" s="17" t="str">
        <x:v>城市级代理</x:v>
      </x:c>
      <x:c r="H17" s="17" t="str">
        <x:v>情景节点</x:v>
      </x:c>
      <x:c r="I17" s="21"/>
      <x:c r="J17" s="42" t="n">
        <x:v>1000</x:v>
      </x:c>
      <x:c r="K17" s="42" t="n">
        <x:v>3000</x:v>
      </x:c>
      <x:c r="L17" s="42" t="n">
        <x:v>5000</x:v>
      </x:c>
      <x:c r="M17" s="42"/>
      <x:c r="N17" s="42"/>
      <x:c r="O17" s="30" t="str">
        <x:v>D-非真实企业地址；容量为情景</x:v>
      </x:c>
      <x:c r="P17" s="17" t="str">
        <x:v>https://nominatim.openstreetmap.org/</x:v>
      </x:c>
    </x:row>
    <x:row r="18">
      <x:c r="A18" s="17" t="str">
        <x:v>C14</x:v>
      </x:c>
      <x:c r="B18" s="17" t="str">
        <x:v>阳江虚拟回收/检测中心</x:v>
      </x:c>
      <x:c r="C18" s="17" t="str">
        <x:v>回收中心候选</x:v>
      </x:c>
      <x:c r="D18" s="17" t="str">
        <x:v>阳江</x:v>
      </x:c>
      <x:c r="E18" s="24" t="n">
        <x:v>111.7831393</x:v>
      </x:c>
      <x:c r="F18" s="24" t="n">
        <x:v>22.0958223</x:v>
      </x:c>
      <x:c r="G18" s="17" t="str">
        <x:v>城市级代理</x:v>
      </x:c>
      <x:c r="H18" s="17" t="str">
        <x:v>情景节点</x:v>
      </x:c>
      <x:c r="I18" s="21"/>
      <x:c r="J18" s="42" t="n">
        <x:v>1000</x:v>
      </x:c>
      <x:c r="K18" s="42" t="n">
        <x:v>3000</x:v>
      </x:c>
      <x:c r="L18" s="42" t="n">
        <x:v>5000</x:v>
      </x:c>
      <x:c r="M18" s="42"/>
      <x:c r="N18" s="42"/>
      <x:c r="O18" s="30" t="str">
        <x:v>D-非真实企业地址；容量为情景</x:v>
      </x:c>
      <x:c r="P18" s="17" t="str">
        <x:v>https://nominatim.openstreetmap.org/</x:v>
      </x:c>
    </x:row>
    <x:row r="19">
      <x:c r="A19" s="17" t="str">
        <x:v>C15</x:v>
      </x:c>
      <x:c r="B19" s="17" t="str">
        <x:v>湛江虚拟回收/检测中心</x:v>
      </x:c>
      <x:c r="C19" s="17" t="str">
        <x:v>回收中心候选</x:v>
      </x:c>
      <x:c r="D19" s="17" t="str">
        <x:v>湛江</x:v>
      </x:c>
      <x:c r="E19" s="24" t="n">
        <x:v>110.3548318</x:v>
      </x:c>
      <x:c r="F19" s="24" t="n">
        <x:v>21.2737079</x:v>
      </x:c>
      <x:c r="G19" s="17" t="str">
        <x:v>城市级代理</x:v>
      </x:c>
      <x:c r="H19" s="17" t="str">
        <x:v>情景节点</x:v>
      </x:c>
      <x:c r="I19" s="21"/>
      <x:c r="J19" s="42" t="n">
        <x:v>1000</x:v>
      </x:c>
      <x:c r="K19" s="42" t="n">
        <x:v>3000</x:v>
      </x:c>
      <x:c r="L19" s="42" t="n">
        <x:v>5000</x:v>
      </x:c>
      <x:c r="M19" s="42"/>
      <x:c r="N19" s="42"/>
      <x:c r="O19" s="30" t="str">
        <x:v>D-非真实企业地址；容量为情景</x:v>
      </x:c>
      <x:c r="P19" s="17" t="str">
        <x:v>https://nominatim.openstreetmap.org/</x:v>
      </x:c>
    </x:row>
    <x:row r="20">
      <x:c r="A20" s="17" t="str">
        <x:v>C16</x:v>
      </x:c>
      <x:c r="B20" s="17" t="str">
        <x:v>茂名虚拟回收/检测中心</x:v>
      </x:c>
      <x:c r="C20" s="17" t="str">
        <x:v>回收中心候选</x:v>
      </x:c>
      <x:c r="D20" s="17" t="str">
        <x:v>茂名</x:v>
      </x:c>
      <x:c r="E20" s="24" t="n">
        <x:v>110.9209511</x:v>
      </x:c>
      <x:c r="F20" s="24" t="n">
        <x:v>21.6656961</x:v>
      </x:c>
      <x:c r="G20" s="17" t="str">
        <x:v>城市级代理</x:v>
      </x:c>
      <x:c r="H20" s="17" t="str">
        <x:v>情景节点</x:v>
      </x:c>
      <x:c r="I20" s="21"/>
      <x:c r="J20" s="42" t="n">
        <x:v>1000</x:v>
      </x:c>
      <x:c r="K20" s="42" t="n">
        <x:v>3000</x:v>
      </x:c>
      <x:c r="L20" s="42" t="n">
        <x:v>5000</x:v>
      </x:c>
      <x:c r="M20" s="42"/>
      <x:c r="N20" s="42"/>
      <x:c r="O20" s="30" t="str">
        <x:v>D-非真实企业地址；容量为情景</x:v>
      </x:c>
      <x:c r="P20" s="17" t="str">
        <x:v>https://nominatim.openstreetmap.org/</x:v>
      </x:c>
    </x:row>
    <x:row r="21">
      <x:c r="A21" s="17" t="str">
        <x:v>C17</x:v>
      </x:c>
      <x:c r="B21" s="17" t="str">
        <x:v>肇庆虚拟回收/检测中心</x:v>
      </x:c>
      <x:c r="C21" s="17" t="str">
        <x:v>回收中心候选</x:v>
      </x:c>
      <x:c r="D21" s="17" t="str">
        <x:v>肇庆</x:v>
      </x:c>
      <x:c r="E21" s="24" t="n">
        <x:v>112.4603629</x:v>
      </x:c>
      <x:c r="F21" s="24" t="n">
        <x:v>23.0501661</x:v>
      </x:c>
      <x:c r="G21" s="17" t="str">
        <x:v>城市级代理</x:v>
      </x:c>
      <x:c r="H21" s="17" t="str">
        <x:v>情景节点</x:v>
      </x:c>
      <x:c r="I21" s="21"/>
      <x:c r="J21" s="42" t="n">
        <x:v>1000</x:v>
      </x:c>
      <x:c r="K21" s="42" t="n">
        <x:v>3000</x:v>
      </x:c>
      <x:c r="L21" s="42" t="n">
        <x:v>5000</x:v>
      </x:c>
      <x:c r="M21" s="42"/>
      <x:c r="N21" s="42"/>
      <x:c r="O21" s="30" t="str">
        <x:v>D-非真实企业地址；容量为情景</x:v>
      </x:c>
      <x:c r="P21" s="17" t="str">
        <x:v>https://nominatim.openstreetmap.org/</x:v>
      </x:c>
    </x:row>
    <x:row r="22">
      <x:c r="A22" s="17" t="str">
        <x:v>C18</x:v>
      </x:c>
      <x:c r="B22" s="17" t="str">
        <x:v>清远虚拟回收/检测中心</x:v>
      </x:c>
      <x:c r="C22" s="17" t="str">
        <x:v>回收中心候选</x:v>
      </x:c>
      <x:c r="D22" s="17" t="str">
        <x:v>清远</x:v>
      </x:c>
      <x:c r="E22" s="24" t="n">
        <x:v>113.0505994</x:v>
      </x:c>
      <x:c r="F22" s="24" t="n">
        <x:v>23.6832984</x:v>
      </x:c>
      <x:c r="G22" s="17" t="str">
        <x:v>城市级代理</x:v>
      </x:c>
      <x:c r="H22" s="17" t="str">
        <x:v>情景节点</x:v>
      </x:c>
      <x:c r="I22" s="21"/>
      <x:c r="J22" s="42" t="n">
        <x:v>1000</x:v>
      </x:c>
      <x:c r="K22" s="42" t="n">
        <x:v>3000</x:v>
      </x:c>
      <x:c r="L22" s="42" t="n">
        <x:v>5000</x:v>
      </x:c>
      <x:c r="M22" s="42"/>
      <x:c r="N22" s="42"/>
      <x:c r="O22" s="30" t="str">
        <x:v>D-非真实企业地址；容量为情景</x:v>
      </x:c>
      <x:c r="P22" s="17" t="str">
        <x:v>https://nominatim.openstreetmap.org/</x:v>
      </x:c>
    </x:row>
    <x:row r="23">
      <x:c r="A23" s="17" t="str">
        <x:v>C19</x:v>
      </x:c>
      <x:c r="B23" s="17" t="str">
        <x:v>潮州虚拟回收/检测中心</x:v>
      </x:c>
      <x:c r="C23" s="17" t="str">
        <x:v>回收中心候选</x:v>
      </x:c>
      <x:c r="D23" s="17" t="str">
        <x:v>潮州</x:v>
      </x:c>
      <x:c r="E23" s="24" t="n">
        <x:v>116.6204223</x:v>
      </x:c>
      <x:c r="F23" s="24" t="n">
        <x:v>23.656593</x:v>
      </x:c>
      <x:c r="G23" s="17" t="str">
        <x:v>城市级代理</x:v>
      </x:c>
      <x:c r="H23" s="17" t="str">
        <x:v>情景节点</x:v>
      </x:c>
      <x:c r="I23" s="21"/>
      <x:c r="J23" s="42" t="n">
        <x:v>1000</x:v>
      </x:c>
      <x:c r="K23" s="42" t="n">
        <x:v>3000</x:v>
      </x:c>
      <x:c r="L23" s="42" t="n">
        <x:v>5000</x:v>
      </x:c>
      <x:c r="M23" s="42"/>
      <x:c r="N23" s="42"/>
      <x:c r="O23" s="30" t="str">
        <x:v>D-非真实企业地址；容量为情景</x:v>
      </x:c>
      <x:c r="P23" s="17" t="str">
        <x:v>https://nominatim.openstreetmap.org/</x:v>
      </x:c>
    </x:row>
    <x:row r="24">
      <x:c r="A24" s="17" t="str">
        <x:v>C20</x:v>
      </x:c>
      <x:c r="B24" s="17" t="str">
        <x:v>揭阳虚拟回收/检测中心</x:v>
      </x:c>
      <x:c r="C24" s="17" t="str">
        <x:v>回收中心候选</x:v>
      </x:c>
      <x:c r="D24" s="17" t="str">
        <x:v>揭阳</x:v>
      </x:c>
      <x:c r="E24" s="24" t="n">
        <x:v>116.3680354</x:v>
      </x:c>
      <x:c r="F24" s="24" t="n">
        <x:v>23.553156</x:v>
      </x:c>
      <x:c r="G24" s="17" t="str">
        <x:v>城市级代理</x:v>
      </x:c>
      <x:c r="H24" s="17" t="str">
        <x:v>情景节点</x:v>
      </x:c>
      <x:c r="I24" s="21"/>
      <x:c r="J24" s="42" t="n">
        <x:v>1000</x:v>
      </x:c>
      <x:c r="K24" s="42" t="n">
        <x:v>3000</x:v>
      </x:c>
      <x:c r="L24" s="42" t="n">
        <x:v>5000</x:v>
      </x:c>
      <x:c r="M24" s="42"/>
      <x:c r="N24" s="42"/>
      <x:c r="O24" s="30" t="str">
        <x:v>D-非真实企业地址；容量为情景</x:v>
      </x:c>
      <x:c r="P24" s="17" t="str">
        <x:v>https://nominatim.openstreetmap.org/</x:v>
      </x:c>
    </x:row>
    <x:row r="25">
      <x:c r="A25" s="17" t="str">
        <x:v>C21</x:v>
      </x:c>
      <x:c r="B25" s="17" t="str">
        <x:v>云浮虚拟回收/检测中心</x:v>
      </x:c>
      <x:c r="C25" s="17" t="str">
        <x:v>回收中心候选</x:v>
      </x:c>
      <x:c r="D25" s="17" t="str">
        <x:v>云浮</x:v>
      </x:c>
      <x:c r="E25" s="24" t="n">
        <x:v>111.8078586</x:v>
      </x:c>
      <x:c r="F25" s="24" t="n">
        <x:v>22.8546663</x:v>
      </x:c>
      <x:c r="G25" s="17" t="str">
        <x:v>城市级代理</x:v>
      </x:c>
      <x:c r="H25" s="17" t="str">
        <x:v>情景节点</x:v>
      </x:c>
      <x:c r="I25" s="21"/>
      <x:c r="J25" s="42" t="n">
        <x:v>1000</x:v>
      </x:c>
      <x:c r="K25" s="42" t="n">
        <x:v>3000</x:v>
      </x:c>
      <x:c r="L25" s="42" t="n">
        <x:v>5000</x:v>
      </x:c>
      <x:c r="M25" s="42"/>
      <x:c r="N25" s="42"/>
      <x:c r="O25" s="30" t="str">
        <x:v>D-非真实企业地址；容量为情景</x:v>
      </x:c>
      <x:c r="P25" s="17" t="str">
        <x:v>https://nominatim.openstreetmap.org/</x:v>
      </x:c>
    </x:row>
    <x:row r="26">
      <x:c r="A26" s="17" t="str">
        <x:v>P01</x:v>
      </x:c>
      <x:c r="B26" s="17" t="str">
        <x:v>汕尾比亚迪废旧动力电池回收项目</x:v>
      </x:c>
      <x:c r="C26" s="17" t="str">
        <x:v>再生利用</x:v>
      </x:c>
      <x:c r="D26" s="17" t="str">
        <x:v>汕尾</x:v>
      </x:c>
      <x:c r="E26" s="24" t="n">
        <x:v>115.3492668</x:v>
      </x:c>
      <x:c r="F26" s="24" t="n">
        <x:v>22.838065</x:v>
      </x:c>
      <x:c r="G26" s="17" t="str">
        <x:v>红草镇级代理</x:v>
      </x:c>
      <x:c r="H26" s="17" t="str">
        <x:v>非白名单批次</x:v>
      </x:c>
      <x:c r="I26" s="21" t="n">
        <x:v>10000</x:v>
      </x:c>
      <x:c r="J26" s="42" t="n">
        <x:v>10000</x:v>
      </x:c>
      <x:c r="K26" s="42" t="n">
        <x:v>10000</x:v>
      </x:c>
      <x:c r="L26" s="42" t="n">
        <x:v>10000</x:v>
      </x:c>
      <x:c r="M26" s="42" t="n">
        <x:v>3904.65</x:v>
      </x:c>
      <x:c r="N26" s="42" t="n">
        <x:f>'情景参数模板'!D38</x:f>
        <x:v>738.0939930410352</x:v>
      </x:c>
      <x:c r="O26" s="30" t="str">
        <x:v>A-容量/投资已核验</x:v>
      </x:c>
      <x:c r="P26" s="17" t="str">
        <x:v>https://www.shanwei.gov.cn/swhbj/493/506/content/post_526956.html</x:v>
      </x:c>
    </x:row>
    <x:row r="27">
      <x:c r="A27" s="17" t="str">
        <x:v>P02E</x:v>
      </x:c>
      <x:c r="B27" s="17" t="str">
        <x:v>广东光华科技股份有限公司（梯次功能）</x:v>
      </x:c>
      <x:c r="C27" s="17" t="str">
        <x:v>梯次利用</x:v>
      </x:c>
      <x:c r="D27" s="17" t="str">
        <x:v>汕头</x:v>
      </x:c>
      <x:c r="E27" s="24" t="n">
        <x:v>116.6775856</x:v>
      </x:c>
      <x:c r="F27" s="24" t="n">
        <x:v>23.3563921</x:v>
      </x:c>
      <x:c r="G27" s="17" t="str">
        <x:v>城市级代理</x:v>
      </x:c>
      <x:c r="H27" s="17" t="str">
        <x:v>第1批</x:v>
      </x:c>
      <x:c r="I27" s="21"/>
      <x:c r="J27" s="42" t="n">
        <x:v>1000</x:v>
      </x:c>
      <x:c r="K27" s="42" t="n">
        <x:v>3000</x:v>
      </x:c>
      <x:c r="L27" s="42" t="n">
        <x:v>5000</x:v>
      </x:c>
      <x:c r="M27" s="42"/>
      <x:c r="N27" s="42"/>
      <x:c r="O27" s="30" t="str">
        <x:v>A-名单；坐标B-代理</x:v>
      </x:c>
      <x:c r="P27" s="17" t="str">
        <x:v>https://www.miit.gov.cn/jgsj/jns/gzdt/art/2020/art_4340b1ff730f47b79c37c62a77f06ef9.html</x:v>
      </x:c>
    </x:row>
    <x:row r="28">
      <x:c r="A28" s="17" t="str">
        <x:v>P02R</x:v>
      </x:c>
      <x:c r="B28" s="17" t="str">
        <x:v>广东光华科技股份有限公司（再生功能）</x:v>
      </x:c>
      <x:c r="C28" s="17" t="str">
        <x:v>再生利用</x:v>
      </x:c>
      <x:c r="D28" s="17" t="str">
        <x:v>汕头</x:v>
      </x:c>
      <x:c r="E28" s="24" t="n">
        <x:v>116.6775856</x:v>
      </x:c>
      <x:c r="F28" s="24" t="n">
        <x:v>23.3563921</x:v>
      </x:c>
      <x:c r="G28" s="17" t="str">
        <x:v>城市级代理</x:v>
      </x:c>
      <x:c r="H28" s="17" t="str">
        <x:v>第1批</x:v>
      </x:c>
      <x:c r="I28" s="21"/>
      <x:c r="J28" s="42" t="n">
        <x:v>5000</x:v>
      </x:c>
      <x:c r="K28" s="42" t="n">
        <x:v>10000</x:v>
      </x:c>
      <x:c r="L28" s="42" t="n">
        <x:v>20000</x:v>
      </x:c>
      <x:c r="M28" s="42"/>
      <x:c r="N28" s="42"/>
      <x:c r="O28" s="30" t="str">
        <x:v>A-名单；坐标B-代理</x:v>
      </x:c>
      <x:c r="P28" s="17" t="str">
        <x:v>https://www.miit.gov.cn/jgsj/jns/gzdt/art/2020/art_4340b1ff730f47b79c37c62a77f06ef9.html</x:v>
      </x:c>
    </x:row>
    <x:row r="29">
      <x:c r="A29" s="17" t="str">
        <x:v>P03</x:v>
      </x:c>
      <x:c r="B29" s="17" t="str">
        <x:v>深圳深汕特别合作区乾泰技术有限公司</x:v>
      </x:c>
      <x:c r="C29" s="17" t="str">
        <x:v>梯次利用</x:v>
      </x:c>
      <x:c r="D29" s="17" t="str">
        <x:v>汕尾</x:v>
      </x:c>
      <x:c r="E29" s="24" t="n">
        <x:v>115.5099937</x:v>
      </x:c>
      <x:c r="F29" s="24" t="n">
        <x:v>23.0123639</x:v>
      </x:c>
      <x:c r="G29" s="17" t="str">
        <x:v>城市级代理</x:v>
      </x:c>
      <x:c r="H29" s="17" t="str">
        <x:v>第2批</x:v>
      </x:c>
      <x:c r="I29" s="21"/>
      <x:c r="J29" s="42" t="n">
        <x:v>1000</x:v>
      </x:c>
      <x:c r="K29" s="42" t="n">
        <x:v>3000</x:v>
      </x:c>
      <x:c r="L29" s="42" t="n">
        <x:v>5000</x:v>
      </x:c>
      <x:c r="M29" s="42"/>
      <x:c r="N29" s="42"/>
      <x:c r="O29" s="30" t="str">
        <x:v>A-名单；坐标B-代理</x:v>
      </x:c>
      <x:c r="P29" s="17" t="str">
        <x:v>https://wap.miit.gov.cn/jgsj/jns/gzdt/art/2021/art_d84563327a33454f9f54d164cfde859b.html</x:v>
      </x:c>
    </x:row>
    <x:row r="30">
      <x:c r="A30" s="17" t="str">
        <x:v>P04</x:v>
      </x:c>
      <x:c r="B30" s="17" t="str">
        <x:v>珠海中力新能源科技有限公司</x:v>
      </x:c>
      <x:c r="C30" s="17" t="str">
        <x:v>梯次利用</x:v>
      </x:c>
      <x:c r="D30" s="17" t="str">
        <x:v>珠海</x:v>
      </x:c>
      <x:c r="E30" s="24" t="n">
        <x:v>113.5721327</x:v>
      </x:c>
      <x:c r="F30" s="24" t="n">
        <x:v>22.273734</x:v>
      </x:c>
      <x:c r="G30" s="17" t="str">
        <x:v>城市级代理</x:v>
      </x:c>
      <x:c r="H30" s="17" t="str">
        <x:v>第2批</x:v>
      </x:c>
      <x:c r="I30" s="21"/>
      <x:c r="J30" s="42" t="n">
        <x:v>1000</x:v>
      </x:c>
      <x:c r="K30" s="42" t="n">
        <x:v>3000</x:v>
      </x:c>
      <x:c r="L30" s="42" t="n">
        <x:v>5000</x:v>
      </x:c>
      <x:c r="M30" s="42"/>
      <x:c r="N30" s="42"/>
      <x:c r="O30" s="30" t="str">
        <x:v>A-名单；坐标B-代理</x:v>
      </x:c>
      <x:c r="P30" s="17" t="str">
        <x:v>https://wap.miit.gov.cn/jgsj/jns/gzdt/art/2021/art_d84563327a33454f9f54d164cfde859b.html</x:v>
      </x:c>
    </x:row>
    <x:row r="31">
      <x:c r="A31" s="17" t="str">
        <x:v>P05</x:v>
      </x:c>
      <x:c r="B31" s="17" t="str">
        <x:v>惠州市恒创睿能环保科技有限公司</x:v>
      </x:c>
      <x:c r="C31" s="17" t="str">
        <x:v>梯次利用</x:v>
      </x:c>
      <x:c r="D31" s="17" t="str">
        <x:v>惠州</x:v>
      </x:c>
      <x:c r="E31" s="24" t="n">
        <x:v>114.4127007</x:v>
      </x:c>
      <x:c r="F31" s="24" t="n">
        <x:v>23.1125153</x:v>
      </x:c>
      <x:c r="G31" s="17" t="str">
        <x:v>城市级代理</x:v>
      </x:c>
      <x:c r="H31" s="17" t="str">
        <x:v>第2批</x:v>
      </x:c>
      <x:c r="I31" s="21"/>
      <x:c r="J31" s="42" t="n">
        <x:v>1000</x:v>
      </x:c>
      <x:c r="K31" s="42" t="n">
        <x:v>3000</x:v>
      </x:c>
      <x:c r="L31" s="42" t="n">
        <x:v>5000</x:v>
      </x:c>
      <x:c r="M31" s="42"/>
      <x:c r="N31" s="42"/>
      <x:c r="O31" s="30" t="str">
        <x:v>A-名单；坐标B-代理</x:v>
      </x:c>
      <x:c r="P31" s="17" t="str">
        <x:v>https://wap.miit.gov.cn/jgsj/jns/gzdt/art/2021/art_d84563327a33454f9f54d164cfde859b.html</x:v>
      </x:c>
    </x:row>
    <x:row r="32">
      <x:c r="A32" s="17" t="str">
        <x:v>P06</x:v>
      </x:c>
      <x:c r="B32" s="17" t="str">
        <x:v>江门市朗达锂电池有限公司</x:v>
      </x:c>
      <x:c r="C32" s="17" t="str">
        <x:v>梯次利用</x:v>
      </x:c>
      <x:c r="D32" s="17" t="str">
        <x:v>江门</x:v>
      </x:c>
      <x:c r="E32" s="24" t="n">
        <x:v>113.0761073</x:v>
      </x:c>
      <x:c r="F32" s="24" t="n">
        <x:v>22.5816619</x:v>
      </x:c>
      <x:c r="G32" s="17" t="str">
        <x:v>城市级代理</x:v>
      </x:c>
      <x:c r="H32" s="17" t="str">
        <x:v>第3批</x:v>
      </x:c>
      <x:c r="I32" s="21"/>
      <x:c r="J32" s="42" t="n">
        <x:v>1000</x:v>
      </x:c>
      <x:c r="K32" s="42" t="n">
        <x:v>3000</x:v>
      </x:c>
      <x:c r="L32" s="42" t="n">
        <x:v>5000</x:v>
      </x:c>
      <x:c r="M32" s="42"/>
      <x:c r="N32" s="42"/>
      <x:c r="O32" s="30" t="str">
        <x:v>A-名单；坐标B-代理</x:v>
      </x:c>
      <x:c r="P32" s="17" t="str">
        <x:v>https://www.miit.gov.cn/jgsj/jns/zhlyh/art/2021/art_617843b5857c463dac604b8ef8f19ba9.html</x:v>
      </x:c>
    </x:row>
    <x:row r="33">
      <x:c r="A33" s="17" t="str">
        <x:v>P07</x:v>
      </x:c>
      <x:c r="B33" s="17" t="str">
        <x:v>广东迪度新能源有限公司</x:v>
      </x:c>
      <x:c r="C33" s="17" t="str">
        <x:v>梯次利用</x:v>
      </x:c>
      <x:c r="D33" s="17" t="str">
        <x:v>东莞</x:v>
      </x:c>
      <x:c r="E33" s="24" t="n">
        <x:v>113.7452332</x:v>
      </x:c>
      <x:c r="F33" s="24" t="n">
        <x:v>23.0183568</x:v>
      </x:c>
      <x:c r="G33" s="17" t="str">
        <x:v>城市级代理</x:v>
      </x:c>
      <x:c r="H33" s="17" t="str">
        <x:v>第3批</x:v>
      </x:c>
      <x:c r="I33" s="21"/>
      <x:c r="J33" s="42" t="n">
        <x:v>1000</x:v>
      </x:c>
      <x:c r="K33" s="42" t="n">
        <x:v>3000</x:v>
      </x:c>
      <x:c r="L33" s="42" t="n">
        <x:v>5000</x:v>
      </x:c>
      <x:c r="M33" s="42"/>
      <x:c r="N33" s="42"/>
      <x:c r="O33" s="30" t="str">
        <x:v>A-名单；坐标B-代理</x:v>
      </x:c>
      <x:c r="P33" s="17" t="str">
        <x:v>https://www.miit.gov.cn/jgsj/jns/zhlyh/art/2021/art_617843b5857c463dac604b8ef8f19ba9.html</x:v>
      </x:c>
    </x:row>
    <x:row r="34">
      <x:c r="A34" s="17" t="str">
        <x:v>P08</x:v>
      </x:c>
      <x:c r="B34" s="17" t="str">
        <x:v>东莞市博森新能源有限公司</x:v>
      </x:c>
      <x:c r="C34" s="17" t="str">
        <x:v>梯次利用</x:v>
      </x:c>
      <x:c r="D34" s="17" t="str">
        <x:v>东莞</x:v>
      </x:c>
      <x:c r="E34" s="24" t="n">
        <x:v>113.7452332</x:v>
      </x:c>
      <x:c r="F34" s="24" t="n">
        <x:v>23.0183568</x:v>
      </x:c>
      <x:c r="G34" s="17" t="str">
        <x:v>城市级代理</x:v>
      </x:c>
      <x:c r="H34" s="17" t="str">
        <x:v>第4批</x:v>
      </x:c>
      <x:c r="I34" s="21"/>
      <x:c r="J34" s="42" t="n">
        <x:v>1000</x:v>
      </x:c>
      <x:c r="K34" s="42" t="n">
        <x:v>3000</x:v>
      </x:c>
      <x:c r="L34" s="42" t="n">
        <x:v>5000</x:v>
      </x:c>
      <x:c r="M34" s="42"/>
      <x:c r="N34" s="42"/>
      <x:c r="O34" s="30" t="str">
        <x:v>A-名单；坐标B-代理</x:v>
      </x:c>
      <x:c r="P34" s="17" t="str">
        <x:v>https://www.miit.gov.cn/zwgk/zcwj/wjfb/gg/art/2022/art_751a83c5cae9443087ecfc5cb16e3be5.html</x:v>
      </x:c>
    </x:row>
    <x:row r="35">
      <x:c r="A35" s="17" t="str">
        <x:v>P09</x:v>
      </x:c>
      <x:c r="B35" s="17" t="str">
        <x:v>广东宇阳新能源有限公司</x:v>
      </x:c>
      <x:c r="C35" s="17" t="str">
        <x:v>梯次利用</x:v>
      </x:c>
      <x:c r="D35" s="17" t="str">
        <x:v>东莞</x:v>
      </x:c>
      <x:c r="E35" s="24" t="n">
        <x:v>113.7452332</x:v>
      </x:c>
      <x:c r="F35" s="24" t="n">
        <x:v>23.0183568</x:v>
      </x:c>
      <x:c r="G35" s="17" t="str">
        <x:v>城市级代理</x:v>
      </x:c>
      <x:c r="H35" s="17" t="str">
        <x:v>第4批</x:v>
      </x:c>
      <x:c r="I35" s="21"/>
      <x:c r="J35" s="42" t="n">
        <x:v>1000</x:v>
      </x:c>
      <x:c r="K35" s="42" t="n">
        <x:v>3000</x:v>
      </x:c>
      <x:c r="L35" s="42" t="n">
        <x:v>5000</x:v>
      </x:c>
      <x:c r="M35" s="42"/>
      <x:c r="N35" s="42"/>
      <x:c r="O35" s="30" t="str">
        <x:v>A-名单；坐标B-代理</x:v>
      </x:c>
      <x:c r="P35" s="17" t="str">
        <x:v>https://www.miit.gov.cn/zwgk/zcwj/wjfb/gg/art/2022/art_751a83c5cae9443087ecfc5cb16e3be5.html</x:v>
      </x:c>
    </x:row>
    <x:row r="36">
      <x:c r="A36" s="17" t="str">
        <x:v>P10</x:v>
      </x:c>
      <x:c r="B36" s="17" t="str">
        <x:v>广州广汽商贸再生资源有限公司</x:v>
      </x:c>
      <x:c r="C36" s="17" t="str">
        <x:v>梯次利用</x:v>
      </x:c>
      <x:c r="D36" s="17" t="str">
        <x:v>广州</x:v>
      </x:c>
      <x:c r="E36" s="24" t="n">
        <x:v>113.2589581</x:v>
      </x:c>
      <x:c r="F36" s="24" t="n">
        <x:v>23.1288429</x:v>
      </x:c>
      <x:c r="G36" s="17" t="str">
        <x:v>城市级代理</x:v>
      </x:c>
      <x:c r="H36" s="17" t="str">
        <x:v>第4批</x:v>
      </x:c>
      <x:c r="I36" s="21"/>
      <x:c r="J36" s="42" t="n">
        <x:v>1000</x:v>
      </x:c>
      <x:c r="K36" s="42" t="n">
        <x:v>3000</x:v>
      </x:c>
      <x:c r="L36" s="42" t="n">
        <x:v>5000</x:v>
      </x:c>
      <x:c r="M36" s="42"/>
      <x:c r="N36" s="42"/>
      <x:c r="O36" s="30" t="str">
        <x:v>A-名单；坐标B-代理</x:v>
      </x:c>
      <x:c r="P36" s="17" t="str">
        <x:v>https://www.miit.gov.cn/zwgk/zcwj/wjfb/gg/art/2022/art_751a83c5cae9443087ecfc5cb16e3be5.html</x:v>
      </x:c>
    </x:row>
    <x:row r="37">
      <x:c r="A37" s="17" t="str">
        <x:v>P11</x:v>
      </x:c>
      <x:c r="B37" s="17" t="str">
        <x:v>深圳市杰成镍钴新能源科技有限公司</x:v>
      </x:c>
      <x:c r="C37" s="17" t="str">
        <x:v>梯次利用</x:v>
      </x:c>
      <x:c r="D37" s="17" t="str">
        <x:v>深圳</x:v>
      </x:c>
      <x:c r="E37" s="24" t="n">
        <x:v>114.0545429</x:v>
      </x:c>
      <x:c r="F37" s="24" t="n">
        <x:v>22.5445741</x:v>
      </x:c>
      <x:c r="G37" s="17" t="str">
        <x:v>城市级代理</x:v>
      </x:c>
      <x:c r="H37" s="17" t="str">
        <x:v>第4批</x:v>
      </x:c>
      <x:c r="I37" s="21"/>
      <x:c r="J37" s="42" t="n">
        <x:v>1000</x:v>
      </x:c>
      <x:c r="K37" s="42" t="n">
        <x:v>3000</x:v>
      </x:c>
      <x:c r="L37" s="42" t="n">
        <x:v>5000</x:v>
      </x:c>
      <x:c r="M37" s="42"/>
      <x:c r="N37" s="42"/>
      <x:c r="O37" s="30" t="str">
        <x:v>A-名单；坐标B-代理</x:v>
      </x:c>
      <x:c r="P37" s="17" t="str">
        <x:v>https://www.miit.gov.cn/zwgk/zcwj/wjfb/gg/art/2022/art_751a83c5cae9443087ecfc5cb16e3be5.html</x:v>
      </x:c>
    </x:row>
    <x:row r="38">
      <x:c r="A38" s="17" t="str">
        <x:v>P12</x:v>
      </x:c>
      <x:c r="B38" s="17" t="str">
        <x:v>江门市恒创睿能环保科技有限公司</x:v>
      </x:c>
      <x:c r="C38" s="17" t="str">
        <x:v>再生利用</x:v>
      </x:c>
      <x:c r="D38" s="17" t="str">
        <x:v>江门</x:v>
      </x:c>
      <x:c r="E38" s="24" t="n">
        <x:v>113.0761073</x:v>
      </x:c>
      <x:c r="F38" s="24" t="n">
        <x:v>22.5816619</x:v>
      </x:c>
      <x:c r="G38" s="17" t="str">
        <x:v>城市级代理</x:v>
      </x:c>
      <x:c r="H38" s="17" t="str">
        <x:v>第2批</x:v>
      </x:c>
      <x:c r="I38" s="21"/>
      <x:c r="J38" s="42" t="n">
        <x:v>5000</x:v>
      </x:c>
      <x:c r="K38" s="42" t="n">
        <x:v>10000</x:v>
      </x:c>
      <x:c r="L38" s="42" t="n">
        <x:v>20000</x:v>
      </x:c>
      <x:c r="M38" s="42"/>
      <x:c r="N38" s="42"/>
      <x:c r="O38" s="30" t="str">
        <x:v>A-名单；坐标B-代理</x:v>
      </x:c>
      <x:c r="P38" s="17" t="str">
        <x:v>https://wap.miit.gov.cn/jgsj/jns/gzdt/art/2021/art_d84563327a33454f9f54d164cfde859b.html</x:v>
      </x:c>
    </x:row>
    <x:row r="39">
      <x:c r="A39" s="17" t="str">
        <x:v>P13</x:v>
      </x:c>
      <x:c r="B39" s="17" t="str">
        <x:v>广东佳纳能源科技有限公司</x:v>
      </x:c>
      <x:c r="C39" s="17" t="str">
        <x:v>再生利用</x:v>
      </x:c>
      <x:c r="D39" s="17" t="str">
        <x:v>清远</x:v>
      </x:c>
      <x:c r="E39" s="24" t="n">
        <x:v>113.0505994</x:v>
      </x:c>
      <x:c r="F39" s="24" t="n">
        <x:v>23.6832984</x:v>
      </x:c>
      <x:c r="G39" s="17" t="str">
        <x:v>城市级代理</x:v>
      </x:c>
      <x:c r="H39" s="17" t="str">
        <x:v>第2批</x:v>
      </x:c>
      <x:c r="I39" s="21"/>
      <x:c r="J39" s="42" t="n">
        <x:v>5000</x:v>
      </x:c>
      <x:c r="K39" s="42" t="n">
        <x:v>10000</x:v>
      </x:c>
      <x:c r="L39" s="42" t="n">
        <x:v>20000</x:v>
      </x:c>
      <x:c r="M39" s="42"/>
      <x:c r="N39" s="42"/>
      <x:c r="O39" s="30" t="str">
        <x:v>A-名单；坐标B-代理</x:v>
      </x:c>
      <x:c r="P39" s="17" t="str">
        <x:v>https://wap.miit.gov.cn/jgsj/jns/gzdt/art/2021/art_d84563327a33454f9f54d164cfde859b.html</x:v>
      </x:c>
    </x:row>
    <x:row r="40">
      <x:c r="A40" s="17" t="str">
        <x:v>P14</x:v>
      </x:c>
      <x:c r="B40" s="17" t="str">
        <x:v>格林美（深圳）循环科技有限公司</x:v>
      </x:c>
      <x:c r="C40" s="17" t="str">
        <x:v>梯次利用</x:v>
      </x:c>
      <x:c r="D40" s="17" t="str">
        <x:v>深圳</x:v>
      </x:c>
      <x:c r="E40" s="24" t="n">
        <x:v>114.0545429</x:v>
      </x:c>
      <x:c r="F40" s="24" t="n">
        <x:v>22.5445741</x:v>
      </x:c>
      <x:c r="G40" s="17" t="str">
        <x:v>城市级代理</x:v>
      </x:c>
      <x:c r="H40" s="17" t="str">
        <x:v>第5批</x:v>
      </x:c>
      <x:c r="I40" s="21"/>
      <x:c r="J40" s="42" t="n">
        <x:v>1000</x:v>
      </x:c>
      <x:c r="K40" s="42" t="n">
        <x:v>3000</x:v>
      </x:c>
      <x:c r="L40" s="42" t="n">
        <x:v>5000</x:v>
      </x:c>
      <x:c r="M40" s="42"/>
      <x:c r="N40" s="42"/>
      <x:c r="O40" s="30" t="str">
        <x:v>A-名单；坐标B-代理</x:v>
      </x:c>
      <x:c r="P40" s="17" t="str">
        <x:v>https://www.miit.gov.cn/cms_files/filemanager/1226211233/attach/20238/77f5d7ade1bf4ca9b32ac9e430e2725d.pdf</x:v>
      </x:c>
    </x:row>
    <x:row r="41">
      <x:c r="A41" s="17" t="str">
        <x:v>P15</x:v>
      </x:c>
      <x:c r="B41" s="17" t="str">
        <x:v>绿循新能源科技（佛山）有限责任公司</x:v>
      </x:c>
      <x:c r="C41" s="17" t="str">
        <x:v>梯次利用</x:v>
      </x:c>
      <x:c r="D41" s="17" t="str">
        <x:v>佛山</x:v>
      </x:c>
      <x:c r="E41" s="24" t="n">
        <x:v>113.1159558</x:v>
      </x:c>
      <x:c r="F41" s="24" t="n">
        <x:v>23.0239788</x:v>
      </x:c>
      <x:c r="G41" s="17" t="str">
        <x:v>城市级代理</x:v>
      </x:c>
      <x:c r="H41" s="17" t="str">
        <x:v>第5批</x:v>
      </x:c>
      <x:c r="I41" s="21"/>
      <x:c r="J41" s="42" t="n">
        <x:v>1000</x:v>
      </x:c>
      <x:c r="K41" s="42" t="n">
        <x:v>3000</x:v>
      </x:c>
      <x:c r="L41" s="42" t="n">
        <x:v>5000</x:v>
      </x:c>
      <x:c r="M41" s="42"/>
      <x:c r="N41" s="42"/>
      <x:c r="O41" s="30" t="str">
        <x:v>A-名单；坐标B-代理</x:v>
      </x:c>
      <x:c r="P41" s="17" t="str">
        <x:v>https://www.miit.gov.cn/cms_files/filemanager/1226211233/attach/20238/77f5d7ade1bf4ca9b32ac9e430e2725d.pdf</x:v>
      </x:c>
    </x:row>
    <x:row r="42">
      <x:c r="A42" s="17" t="str">
        <x:v>P16</x:v>
      </x:c>
      <x:c r="B42" s="17" t="str">
        <x:v>深圳艾云动智慧科技有限公司</x:v>
      </x:c>
      <x:c r="C42" s="17" t="str">
        <x:v>梯次利用</x:v>
      </x:c>
      <x:c r="D42" s="17" t="str">
        <x:v>深圳</x:v>
      </x:c>
      <x:c r="E42" s="24" t="n">
        <x:v>114.0545429</x:v>
      </x:c>
      <x:c r="F42" s="24" t="n">
        <x:v>22.5445741</x:v>
      </x:c>
      <x:c r="G42" s="17" t="str">
        <x:v>城市级代理</x:v>
      </x:c>
      <x:c r="H42" s="17" t="str">
        <x:v>第5批</x:v>
      </x:c>
      <x:c r="I42" s="21"/>
      <x:c r="J42" s="42" t="n">
        <x:v>1000</x:v>
      </x:c>
      <x:c r="K42" s="42" t="n">
        <x:v>3000</x:v>
      </x:c>
      <x:c r="L42" s="42" t="n">
        <x:v>5000</x:v>
      </x:c>
      <x:c r="M42" s="42"/>
      <x:c r="N42" s="42"/>
      <x:c r="O42" s="30" t="str">
        <x:v>A-名单；坐标B-代理</x:v>
      </x:c>
      <x:c r="P42" s="17" t="str">
        <x:v>https://www.miit.gov.cn/cms_files/filemanager/1226211233/attach/20238/77f5d7ade1bf4ca9b32ac9e430e2725d.pdf</x:v>
      </x:c>
    </x:row>
    <x:row r="43">
      <x:c r="A43" s="17" t="str">
        <x:v>P17</x:v>
      </x:c>
      <x:c r="B43" s="17" t="str">
        <x:v>深圳市荣高晟新能源科技有限公司</x:v>
      </x:c>
      <x:c r="C43" s="17" t="str">
        <x:v>梯次利用</x:v>
      </x:c>
      <x:c r="D43" s="17" t="str">
        <x:v>深圳</x:v>
      </x:c>
      <x:c r="E43" s="24" t="n">
        <x:v>114.0545429</x:v>
      </x:c>
      <x:c r="F43" s="24" t="n">
        <x:v>22.5445741</x:v>
      </x:c>
      <x:c r="G43" s="17" t="str">
        <x:v>城市级代理</x:v>
      </x:c>
      <x:c r="H43" s="17" t="str">
        <x:v>第5批</x:v>
      </x:c>
      <x:c r="I43" s="21"/>
      <x:c r="J43" s="42" t="n">
        <x:v>1000</x:v>
      </x:c>
      <x:c r="K43" s="42" t="n">
        <x:v>3000</x:v>
      </x:c>
      <x:c r="L43" s="42" t="n">
        <x:v>5000</x:v>
      </x:c>
      <x:c r="M43" s="42"/>
      <x:c r="N43" s="42"/>
      <x:c r="O43" s="30" t="str">
        <x:v>A-名单；坐标B-代理</x:v>
      </x:c>
      <x:c r="P43" s="17" t="str">
        <x:v>https://www.miit.gov.cn/cms_files/filemanager/1226211233/attach/20238/77f5d7ade1bf4ca9b32ac9e430e2725d.pdf</x:v>
      </x:c>
    </x:row>
    <x:row r="44">
      <x:c r="A44" s="17" t="str">
        <x:v>P18</x:v>
      </x:c>
      <x:c r="B44" s="17" t="str">
        <x:v>中商锂新能源科技（惠州）有限公司</x:v>
      </x:c>
      <x:c r="C44" s="17" t="str">
        <x:v>梯次利用</x:v>
      </x:c>
      <x:c r="D44" s="17" t="str">
        <x:v>惠州</x:v>
      </x:c>
      <x:c r="E44" s="24" t="n">
        <x:v>114.4127007</x:v>
      </x:c>
      <x:c r="F44" s="24" t="n">
        <x:v>23.1125153</x:v>
      </x:c>
      <x:c r="G44" s="17" t="str">
        <x:v>城市级代理</x:v>
      </x:c>
      <x:c r="H44" s="17" t="str">
        <x:v>第5批</x:v>
      </x:c>
      <x:c r="I44" s="21"/>
      <x:c r="J44" s="42" t="n">
        <x:v>1000</x:v>
      </x:c>
      <x:c r="K44" s="42" t="n">
        <x:v>3000</x:v>
      </x:c>
      <x:c r="L44" s="42" t="n">
        <x:v>5000</x:v>
      </x:c>
      <x:c r="M44" s="42"/>
      <x:c r="N44" s="42"/>
      <x:c r="O44" s="30" t="str">
        <x:v>A-名单；坐标B-代理</x:v>
      </x:c>
      <x:c r="P44" s="17" t="str">
        <x:v>https://www.miit.gov.cn/cms_files/filemanager/1226211233/attach/20238/77f5d7ade1bf4ca9b32ac9e430e2725d.pdf</x:v>
      </x:c>
    </x:row>
    <x:row r="45">
      <x:c r="A45" s="17" t="str">
        <x:v>P19</x:v>
      </x:c>
      <x:c r="B45" s="17" t="str">
        <x:v>广东盛祥新材料科技有限公司</x:v>
      </x:c>
      <x:c r="C45" s="17" t="str">
        <x:v>再生利用</x:v>
      </x:c>
      <x:c r="D45" s="17" t="str">
        <x:v>韶关</x:v>
      </x:c>
      <x:c r="E45" s="24" t="n">
        <x:v>113.8155263</x:v>
      </x:c>
      <x:c r="F45" s="24" t="n">
        <x:v>24.8309489</x:v>
      </x:c>
      <x:c r="G45" s="17" t="str">
        <x:v>城市级代理</x:v>
      </x:c>
      <x:c r="H45" s="17" t="str">
        <x:v>第5批</x:v>
      </x:c>
      <x:c r="I45" s="21"/>
      <x:c r="J45" s="42" t="n">
        <x:v>5000</x:v>
      </x:c>
      <x:c r="K45" s="42" t="n">
        <x:v>10000</x:v>
      </x:c>
      <x:c r="L45" s="42" t="n">
        <x:v>20000</x:v>
      </x:c>
      <x:c r="M45" s="42"/>
      <x:c r="N45" s="42"/>
      <x:c r="O45" s="30" t="str">
        <x:v>A-名单；坐标B-代理</x:v>
      </x:c>
      <x:c r="P45" s="17" t="str">
        <x:v>https://www.miit.gov.cn/cms_files/filemanager/1226211233/attach/20238/77f5d7ade1bf4ca9b32ac9e430e2725d.pdf</x:v>
      </x:c>
    </x:row>
    <x:row r="46">
      <x:c r="A46" s="17" t="str">
        <x:v>P20E</x:v>
      </x:c>
      <x:c r="B46" s="17" t="str">
        <x:v>广东金晟新能源股份有限公司（梯次功能）</x:v>
      </x:c>
      <x:c r="C46" s="17" t="str">
        <x:v>梯次利用</x:v>
      </x:c>
      <x:c r="D46" s="17" t="str">
        <x:v>肇庆</x:v>
      </x:c>
      <x:c r="E46" s="24" t="n">
        <x:v>112.4603629</x:v>
      </x:c>
      <x:c r="F46" s="24" t="n">
        <x:v>23.0501661</x:v>
      </x:c>
      <x:c r="G46" s="17" t="str">
        <x:v>城市级代理</x:v>
      </x:c>
      <x:c r="H46" s="17" t="str">
        <x:v>第5批</x:v>
      </x:c>
      <x:c r="I46" s="21"/>
      <x:c r="J46" s="42" t="n">
        <x:v>1000</x:v>
      </x:c>
      <x:c r="K46" s="42" t="n">
        <x:v>3000</x:v>
      </x:c>
      <x:c r="L46" s="42" t="n">
        <x:v>5000</x:v>
      </x:c>
      <x:c r="M46" s="42"/>
      <x:c r="N46" s="42"/>
      <x:c r="O46" s="30" t="str">
        <x:v>A-名单；坐标B-代理</x:v>
      </x:c>
      <x:c r="P46" s="17" t="str">
        <x:v>https://www.miit.gov.cn/cms_files/filemanager/1226211233/attach/20238/77f5d7ade1bf4ca9b32ac9e430e2725d.pdf</x:v>
      </x:c>
    </x:row>
    <x:row r="47">
      <x:c r="A47" s="17" t="str">
        <x:v>P20R</x:v>
      </x:c>
      <x:c r="B47" s="17" t="str">
        <x:v>广东金晟新能源股份有限公司（再生功能）</x:v>
      </x:c>
      <x:c r="C47" s="17" t="str">
        <x:v>再生利用</x:v>
      </x:c>
      <x:c r="D47" s="17" t="str">
        <x:v>肇庆</x:v>
      </x:c>
      <x:c r="E47" s="24" t="n">
        <x:v>112.4603629</x:v>
      </x:c>
      <x:c r="F47" s="24" t="n">
        <x:v>23.0501661</x:v>
      </x:c>
      <x:c r="G47" s="17" t="str">
        <x:v>城市级代理</x:v>
      </x:c>
      <x:c r="H47" s="17" t="str">
        <x:v>第5批</x:v>
      </x:c>
      <x:c r="I47" s="21"/>
      <x:c r="J47" s="42" t="n">
        <x:v>5000</x:v>
      </x:c>
      <x:c r="K47" s="42" t="n">
        <x:v>10000</x:v>
      </x:c>
      <x:c r="L47" s="42" t="n">
        <x:v>20000</x:v>
      </x:c>
      <x:c r="M47" s="42"/>
      <x:c r="N47" s="42"/>
      <x:c r="O47" s="30" t="str">
        <x:v>A-名单；坐标B-代理</x:v>
      </x:c>
      <x:c r="P47" s="17" t="str">
        <x:v>https://www.miit.gov.cn/cms_files/filemanager/1226211233/attach/20238/77f5d7ade1bf4ca9b32ac9e430e2725d.pdf</x:v>
      </x:c>
    </x:row>
    <x:row r="48">
      <x:c r="A48" s="17" t="str">
        <x:v>P21E</x:v>
      </x:c>
      <x:c r="B48" s="17" t="str">
        <x:v>广东瑞科美电源技术有限公司（梯次功能）</x:v>
      </x:c>
      <x:c r="C48" s="17" t="str">
        <x:v>梯次利用</x:v>
      </x:c>
      <x:c r="D48" s="17" t="str">
        <x:v>佛山</x:v>
      </x:c>
      <x:c r="E48" s="24" t="n">
        <x:v>113.1159558</x:v>
      </x:c>
      <x:c r="F48" s="24" t="n">
        <x:v>23.0239788</x:v>
      </x:c>
      <x:c r="G48" s="17" t="str">
        <x:v>城市级代理</x:v>
      </x:c>
      <x:c r="H48" s="17" t="str">
        <x:v>第5批</x:v>
      </x:c>
      <x:c r="I48" s="21"/>
      <x:c r="J48" s="42" t="n">
        <x:v>1000</x:v>
      </x:c>
      <x:c r="K48" s="42" t="n">
        <x:v>3000</x:v>
      </x:c>
      <x:c r="L48" s="42" t="n">
        <x:v>5000</x:v>
      </x:c>
      <x:c r="M48" s="42"/>
      <x:c r="N48" s="42"/>
      <x:c r="O48" s="30" t="str">
        <x:v>A-名单；坐标B-代理</x:v>
      </x:c>
      <x:c r="P48" s="17" t="str">
        <x:v>https://www.miit.gov.cn/cms_files/filemanager/1226211233/attach/20238/77f5d7ade1bf4ca9b32ac9e430e2725d.pdf</x:v>
      </x:c>
    </x:row>
    <x:row r="49">
      <x:c r="A49" s="17" t="str">
        <x:v>P21R</x:v>
      </x:c>
      <x:c r="B49" s="17" t="str">
        <x:v>广东瑞科美电源技术有限公司（再生功能）</x:v>
      </x:c>
      <x:c r="C49" s="17" t="str">
        <x:v>再生利用</x:v>
      </x:c>
      <x:c r="D49" s="17" t="str">
        <x:v>佛山</x:v>
      </x:c>
      <x:c r="E49" s="24" t="n">
        <x:v>113.1159558</x:v>
      </x:c>
      <x:c r="F49" s="24" t="n">
        <x:v>23.0239788</x:v>
      </x:c>
      <x:c r="G49" s="17" t="str">
        <x:v>城市级代理</x:v>
      </x:c>
      <x:c r="H49" s="17" t="str">
        <x:v>第5批</x:v>
      </x:c>
      <x:c r="I49" s="21"/>
      <x:c r="J49" s="42" t="n">
        <x:v>5000</x:v>
      </x:c>
      <x:c r="K49" s="42" t="n">
        <x:v>10000</x:v>
      </x:c>
      <x:c r="L49" s="42" t="n">
        <x:v>20000</x:v>
      </x:c>
      <x:c r="M49" s="42"/>
      <x:c r="N49" s="42"/>
      <x:c r="O49" s="30" t="str">
        <x:v>A-名单；坐标B-代理</x:v>
      </x:c>
      <x:c r="P49" s="17" t="str">
        <x:v>https://www.miit.gov.cn/cms_files/filemanager/1226211233/attach/20238/77f5d7ade1bf4ca9b32ac9e430e2725d.pdf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2" hidden="0" customWidth="1"/>
    <x:col min="8" max="8" width="26" hidden="0" customWidth="1"/>
    <x:col min="9" max="9" width="28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28" hidden="0" customWidth="1"/>
    <x:col min="15" max="15" width="58" hidden="0" customWidth="1"/>
    <x:col min="16" max="16" width="48" hidden="0" customWidth="1"/>
  </x:cols>
  <x:sheetData>
    <x:row r="1" ht="30" customHeight="1">
      <x:c r="A1" s="4" t="str">
        <x:v>模型接口：facilities_input（必需字段已补齐）</x:v>
      </x:c>
      <x:c r="B1" s="4" t="str">
        <x:v>模型接口：facilities_input（必需字段已补齐）</x:v>
      </x:c>
      <x:c r="C1" s="4" t="str">
        <x:v>模型接口：facilities_input（必需字段已补齐）</x:v>
      </x:c>
      <x:c r="D1" s="4" t="str">
        <x:v>模型接口：facilities_input（必需字段已补齐）</x:v>
      </x:c>
      <x:c r="E1" s="4" t="str">
        <x:v>模型接口：facilities_input（必需字段已补齐）</x:v>
      </x:c>
      <x:c r="F1" s="4" t="str">
        <x:v>模型接口：facilities_input（必需字段已补齐）</x:v>
      </x:c>
      <x:c r="G1" s="4" t="str">
        <x:v>模型接口：facilities_input（必需字段已补齐）</x:v>
      </x:c>
      <x:c r="H1" s="4" t="str">
        <x:v>模型接口：facilities_input（必需字段已补齐）</x:v>
      </x:c>
      <x:c r="I1" s="4" t="str">
        <x:v>模型接口：facilities_input（必需字段已补齐）</x:v>
      </x:c>
      <x:c r="J1" s="4" t="str">
        <x:v>模型接口：facilities_input（必需字段已补齐）</x:v>
      </x:c>
      <x:c r="K1" s="4" t="str">
        <x:v>模型接口：facilities_input（必需字段已补齐）</x:v>
      </x:c>
      <x:c r="L1" s="4" t="str">
        <x:v>模型接口：facilities_input（必需字段已补齐）</x:v>
      </x:c>
      <x:c r="M1" s="4" t="str">
        <x:v>模型接口：facilities_input（必需字段已补齐）</x:v>
      </x:c>
      <x:c r="N1" s="4" t="str">
        <x:v>模型接口：facilities_input（必需字段已补齐）</x:v>
      </x:c>
      <x:c r="O1" s="4" t="str">
        <x:v>模型接口：facilities_input（必需字段已补齐）</x:v>
      </x:c>
      <x:c r="P1" s="4" t="str">
        <x:v>模型接口：facilities_input（必需字段已补齐）</x:v>
      </x:c>
    </x:row>
    <x:row r="2">
      <x:c r="A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B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C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D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E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F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G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H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I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J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K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L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M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N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O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  <x:c r="P2" s="20" t="str">
        <x:v>除汕尾P01公开容量/投资外，容量、最低处理量、固定成本和单位处理成本均为规范下限、公开项目锚点与情景参数构造值。P01视为既有且必须启用，固定开启成本只计基准固定运维，不重复计历史沉没资本。</x:v>
      </x:c>
    </x:row>
    <x:row r="4" ht="28" customHeight="1">
      <x:c r="A4" s="14" t="str">
        <x:v>facility_id</x:v>
      </x:c>
      <x:c r="B4" s="14" t="str">
        <x:v>name</x:v>
      </x:c>
      <x:c r="C4" s="14" t="str">
        <x:v>type</x:v>
      </x:c>
      <x:c r="D4" s="14" t="str">
        <x:v>lon</x:v>
      </x:c>
      <x:c r="E4" s="14" t="str">
        <x:v>lat</x:v>
      </x:c>
      <x:c r="F4" s="14" t="str">
        <x:v>capacity_tons</x:v>
      </x:c>
      <x:c r="G4" s="14" t="str">
        <x:v>min_throughput_tons</x:v>
      </x:c>
      <x:c r="H4" s="14" t="str">
        <x:v>fixed_cost_yuan_per_year</x:v>
      </x:c>
      <x:c r="I4" s="14" t="str">
        <x:v>unit_processing_cost_yuan_per_ton</x:v>
      </x:c>
      <x:c r="J4" s="14" t="str">
        <x:v>existing</x:v>
      </x:c>
      <x:c r="K4" s="14" t="str">
        <x:v>must_open</x:v>
      </x:c>
      <x:c r="L4" s="14" t="str">
        <x:v>city</x:v>
      </x:c>
      <x:c r="M4" s="14" t="str">
        <x:v>coordinate_quality</x:v>
      </x:c>
      <x:c r="N4" s="14" t="str">
        <x:v>parameter_quality</x:v>
      </x:c>
      <x:c r="O4" s="14" t="str">
        <x:v>source_url</x:v>
      </x:c>
      <x:c r="P4" s="14" t="str">
        <x:v>notes</x:v>
      </x:c>
    </x:row>
    <x:row r="5">
      <x:c r="A5" s="17" t="str">
        <x:v>C01</x:v>
      </x:c>
      <x:c r="B5" s="17" t="str">
        <x:v>广州虚拟回收/检测中心</x:v>
      </x:c>
      <x:c r="C5" s="17" t="str">
        <x:v>collection</x:v>
      </x:c>
      <x:c r="D5" s="24" t="n">
        <x:v>113.2589581</x:v>
      </x:c>
      <x:c r="E5" s="24" t="n">
        <x:v>23.1288429</x:v>
      </x:c>
      <x:c r="F5" s="21" t="n">
        <x:f>'情景参数模板'!$D$6</x:f>
        <x:v>3000</x:v>
      </x:c>
      <x:c r="G5" s="21" t="n">
        <x:f>F5*10%</x:f>
        <x:v>300</x:v>
      </x:c>
      <x:c r="H5" s="21" t="n">
        <x:f>'情景参数模板'!$D$9*10000*('情景参数模板'!$D$36+'情景参数模板'!$D$34)</x:f>
        <x:v>567088.466091226</x:v>
      </x:c>
      <x:c r="I5" s="21" t="n">
        <x:f>'情景参数模板'!$D$15</x:f>
        <x:v>800</x:v>
      </x:c>
      <x:c r="J5" s="17" t="n">
        <x:v>0</x:v>
      </x:c>
      <x:c r="K5" s="17" t="n">
        <x:v>0</x:v>
      </x:c>
      <x:c r="L5" s="17" t="str">
        <x:v>广州</x:v>
      </x:c>
      <x:c r="M5" s="17" t="str">
        <x:v>城市级代理</x:v>
      </x:c>
      <x:c r="N5" s="17" t="str">
        <x:v>A-名单或D-虚拟节点；C/D-成本容量</x:v>
      </x:c>
      <x:c r="O5" s="17" t="str">
        <x:v>https://nominatim.openstreetmap.org/</x:v>
      </x:c>
      <x:c r="P5" s="17" t="str">
        <x:v>所有非公开企业字段均为可替换情景值</x:v>
      </x:c>
    </x:row>
    <x:row r="6">
      <x:c r="A6" s="17" t="str">
        <x:v>C02</x:v>
      </x:c>
      <x:c r="B6" s="17" t="str">
        <x:v>深圳虚拟回收/检测中心</x:v>
      </x:c>
      <x:c r="C6" s="17" t="str">
        <x:v>collection</x:v>
      </x:c>
      <x:c r="D6" s="24" t="n">
        <x:v>114.0545429</x:v>
      </x:c>
      <x:c r="E6" s="24" t="n">
        <x:v>22.5445741</x:v>
      </x:c>
      <x:c r="F6" s="21" t="n">
        <x:f>'情景参数模板'!$D$6</x:f>
        <x:v>3000</x:v>
      </x:c>
      <x:c r="G6" s="21" t="n">
        <x:f>F6*10%</x:f>
        <x:v>300</x:v>
      </x:c>
      <x:c r="H6" s="21" t="n">
        <x:f>'情景参数模板'!$D$9*10000*('情景参数模板'!$D$36+'情景参数模板'!$D$34)</x:f>
        <x:v>567088.466091226</x:v>
      </x:c>
      <x:c r="I6" s="21" t="n">
        <x:f>'情景参数模板'!$D$15</x:f>
        <x:v>800</x:v>
      </x:c>
      <x:c r="J6" s="17" t="n">
        <x:v>0</x:v>
      </x:c>
      <x:c r="K6" s="17" t="n">
        <x:v>0</x:v>
      </x:c>
      <x:c r="L6" s="17" t="str">
        <x:v>深圳</x:v>
      </x:c>
      <x:c r="M6" s="17" t="str">
        <x:v>城市级代理</x:v>
      </x:c>
      <x:c r="N6" s="17" t="str">
        <x:v>A-名单或D-虚拟节点；C/D-成本容量</x:v>
      </x:c>
      <x:c r="O6" s="17" t="str">
        <x:v>https://nominatim.openstreetmap.org/</x:v>
      </x:c>
      <x:c r="P6" s="17" t="str">
        <x:v>所有非公开企业字段均为可替换情景值</x:v>
      </x:c>
    </x:row>
    <x:row r="7">
      <x:c r="A7" s="17" t="str">
        <x:v>C03</x:v>
      </x:c>
      <x:c r="B7" s="17" t="str">
        <x:v>珠海虚拟回收/检测中心</x:v>
      </x:c>
      <x:c r="C7" s="17" t="str">
        <x:v>collection</x:v>
      </x:c>
      <x:c r="D7" s="24" t="n">
        <x:v>113.5721327</x:v>
      </x:c>
      <x:c r="E7" s="24" t="n">
        <x:v>22.273734</x:v>
      </x:c>
      <x:c r="F7" s="21" t="n">
        <x:f>'情景参数模板'!$D$6</x:f>
        <x:v>3000</x:v>
      </x:c>
      <x:c r="G7" s="21" t="n">
        <x:f>F7*10%</x:f>
        <x:v>300</x:v>
      </x:c>
      <x:c r="H7" s="21" t="n">
        <x:f>'情景参数模板'!$D$9*10000*('情景参数模板'!$D$36+'情景参数模板'!$D$34)</x:f>
        <x:v>567088.466091226</x:v>
      </x:c>
      <x:c r="I7" s="21" t="n">
        <x:f>'情景参数模板'!$D$15</x:f>
        <x:v>800</x:v>
      </x:c>
      <x:c r="J7" s="17" t="n">
        <x:v>0</x:v>
      </x:c>
      <x:c r="K7" s="17" t="n">
        <x:v>0</x:v>
      </x:c>
      <x:c r="L7" s="17" t="str">
        <x:v>珠海</x:v>
      </x:c>
      <x:c r="M7" s="17" t="str">
        <x:v>城市级代理</x:v>
      </x:c>
      <x:c r="N7" s="17" t="str">
        <x:v>A-名单或D-虚拟节点；C/D-成本容量</x:v>
      </x:c>
      <x:c r="O7" s="17" t="str">
        <x:v>https://nominatim.openstreetmap.org/</x:v>
      </x:c>
      <x:c r="P7" s="17" t="str">
        <x:v>所有非公开企业字段均为可替换情景值</x:v>
      </x:c>
    </x:row>
    <x:row r="8">
      <x:c r="A8" s="17" t="str">
        <x:v>C04</x:v>
      </x:c>
      <x:c r="B8" s="17" t="str">
        <x:v>汕头虚拟回收/检测中心</x:v>
      </x:c>
      <x:c r="C8" s="17" t="str">
        <x:v>collection</x:v>
      </x:c>
      <x:c r="D8" s="24" t="n">
        <x:v>116.6775856</x:v>
      </x:c>
      <x:c r="E8" s="24" t="n">
        <x:v>23.3563921</x:v>
      </x:c>
      <x:c r="F8" s="21" t="n">
        <x:f>'情景参数模板'!$D$6</x:f>
        <x:v>3000</x:v>
      </x:c>
      <x:c r="G8" s="21" t="n">
        <x:f>F8*10%</x:f>
        <x:v>300</x:v>
      </x:c>
      <x:c r="H8" s="21" t="n">
        <x:f>'情景参数模板'!$D$9*10000*('情景参数模板'!$D$36+'情景参数模板'!$D$34)</x:f>
        <x:v>567088.466091226</x:v>
      </x:c>
      <x:c r="I8" s="21" t="n">
        <x:f>'情景参数模板'!$D$15</x:f>
        <x:v>800</x:v>
      </x:c>
      <x:c r="J8" s="17" t="n">
        <x:v>0</x:v>
      </x:c>
      <x:c r="K8" s="17" t="n">
        <x:v>0</x:v>
      </x:c>
      <x:c r="L8" s="17" t="str">
        <x:v>汕头</x:v>
      </x:c>
      <x:c r="M8" s="17" t="str">
        <x:v>城市级代理</x:v>
      </x:c>
      <x:c r="N8" s="17" t="str">
        <x:v>A-名单或D-虚拟节点；C/D-成本容量</x:v>
      </x:c>
      <x:c r="O8" s="17" t="str">
        <x:v>https://nominatim.openstreetmap.org/</x:v>
      </x:c>
      <x:c r="P8" s="17" t="str">
        <x:v>所有非公开企业字段均为可替换情景值</x:v>
      </x:c>
    </x:row>
    <x:row r="9">
      <x:c r="A9" s="17" t="str">
        <x:v>C05</x:v>
      </x:c>
      <x:c r="B9" s="17" t="str">
        <x:v>佛山虚拟回收/检测中心</x:v>
      </x:c>
      <x:c r="C9" s="17" t="str">
        <x:v>collection</x:v>
      </x:c>
      <x:c r="D9" s="24" t="n">
        <x:v>113.1159558</x:v>
      </x:c>
      <x:c r="E9" s="24" t="n">
        <x:v>23.0239788</x:v>
      </x:c>
      <x:c r="F9" s="21" t="n">
        <x:f>'情景参数模板'!$D$6</x:f>
        <x:v>3000</x:v>
      </x:c>
      <x:c r="G9" s="21" t="n">
        <x:f>F9*10%</x:f>
        <x:v>300</x:v>
      </x:c>
      <x:c r="H9" s="21" t="n">
        <x:f>'情景参数模板'!$D$9*10000*('情景参数模板'!$D$36+'情景参数模板'!$D$34)</x:f>
        <x:v>567088.466091226</x:v>
      </x:c>
      <x:c r="I9" s="21" t="n">
        <x:f>'情景参数模板'!$D$15</x:f>
        <x:v>800</x:v>
      </x:c>
      <x:c r="J9" s="17" t="n">
        <x:v>0</x:v>
      </x:c>
      <x:c r="K9" s="17" t="n">
        <x:v>0</x:v>
      </x:c>
      <x:c r="L9" s="17" t="str">
        <x:v>佛山</x:v>
      </x:c>
      <x:c r="M9" s="17" t="str">
        <x:v>城市级代理</x:v>
      </x:c>
      <x:c r="N9" s="17" t="str">
        <x:v>A-名单或D-虚拟节点；C/D-成本容量</x:v>
      </x:c>
      <x:c r="O9" s="17" t="str">
        <x:v>https://nominatim.openstreetmap.org/</x:v>
      </x:c>
      <x:c r="P9" s="17" t="str">
        <x:v>所有非公开企业字段均为可替换情景值</x:v>
      </x:c>
    </x:row>
    <x:row r="10">
      <x:c r="A10" s="17" t="str">
        <x:v>C06</x:v>
      </x:c>
      <x:c r="B10" s="17" t="str">
        <x:v>韶关虚拟回收/检测中心</x:v>
      </x:c>
      <x:c r="C10" s="17" t="str">
        <x:v>collection</x:v>
      </x:c>
      <x:c r="D10" s="24" t="n">
        <x:v>113.8155263</x:v>
      </x:c>
      <x:c r="E10" s="24" t="n">
        <x:v>24.8309489</x:v>
      </x:c>
      <x:c r="F10" s="21" t="n">
        <x:f>'情景参数模板'!$D$6</x:f>
        <x:v>3000</x:v>
      </x:c>
      <x:c r="G10" s="21" t="n">
        <x:f>F10*10%</x:f>
        <x:v>300</x:v>
      </x:c>
      <x:c r="H10" s="21" t="n">
        <x:f>'情景参数模板'!$D$9*10000*('情景参数模板'!$D$36+'情景参数模板'!$D$34)</x:f>
        <x:v>567088.466091226</x:v>
      </x:c>
      <x:c r="I10" s="21" t="n">
        <x:f>'情景参数模板'!$D$15</x:f>
        <x:v>800</x:v>
      </x:c>
      <x:c r="J10" s="17" t="n">
        <x:v>0</x:v>
      </x:c>
      <x:c r="K10" s="17" t="n">
        <x:v>0</x:v>
      </x:c>
      <x:c r="L10" s="17" t="str">
        <x:v>韶关</x:v>
      </x:c>
      <x:c r="M10" s="17" t="str">
        <x:v>城市级代理</x:v>
      </x:c>
      <x:c r="N10" s="17" t="str">
        <x:v>A-名单或D-虚拟节点；C/D-成本容量</x:v>
      </x:c>
      <x:c r="O10" s="17" t="str">
        <x:v>https://nominatim.openstreetmap.org/</x:v>
      </x:c>
      <x:c r="P10" s="17" t="str">
        <x:v>所有非公开企业字段均为可替换情景值</x:v>
      </x:c>
    </x:row>
    <x:row r="11">
      <x:c r="A11" s="17" t="str">
        <x:v>C07</x:v>
      </x:c>
      <x:c r="B11" s="17" t="str">
        <x:v>河源虚拟回收/检测中心</x:v>
      </x:c>
      <x:c r="C11" s="17" t="str">
        <x:v>collection</x:v>
      </x:c>
      <x:c r="D11" s="24" t="n">
        <x:v>115.0577538</x:v>
      </x:c>
      <x:c r="E11" s="24" t="n">
        <x:v>24.1014769</x:v>
      </x:c>
      <x:c r="F11" s="21" t="n">
        <x:f>'情景参数模板'!$D$6</x:f>
        <x:v>3000</x:v>
      </x:c>
      <x:c r="G11" s="21" t="n">
        <x:f>F11*10%</x:f>
        <x:v>300</x:v>
      </x:c>
      <x:c r="H11" s="21" t="n">
        <x:f>'情景参数模板'!$D$9*10000*('情景参数模板'!$D$36+'情景参数模板'!$D$34)</x:f>
        <x:v>567088.466091226</x:v>
      </x:c>
      <x:c r="I11" s="21" t="n">
        <x:f>'情景参数模板'!$D$15</x:f>
        <x:v>800</x:v>
      </x:c>
      <x:c r="J11" s="17" t="n">
        <x:v>0</x:v>
      </x:c>
      <x:c r="K11" s="17" t="n">
        <x:v>0</x:v>
      </x:c>
      <x:c r="L11" s="17" t="str">
        <x:v>河源</x:v>
      </x:c>
      <x:c r="M11" s="17" t="str">
        <x:v>城市级代理</x:v>
      </x:c>
      <x:c r="N11" s="17" t="str">
        <x:v>A-名单或D-虚拟节点；C/D-成本容量</x:v>
      </x:c>
      <x:c r="O11" s="17" t="str">
        <x:v>https://nominatim.openstreetmap.org/</x:v>
      </x:c>
      <x:c r="P11" s="17" t="str">
        <x:v>所有非公开企业字段均为可替换情景值</x:v>
      </x:c>
    </x:row>
    <x:row r="12">
      <x:c r="A12" s="17" t="str">
        <x:v>C08</x:v>
      </x:c>
      <x:c r="B12" s="17" t="str">
        <x:v>梅州虚拟回收/检测中心</x:v>
      </x:c>
      <x:c r="C12" s="17" t="str">
        <x:v>collection</x:v>
      </x:c>
      <x:c r="D12" s="24" t="n">
        <x:v>116.1171428</x:v>
      </x:c>
      <x:c r="E12" s="24" t="n">
        <x:v>24.2918414</x:v>
      </x:c>
      <x:c r="F12" s="21" t="n">
        <x:f>'情景参数模板'!$D$6</x:f>
        <x:v>3000</x:v>
      </x:c>
      <x:c r="G12" s="21" t="n">
        <x:f>F12*10%</x:f>
        <x:v>300</x:v>
      </x:c>
      <x:c r="H12" s="21" t="n">
        <x:f>'情景参数模板'!$D$9*10000*('情景参数模板'!$D$36+'情景参数模板'!$D$34)</x:f>
        <x:v>567088.466091226</x:v>
      </x:c>
      <x:c r="I12" s="21" t="n">
        <x:f>'情景参数模板'!$D$15</x:f>
        <x:v>800</x:v>
      </x:c>
      <x:c r="J12" s="17" t="n">
        <x:v>0</x:v>
      </x:c>
      <x:c r="K12" s="17" t="n">
        <x:v>0</x:v>
      </x:c>
      <x:c r="L12" s="17" t="str">
        <x:v>梅州</x:v>
      </x:c>
      <x:c r="M12" s="17" t="str">
        <x:v>城市级代理</x:v>
      </x:c>
      <x:c r="N12" s="17" t="str">
        <x:v>A-名单或D-虚拟节点；C/D-成本容量</x:v>
      </x:c>
      <x:c r="O12" s="17" t="str">
        <x:v>https://nominatim.openstreetmap.org/</x:v>
      </x:c>
      <x:c r="P12" s="17" t="str">
        <x:v>所有非公开企业字段均为可替换情景值</x:v>
      </x:c>
    </x:row>
    <x:row r="13">
      <x:c r="A13" s="17" t="str">
        <x:v>C09</x:v>
      </x:c>
      <x:c r="B13" s="17" t="str">
        <x:v>惠州虚拟回收/检测中心</x:v>
      </x:c>
      <x:c r="C13" s="17" t="str">
        <x:v>collection</x:v>
      </x:c>
      <x:c r="D13" s="24" t="n">
        <x:v>114.4127007</x:v>
      </x:c>
      <x:c r="E13" s="24" t="n">
        <x:v>23.1125153</x:v>
      </x:c>
      <x:c r="F13" s="21" t="n">
        <x:f>'情景参数模板'!$D$6</x:f>
        <x:v>3000</x:v>
      </x:c>
      <x:c r="G13" s="21" t="n">
        <x:f>F13*10%</x:f>
        <x:v>300</x:v>
      </x:c>
      <x:c r="H13" s="21" t="n">
        <x:f>'情景参数模板'!$D$9*10000*('情景参数模板'!$D$36+'情景参数模板'!$D$34)</x:f>
        <x:v>567088.466091226</x:v>
      </x:c>
      <x:c r="I13" s="21" t="n">
        <x:f>'情景参数模板'!$D$15</x:f>
        <x:v>800</x:v>
      </x:c>
      <x:c r="J13" s="17" t="n">
        <x:v>0</x:v>
      </x:c>
      <x:c r="K13" s="17" t="n">
        <x:v>0</x:v>
      </x:c>
      <x:c r="L13" s="17" t="str">
        <x:v>惠州</x:v>
      </x:c>
      <x:c r="M13" s="17" t="str">
        <x:v>城市级代理</x:v>
      </x:c>
      <x:c r="N13" s="17" t="str">
        <x:v>A-名单或D-虚拟节点；C/D-成本容量</x:v>
      </x:c>
      <x:c r="O13" s="17" t="str">
        <x:v>https://nominatim.openstreetmap.org/</x:v>
      </x:c>
      <x:c r="P13" s="17" t="str">
        <x:v>所有非公开企业字段均为可替换情景值</x:v>
      </x:c>
    </x:row>
    <x:row r="14">
      <x:c r="A14" s="17" t="str">
        <x:v>C10</x:v>
      </x:c>
      <x:c r="B14" s="17" t="str">
        <x:v>汕尾虚拟回收/检测中心</x:v>
      </x:c>
      <x:c r="C14" s="17" t="str">
        <x:v>collection</x:v>
      </x:c>
      <x:c r="D14" s="24" t="n">
        <x:v>115.5099937</x:v>
      </x:c>
      <x:c r="E14" s="24" t="n">
        <x:v>23.0123639</x:v>
      </x:c>
      <x:c r="F14" s="21" t="n">
        <x:f>'情景参数模板'!$D$6</x:f>
        <x:v>3000</x:v>
      </x:c>
      <x:c r="G14" s="21" t="n">
        <x:f>F14*10%</x:f>
        <x:v>300</x:v>
      </x:c>
      <x:c r="H14" s="21" t="n">
        <x:f>'情景参数模板'!$D$9*10000*('情景参数模板'!$D$36+'情景参数模板'!$D$34)</x:f>
        <x:v>567088.466091226</x:v>
      </x:c>
      <x:c r="I14" s="21" t="n">
        <x:f>'情景参数模板'!$D$15</x:f>
        <x:v>800</x:v>
      </x:c>
      <x:c r="J14" s="17" t="n">
        <x:v>0</x:v>
      </x:c>
      <x:c r="K14" s="17" t="n">
        <x:v>0</x:v>
      </x:c>
      <x:c r="L14" s="17" t="str">
        <x:v>汕尾</x:v>
      </x:c>
      <x:c r="M14" s="17" t="str">
        <x:v>城市级代理</x:v>
      </x:c>
      <x:c r="N14" s="17" t="str">
        <x:v>A-名单或D-虚拟节点；C/D-成本容量</x:v>
      </x:c>
      <x:c r="O14" s="17" t="str">
        <x:v>https://nominatim.openstreetmap.org/</x:v>
      </x:c>
      <x:c r="P14" s="17" t="str">
        <x:v>所有非公开企业字段均为可替换情景值</x:v>
      </x:c>
    </x:row>
    <x:row r="15">
      <x:c r="A15" s="17" t="str">
        <x:v>C11</x:v>
      </x:c>
      <x:c r="B15" s="17" t="str">
        <x:v>东莞虚拟回收/检测中心</x:v>
      </x:c>
      <x:c r="C15" s="17" t="str">
        <x:v>collection</x:v>
      </x:c>
      <x:c r="D15" s="24" t="n">
        <x:v>113.7452332</x:v>
      </x:c>
      <x:c r="E15" s="24" t="n">
        <x:v>23.0183568</x:v>
      </x:c>
      <x:c r="F15" s="21" t="n">
        <x:f>'情景参数模板'!$D$6</x:f>
        <x:v>3000</x:v>
      </x:c>
      <x:c r="G15" s="21" t="n">
        <x:f>F15*10%</x:f>
        <x:v>300</x:v>
      </x:c>
      <x:c r="H15" s="21" t="n">
        <x:f>'情景参数模板'!$D$9*10000*('情景参数模板'!$D$36+'情景参数模板'!$D$34)</x:f>
        <x:v>567088.466091226</x:v>
      </x:c>
      <x:c r="I15" s="21" t="n">
        <x:f>'情景参数模板'!$D$15</x:f>
        <x:v>800</x:v>
      </x:c>
      <x:c r="J15" s="17" t="n">
        <x:v>0</x:v>
      </x:c>
      <x:c r="K15" s="17" t="n">
        <x:v>0</x:v>
      </x:c>
      <x:c r="L15" s="17" t="str">
        <x:v>东莞</x:v>
      </x:c>
      <x:c r="M15" s="17" t="str">
        <x:v>城市级代理</x:v>
      </x:c>
      <x:c r="N15" s="17" t="str">
        <x:v>A-名单或D-虚拟节点；C/D-成本容量</x:v>
      </x:c>
      <x:c r="O15" s="17" t="str">
        <x:v>https://nominatim.openstreetmap.org/</x:v>
      </x:c>
      <x:c r="P15" s="17" t="str">
        <x:v>所有非公开企业字段均为可替换情景值</x:v>
      </x:c>
    </x:row>
    <x:row r="16">
      <x:c r="A16" s="17" t="str">
        <x:v>C12</x:v>
      </x:c>
      <x:c r="B16" s="17" t="str">
        <x:v>中山虚拟回收/检测中心</x:v>
      </x:c>
      <x:c r="C16" s="17" t="str">
        <x:v>collection</x:v>
      </x:c>
      <x:c r="D16" s="24" t="n">
        <x:v>113.3872302</x:v>
      </x:c>
      <x:c r="E16" s="24" t="n">
        <x:v>22.5197073</x:v>
      </x:c>
      <x:c r="F16" s="21" t="n">
        <x:f>'情景参数模板'!$D$6</x:f>
        <x:v>3000</x:v>
      </x:c>
      <x:c r="G16" s="21" t="n">
        <x:f>F16*10%</x:f>
        <x:v>300</x:v>
      </x:c>
      <x:c r="H16" s="21" t="n">
        <x:f>'情景参数模板'!$D$9*10000*('情景参数模板'!$D$36+'情景参数模板'!$D$34)</x:f>
        <x:v>567088.466091226</x:v>
      </x:c>
      <x:c r="I16" s="21" t="n">
        <x:f>'情景参数模板'!$D$15</x:f>
        <x:v>800</x:v>
      </x:c>
      <x:c r="J16" s="17" t="n">
        <x:v>0</x:v>
      </x:c>
      <x:c r="K16" s="17" t="n">
        <x:v>0</x:v>
      </x:c>
      <x:c r="L16" s="17" t="str">
        <x:v>中山</x:v>
      </x:c>
      <x:c r="M16" s="17" t="str">
        <x:v>城市级代理</x:v>
      </x:c>
      <x:c r="N16" s="17" t="str">
        <x:v>A-名单或D-虚拟节点；C/D-成本容量</x:v>
      </x:c>
      <x:c r="O16" s="17" t="str">
        <x:v>https://nominatim.openstreetmap.org/</x:v>
      </x:c>
      <x:c r="P16" s="17" t="str">
        <x:v>所有非公开企业字段均为可替换情景值</x:v>
      </x:c>
    </x:row>
    <x:row r="17">
      <x:c r="A17" s="17" t="str">
        <x:v>C13</x:v>
      </x:c>
      <x:c r="B17" s="17" t="str">
        <x:v>江门虚拟回收/检测中心</x:v>
      </x:c>
      <x:c r="C17" s="17" t="str">
        <x:v>collection</x:v>
      </x:c>
      <x:c r="D17" s="24" t="n">
        <x:v>113.0761073</x:v>
      </x:c>
      <x:c r="E17" s="24" t="n">
        <x:v>22.5816619</x:v>
      </x:c>
      <x:c r="F17" s="21" t="n">
        <x:f>'情景参数模板'!$D$6</x:f>
        <x:v>3000</x:v>
      </x:c>
      <x:c r="G17" s="21" t="n">
        <x:f>F17*10%</x:f>
        <x:v>300</x:v>
      </x:c>
      <x:c r="H17" s="21" t="n">
        <x:f>'情景参数模板'!$D$9*10000*('情景参数模板'!$D$36+'情景参数模板'!$D$34)</x:f>
        <x:v>567088.466091226</x:v>
      </x:c>
      <x:c r="I17" s="21" t="n">
        <x:f>'情景参数模板'!$D$15</x:f>
        <x:v>800</x:v>
      </x:c>
      <x:c r="J17" s="17" t="n">
        <x:v>0</x:v>
      </x:c>
      <x:c r="K17" s="17" t="n">
        <x:v>0</x:v>
      </x:c>
      <x:c r="L17" s="17" t="str">
        <x:v>江门</x:v>
      </x:c>
      <x:c r="M17" s="17" t="str">
        <x:v>城市级代理</x:v>
      </x:c>
      <x:c r="N17" s="17" t="str">
        <x:v>A-名单或D-虚拟节点；C/D-成本容量</x:v>
      </x:c>
      <x:c r="O17" s="17" t="str">
        <x:v>https://nominatim.openstreetmap.org/</x:v>
      </x:c>
      <x:c r="P17" s="17" t="str">
        <x:v>所有非公开企业字段均为可替换情景值</x:v>
      </x:c>
    </x:row>
    <x:row r="18">
      <x:c r="A18" s="17" t="str">
        <x:v>C14</x:v>
      </x:c>
      <x:c r="B18" s="17" t="str">
        <x:v>阳江虚拟回收/检测中心</x:v>
      </x:c>
      <x:c r="C18" s="17" t="str">
        <x:v>collection</x:v>
      </x:c>
      <x:c r="D18" s="24" t="n">
        <x:v>111.7831393</x:v>
      </x:c>
      <x:c r="E18" s="24" t="n">
        <x:v>22.0958223</x:v>
      </x:c>
      <x:c r="F18" s="21" t="n">
        <x:f>'情景参数模板'!$D$6</x:f>
        <x:v>3000</x:v>
      </x:c>
      <x:c r="G18" s="21" t="n">
        <x:f>F18*10%</x:f>
        <x:v>300</x:v>
      </x:c>
      <x:c r="H18" s="21" t="n">
        <x:f>'情景参数模板'!$D$9*10000*('情景参数模板'!$D$36+'情景参数模板'!$D$34)</x:f>
        <x:v>567088.466091226</x:v>
      </x:c>
      <x:c r="I18" s="21" t="n">
        <x:f>'情景参数模板'!$D$15</x:f>
        <x:v>800</x:v>
      </x:c>
      <x:c r="J18" s="17" t="n">
        <x:v>0</x:v>
      </x:c>
      <x:c r="K18" s="17" t="n">
        <x:v>0</x:v>
      </x:c>
      <x:c r="L18" s="17" t="str">
        <x:v>阳江</x:v>
      </x:c>
      <x:c r="M18" s="17" t="str">
        <x:v>城市级代理</x:v>
      </x:c>
      <x:c r="N18" s="17" t="str">
        <x:v>A-名单或D-虚拟节点；C/D-成本容量</x:v>
      </x:c>
      <x:c r="O18" s="17" t="str">
        <x:v>https://nominatim.openstreetmap.org/</x:v>
      </x:c>
      <x:c r="P18" s="17" t="str">
        <x:v>所有非公开企业字段均为可替换情景值</x:v>
      </x:c>
    </x:row>
    <x:row r="19">
      <x:c r="A19" s="17" t="str">
        <x:v>C15</x:v>
      </x:c>
      <x:c r="B19" s="17" t="str">
        <x:v>湛江虚拟回收/检测中心</x:v>
      </x:c>
      <x:c r="C19" s="17" t="str">
        <x:v>collection</x:v>
      </x:c>
      <x:c r="D19" s="24" t="n">
        <x:v>110.3548318</x:v>
      </x:c>
      <x:c r="E19" s="24" t="n">
        <x:v>21.2737079</x:v>
      </x:c>
      <x:c r="F19" s="21" t="n">
        <x:f>'情景参数模板'!$D$6</x:f>
        <x:v>3000</x:v>
      </x:c>
      <x:c r="G19" s="21" t="n">
        <x:f>F19*10%</x:f>
        <x:v>300</x:v>
      </x:c>
      <x:c r="H19" s="21" t="n">
        <x:f>'情景参数模板'!$D$9*10000*('情景参数模板'!$D$36+'情景参数模板'!$D$34)</x:f>
        <x:v>567088.466091226</x:v>
      </x:c>
      <x:c r="I19" s="21" t="n">
        <x:f>'情景参数模板'!$D$15</x:f>
        <x:v>800</x:v>
      </x:c>
      <x:c r="J19" s="17" t="n">
        <x:v>0</x:v>
      </x:c>
      <x:c r="K19" s="17" t="n">
        <x:v>0</x:v>
      </x:c>
      <x:c r="L19" s="17" t="str">
        <x:v>湛江</x:v>
      </x:c>
      <x:c r="M19" s="17" t="str">
        <x:v>城市级代理</x:v>
      </x:c>
      <x:c r="N19" s="17" t="str">
        <x:v>A-名单或D-虚拟节点；C/D-成本容量</x:v>
      </x:c>
      <x:c r="O19" s="17" t="str">
        <x:v>https://nominatim.openstreetmap.org/</x:v>
      </x:c>
      <x:c r="P19" s="17" t="str">
        <x:v>所有非公开企业字段均为可替换情景值</x:v>
      </x:c>
    </x:row>
    <x:row r="20">
      <x:c r="A20" s="17" t="str">
        <x:v>C16</x:v>
      </x:c>
      <x:c r="B20" s="17" t="str">
        <x:v>茂名虚拟回收/检测中心</x:v>
      </x:c>
      <x:c r="C20" s="17" t="str">
        <x:v>collection</x:v>
      </x:c>
      <x:c r="D20" s="24" t="n">
        <x:v>110.9209511</x:v>
      </x:c>
      <x:c r="E20" s="24" t="n">
        <x:v>21.6656961</x:v>
      </x:c>
      <x:c r="F20" s="21" t="n">
        <x:f>'情景参数模板'!$D$6</x:f>
        <x:v>3000</x:v>
      </x:c>
      <x:c r="G20" s="21" t="n">
        <x:f>F20*10%</x:f>
        <x:v>300</x:v>
      </x:c>
      <x:c r="H20" s="21" t="n">
        <x:f>'情景参数模板'!$D$9*10000*('情景参数模板'!$D$36+'情景参数模板'!$D$34)</x:f>
        <x:v>567088.466091226</x:v>
      </x:c>
      <x:c r="I20" s="21" t="n">
        <x:f>'情景参数模板'!$D$15</x:f>
        <x:v>800</x:v>
      </x:c>
      <x:c r="J20" s="17" t="n">
        <x:v>0</x:v>
      </x:c>
      <x:c r="K20" s="17" t="n">
        <x:v>0</x:v>
      </x:c>
      <x:c r="L20" s="17" t="str">
        <x:v>茂名</x:v>
      </x:c>
      <x:c r="M20" s="17" t="str">
        <x:v>城市级代理</x:v>
      </x:c>
      <x:c r="N20" s="17" t="str">
        <x:v>A-名单或D-虚拟节点；C/D-成本容量</x:v>
      </x:c>
      <x:c r="O20" s="17" t="str">
        <x:v>https://nominatim.openstreetmap.org/</x:v>
      </x:c>
      <x:c r="P20" s="17" t="str">
        <x:v>所有非公开企业字段均为可替换情景值</x:v>
      </x:c>
    </x:row>
    <x:row r="21">
      <x:c r="A21" s="17" t="str">
        <x:v>C17</x:v>
      </x:c>
      <x:c r="B21" s="17" t="str">
        <x:v>肇庆虚拟回收/检测中心</x:v>
      </x:c>
      <x:c r="C21" s="17" t="str">
        <x:v>collection</x:v>
      </x:c>
      <x:c r="D21" s="24" t="n">
        <x:v>112.4603629</x:v>
      </x:c>
      <x:c r="E21" s="24" t="n">
        <x:v>23.0501661</x:v>
      </x:c>
      <x:c r="F21" s="21" t="n">
        <x:f>'情景参数模板'!$D$6</x:f>
        <x:v>3000</x:v>
      </x:c>
      <x:c r="G21" s="21" t="n">
        <x:f>F21*10%</x:f>
        <x:v>300</x:v>
      </x:c>
      <x:c r="H21" s="21" t="n">
        <x:f>'情景参数模板'!$D$9*10000*('情景参数模板'!$D$36+'情景参数模板'!$D$34)</x:f>
        <x:v>567088.466091226</x:v>
      </x:c>
      <x:c r="I21" s="21" t="n">
        <x:f>'情景参数模板'!$D$15</x:f>
        <x:v>800</x:v>
      </x:c>
      <x:c r="J21" s="17" t="n">
        <x:v>0</x:v>
      </x:c>
      <x:c r="K21" s="17" t="n">
        <x:v>0</x:v>
      </x:c>
      <x:c r="L21" s="17" t="str">
        <x:v>肇庆</x:v>
      </x:c>
      <x:c r="M21" s="17" t="str">
        <x:v>城市级代理</x:v>
      </x:c>
      <x:c r="N21" s="17" t="str">
        <x:v>A-名单或D-虚拟节点；C/D-成本容量</x:v>
      </x:c>
      <x:c r="O21" s="17" t="str">
        <x:v>https://nominatim.openstreetmap.org/</x:v>
      </x:c>
      <x:c r="P21" s="17" t="str">
        <x:v>所有非公开企业字段均为可替换情景值</x:v>
      </x:c>
    </x:row>
    <x:row r="22">
      <x:c r="A22" s="17" t="str">
        <x:v>C18</x:v>
      </x:c>
      <x:c r="B22" s="17" t="str">
        <x:v>清远虚拟回收/检测中心</x:v>
      </x:c>
      <x:c r="C22" s="17" t="str">
        <x:v>collection</x:v>
      </x:c>
      <x:c r="D22" s="24" t="n">
        <x:v>113.0505994</x:v>
      </x:c>
      <x:c r="E22" s="24" t="n">
        <x:v>23.6832984</x:v>
      </x:c>
      <x:c r="F22" s="21" t="n">
        <x:f>'情景参数模板'!$D$6</x:f>
        <x:v>3000</x:v>
      </x:c>
      <x:c r="G22" s="21" t="n">
        <x:f>F22*10%</x:f>
        <x:v>300</x:v>
      </x:c>
      <x:c r="H22" s="21" t="n">
        <x:f>'情景参数模板'!$D$9*10000*('情景参数模板'!$D$36+'情景参数模板'!$D$34)</x:f>
        <x:v>567088.466091226</x:v>
      </x:c>
      <x:c r="I22" s="21" t="n">
        <x:f>'情景参数模板'!$D$15</x:f>
        <x:v>800</x:v>
      </x:c>
      <x:c r="J22" s="17" t="n">
        <x:v>0</x:v>
      </x:c>
      <x:c r="K22" s="17" t="n">
        <x:v>0</x:v>
      </x:c>
      <x:c r="L22" s="17" t="str">
        <x:v>清远</x:v>
      </x:c>
      <x:c r="M22" s="17" t="str">
        <x:v>城市级代理</x:v>
      </x:c>
      <x:c r="N22" s="17" t="str">
        <x:v>A-名单或D-虚拟节点；C/D-成本容量</x:v>
      </x:c>
      <x:c r="O22" s="17" t="str">
        <x:v>https://nominatim.openstreetmap.org/</x:v>
      </x:c>
      <x:c r="P22" s="17" t="str">
        <x:v>所有非公开企业字段均为可替换情景值</x:v>
      </x:c>
    </x:row>
    <x:row r="23">
      <x:c r="A23" s="17" t="str">
        <x:v>C19</x:v>
      </x:c>
      <x:c r="B23" s="17" t="str">
        <x:v>潮州虚拟回收/检测中心</x:v>
      </x:c>
      <x:c r="C23" s="17" t="str">
        <x:v>collection</x:v>
      </x:c>
      <x:c r="D23" s="24" t="n">
        <x:v>116.6204223</x:v>
      </x:c>
      <x:c r="E23" s="24" t="n">
        <x:v>23.656593</x:v>
      </x:c>
      <x:c r="F23" s="21" t="n">
        <x:f>'情景参数模板'!$D$6</x:f>
        <x:v>3000</x:v>
      </x:c>
      <x:c r="G23" s="21" t="n">
        <x:f>F23*10%</x:f>
        <x:v>300</x:v>
      </x:c>
      <x:c r="H23" s="21" t="n">
        <x:f>'情景参数模板'!$D$9*10000*('情景参数模板'!$D$36+'情景参数模板'!$D$34)</x:f>
        <x:v>567088.466091226</x:v>
      </x:c>
      <x:c r="I23" s="21" t="n">
        <x:f>'情景参数模板'!$D$15</x:f>
        <x:v>800</x:v>
      </x:c>
      <x:c r="J23" s="17" t="n">
        <x:v>0</x:v>
      </x:c>
      <x:c r="K23" s="17" t="n">
        <x:v>0</x:v>
      </x:c>
      <x:c r="L23" s="17" t="str">
        <x:v>潮州</x:v>
      </x:c>
      <x:c r="M23" s="17" t="str">
        <x:v>城市级代理</x:v>
      </x:c>
      <x:c r="N23" s="17" t="str">
        <x:v>A-名单或D-虚拟节点；C/D-成本容量</x:v>
      </x:c>
      <x:c r="O23" s="17" t="str">
        <x:v>https://nominatim.openstreetmap.org/</x:v>
      </x:c>
      <x:c r="P23" s="17" t="str">
        <x:v>所有非公开企业字段均为可替换情景值</x:v>
      </x:c>
    </x:row>
    <x:row r="24">
      <x:c r="A24" s="17" t="str">
        <x:v>C20</x:v>
      </x:c>
      <x:c r="B24" s="17" t="str">
        <x:v>揭阳虚拟回收/检测中心</x:v>
      </x:c>
      <x:c r="C24" s="17" t="str">
        <x:v>collection</x:v>
      </x:c>
      <x:c r="D24" s="24" t="n">
        <x:v>116.3680354</x:v>
      </x:c>
      <x:c r="E24" s="24" t="n">
        <x:v>23.553156</x:v>
      </x:c>
      <x:c r="F24" s="21" t="n">
        <x:f>'情景参数模板'!$D$6</x:f>
        <x:v>3000</x:v>
      </x:c>
      <x:c r="G24" s="21" t="n">
        <x:f>F24*10%</x:f>
        <x:v>300</x:v>
      </x:c>
      <x:c r="H24" s="21" t="n">
        <x:f>'情景参数模板'!$D$9*10000*('情景参数模板'!$D$36+'情景参数模板'!$D$34)</x:f>
        <x:v>567088.466091226</x:v>
      </x:c>
      <x:c r="I24" s="21" t="n">
        <x:f>'情景参数模板'!$D$15</x:f>
        <x:v>800</x:v>
      </x:c>
      <x:c r="J24" s="17" t="n">
        <x:v>0</x:v>
      </x:c>
      <x:c r="K24" s="17" t="n">
        <x:v>0</x:v>
      </x:c>
      <x:c r="L24" s="17" t="str">
        <x:v>揭阳</x:v>
      </x:c>
      <x:c r="M24" s="17" t="str">
        <x:v>城市级代理</x:v>
      </x:c>
      <x:c r="N24" s="17" t="str">
        <x:v>A-名单或D-虚拟节点；C/D-成本容量</x:v>
      </x:c>
      <x:c r="O24" s="17" t="str">
        <x:v>https://nominatim.openstreetmap.org/</x:v>
      </x:c>
      <x:c r="P24" s="17" t="str">
        <x:v>所有非公开企业字段均为可替换情景值</x:v>
      </x:c>
    </x:row>
    <x:row r="25">
      <x:c r="A25" s="17" t="str">
        <x:v>C21</x:v>
      </x:c>
      <x:c r="B25" s="17" t="str">
        <x:v>云浮虚拟回收/检测中心</x:v>
      </x:c>
      <x:c r="C25" s="17" t="str">
        <x:v>collection</x:v>
      </x:c>
      <x:c r="D25" s="24" t="n">
        <x:v>111.8078586</x:v>
      </x:c>
      <x:c r="E25" s="24" t="n">
        <x:v>22.8546663</x:v>
      </x:c>
      <x:c r="F25" s="21" t="n">
        <x:f>'情景参数模板'!$D$6</x:f>
        <x:v>3000</x:v>
      </x:c>
      <x:c r="G25" s="21" t="n">
        <x:f>F25*10%</x:f>
        <x:v>300</x:v>
      </x:c>
      <x:c r="H25" s="21" t="n">
        <x:f>'情景参数模板'!$D$9*10000*('情景参数模板'!$D$36+'情景参数模板'!$D$34)</x:f>
        <x:v>567088.466091226</x:v>
      </x:c>
      <x:c r="I25" s="21" t="n">
        <x:f>'情景参数模板'!$D$15</x:f>
        <x:v>800</x:v>
      </x:c>
      <x:c r="J25" s="17" t="n">
        <x:v>0</x:v>
      </x:c>
      <x:c r="K25" s="17" t="n">
        <x:v>0</x:v>
      </x:c>
      <x:c r="L25" s="17" t="str">
        <x:v>云浮</x:v>
      </x:c>
      <x:c r="M25" s="17" t="str">
        <x:v>城市级代理</x:v>
      </x:c>
      <x:c r="N25" s="17" t="str">
        <x:v>A-名单或D-虚拟节点；C/D-成本容量</x:v>
      </x:c>
      <x:c r="O25" s="17" t="str">
        <x:v>https://nominatim.openstreetmap.org/</x:v>
      </x:c>
      <x:c r="P25" s="17" t="str">
        <x:v>所有非公开企业字段均为可替换情景值</x:v>
      </x:c>
    </x:row>
    <x:row r="26">
      <x:c r="A26" s="17" t="str">
        <x:v>P01</x:v>
      </x:c>
      <x:c r="B26" s="17" t="str">
        <x:v>汕尾比亚迪废旧动力电池回收项目</x:v>
      </x:c>
      <x:c r="C26" s="17" t="str">
        <x:v>recycling</x:v>
      </x:c>
      <x:c r="D26" s="24" t="n">
        <x:v>115.3492668</x:v>
      </x:c>
      <x:c r="E26" s="24" t="n">
        <x:v>22.838065</x:v>
      </x:c>
      <x:c r="F26" s="21" t="n">
        <x:f>10000</x:f>
        <x:v>10000</x:v>
      </x:c>
      <x:c r="G26" s="21" t="n">
        <x:f>F26*10%</x:f>
        <x:v>1000</x:v>
      </x:c>
      <x:c r="H26" s="21" t="n">
        <x:f>'情景参数模板'!$D$35*10000*'情景参数模板'!$D$34</x:f>
        <x:v>1561860</x:v>
      </x:c>
      <x:c r="I26" s="21" t="n">
        <x:f>'情景参数模板'!$D$17</x:f>
        <x:v>12621</x:v>
      </x:c>
      <x:c r="J26" s="17" t="n">
        <x:v>1</x:v>
      </x:c>
      <x:c r="K26" s="17" t="n">
        <x:v>1</x:v>
      </x:c>
      <x:c r="L26" s="17" t="str">
        <x:v>汕尾</x:v>
      </x:c>
      <x:c r="M26" s="17" t="str">
        <x:v>红草镇级代理</x:v>
      </x:c>
      <x:c r="N26" s="17" t="str">
        <x:v>A-容量/投资；D-运营参数</x:v>
      </x:c>
      <x:c r="O26" s="17" t="str">
        <x:v>https://www.shanwei.gov.cn/swhbj/493/506/content/post_526956.html</x:v>
      </x:c>
      <x:c r="P26" s="17" t="str">
        <x:v>既有设施：固定成本仅计4%运维；若研究扩建，另启用新建等价成本</x:v>
      </x:c>
    </x:row>
    <x:row r="27">
      <x:c r="A27" s="17" t="str">
        <x:v>P02E</x:v>
      </x:c>
      <x:c r="B27" s="17" t="str">
        <x:v>广东光华科技股份有限公司（梯次功能）</x:v>
      </x:c>
      <x:c r="C27" s="17" t="str">
        <x:v>echelon</x:v>
      </x:c>
      <x:c r="D27" s="24" t="n">
        <x:v>116.6775856</x:v>
      </x:c>
      <x:c r="E27" s="24" t="n">
        <x:v>23.3563921</x:v>
      </x:c>
      <x:c r="F27" s="21" t="n">
        <x:f>'情景参数模板'!$D$7</x:f>
        <x:v>3000</x:v>
      </x:c>
      <x:c r="G27" s="21" t="n">
        <x:f>F27*10%</x:f>
        <x:v>300</x:v>
      </x:c>
      <x:c r="H27" s="21" t="n">
        <x:f>F27*'情景参数模板'!$D$10*10000*('情景参数模板'!$D$36+'情景参数模板'!$D$34)</x:f>
        <x:v>1417721.165228065</x:v>
      </x:c>
      <x:c r="I27" s="21" t="n">
        <x:f>'情景参数模板'!$D$16</x:f>
        <x:v>5500</x:v>
      </x:c>
      <x:c r="J27" s="17" t="n">
        <x:v>0</x:v>
      </x:c>
      <x:c r="K27" s="17" t="n">
        <x:v>0</x:v>
      </x:c>
      <x:c r="L27" s="17" t="str">
        <x:v>汕头</x:v>
      </x:c>
      <x:c r="M27" s="17" t="str">
        <x:v>城市级代理</x:v>
      </x:c>
      <x:c r="N27" s="17" t="str">
        <x:v>A-名单或D-虚拟节点；C/D-成本容量</x:v>
      </x:c>
      <x:c r="O27" s="17" t="str">
        <x:v>https://www.miit.gov.cn/jgsj/jns/gzdt/art/2020/art_4340b1ff730f47b79c37c62a77f06ef9.html</x:v>
      </x:c>
      <x:c r="P27" s="17" t="str">
        <x:v>所有非公开企业字段均为可替换情景值</x:v>
      </x:c>
    </x:row>
    <x:row r="28">
      <x:c r="A28" s="17" t="str">
        <x:v>P02R</x:v>
      </x:c>
      <x:c r="B28" s="17" t="str">
        <x:v>广东光华科技股份有限公司（再生功能）</x:v>
      </x:c>
      <x:c r="C28" s="17" t="str">
        <x:v>recycling</x:v>
      </x:c>
      <x:c r="D28" s="24" t="n">
        <x:v>116.6775856</x:v>
      </x:c>
      <x:c r="E28" s="24" t="n">
        <x:v>23.3563921</x:v>
      </x:c>
      <x:c r="F28" s="21" t="n">
        <x:f>'情景参数模板'!$D$8</x:f>
        <x:v>10000</x:v>
      </x:c>
      <x:c r="G28" s="21" t="n">
        <x:f>F28*10%</x:f>
        <x:v>1000</x:v>
      </x:c>
      <x:c r="H28" s="21" t="n">
        <x:f>F28*'情景参数模板'!$D$11*10000*('情景参数模板'!$D$36+'情景参数模板'!$D$34)</x:f>
        <x:v>7380939.930410353</x:v>
      </x:c>
      <x:c r="I28" s="21" t="n">
        <x:f>'情景参数模板'!$D$17</x:f>
        <x:v>12621</x:v>
      </x:c>
      <x:c r="J28" s="17" t="n">
        <x:v>0</x:v>
      </x:c>
      <x:c r="K28" s="17" t="n">
        <x:v>0</x:v>
      </x:c>
      <x:c r="L28" s="17" t="str">
        <x:v>汕头</x:v>
      </x:c>
      <x:c r="M28" s="17" t="str">
        <x:v>城市级代理</x:v>
      </x:c>
      <x:c r="N28" s="17" t="str">
        <x:v>A-名单或D-虚拟节点；C/D-成本容量</x:v>
      </x:c>
      <x:c r="O28" s="17" t="str">
        <x:v>https://www.miit.gov.cn/jgsj/jns/gzdt/art/2020/art_4340b1ff730f47b79c37c62a77f06ef9.html</x:v>
      </x:c>
      <x:c r="P28" s="17" t="str">
        <x:v>所有非公开企业字段均为可替换情景值</x:v>
      </x:c>
    </x:row>
    <x:row r="29">
      <x:c r="A29" s="17" t="str">
        <x:v>P03</x:v>
      </x:c>
      <x:c r="B29" s="17" t="str">
        <x:v>深圳深汕特别合作区乾泰技术有限公司</x:v>
      </x:c>
      <x:c r="C29" s="17" t="str">
        <x:v>echelon</x:v>
      </x:c>
      <x:c r="D29" s="24" t="n">
        <x:v>115.5099937</x:v>
      </x:c>
      <x:c r="E29" s="24" t="n">
        <x:v>23.0123639</x:v>
      </x:c>
      <x:c r="F29" s="21" t="n">
        <x:f>'情景参数模板'!$D$7</x:f>
        <x:v>3000</x:v>
      </x:c>
      <x:c r="G29" s="21" t="n">
        <x:f>F29*10%</x:f>
        <x:v>300</x:v>
      </x:c>
      <x:c r="H29" s="21" t="n">
        <x:f>F29*'情景参数模板'!$D$10*10000*('情景参数模板'!$D$36+'情景参数模板'!$D$34)</x:f>
        <x:v>1417721.165228065</x:v>
      </x:c>
      <x:c r="I29" s="21" t="n">
        <x:f>'情景参数模板'!$D$16</x:f>
        <x:v>5500</x:v>
      </x:c>
      <x:c r="J29" s="17" t="n">
        <x:v>0</x:v>
      </x:c>
      <x:c r="K29" s="17" t="n">
        <x:v>0</x:v>
      </x:c>
      <x:c r="L29" s="17" t="str">
        <x:v>汕尾</x:v>
      </x:c>
      <x:c r="M29" s="17" t="str">
        <x:v>城市级代理</x:v>
      </x:c>
      <x:c r="N29" s="17" t="str">
        <x:v>A-名单或D-虚拟节点；C/D-成本容量</x:v>
      </x:c>
      <x:c r="O29" s="17" t="str">
        <x:v>https://wap.miit.gov.cn/jgsj/jns/gzdt/art/2021/art_d84563327a33454f9f54d164cfde859b.html</x:v>
      </x:c>
      <x:c r="P29" s="17" t="str">
        <x:v>所有非公开企业字段均为可替换情景值</x:v>
      </x:c>
    </x:row>
    <x:row r="30">
      <x:c r="A30" s="17" t="str">
        <x:v>P04</x:v>
      </x:c>
      <x:c r="B30" s="17" t="str">
        <x:v>珠海中力新能源科技有限公司</x:v>
      </x:c>
      <x:c r="C30" s="17" t="str">
        <x:v>echelon</x:v>
      </x:c>
      <x:c r="D30" s="24" t="n">
        <x:v>113.5721327</x:v>
      </x:c>
      <x:c r="E30" s="24" t="n">
        <x:v>22.273734</x:v>
      </x:c>
      <x:c r="F30" s="21" t="n">
        <x:f>'情景参数模板'!$D$7</x:f>
        <x:v>3000</x:v>
      </x:c>
      <x:c r="G30" s="21" t="n">
        <x:f>F30*10%</x:f>
        <x:v>300</x:v>
      </x:c>
      <x:c r="H30" s="21" t="n">
        <x:f>F30*'情景参数模板'!$D$10*10000*('情景参数模板'!$D$36+'情景参数模板'!$D$34)</x:f>
        <x:v>1417721.165228065</x:v>
      </x:c>
      <x:c r="I30" s="21" t="n">
        <x:f>'情景参数模板'!$D$16</x:f>
        <x:v>5500</x:v>
      </x:c>
      <x:c r="J30" s="17" t="n">
        <x:v>0</x:v>
      </x:c>
      <x:c r="K30" s="17" t="n">
        <x:v>0</x:v>
      </x:c>
      <x:c r="L30" s="17" t="str">
        <x:v>珠海</x:v>
      </x:c>
      <x:c r="M30" s="17" t="str">
        <x:v>城市级代理</x:v>
      </x:c>
      <x:c r="N30" s="17" t="str">
        <x:v>A-名单或D-虚拟节点；C/D-成本容量</x:v>
      </x:c>
      <x:c r="O30" s="17" t="str">
        <x:v>https://wap.miit.gov.cn/jgsj/jns/gzdt/art/2021/art_d84563327a33454f9f54d164cfde859b.html</x:v>
      </x:c>
      <x:c r="P30" s="17" t="str">
        <x:v>所有非公开企业字段均为可替换情景值</x:v>
      </x:c>
    </x:row>
    <x:row r="31">
      <x:c r="A31" s="17" t="str">
        <x:v>P05</x:v>
      </x:c>
      <x:c r="B31" s="17" t="str">
        <x:v>惠州市恒创睿能环保科技有限公司</x:v>
      </x:c>
      <x:c r="C31" s="17" t="str">
        <x:v>echelon</x:v>
      </x:c>
      <x:c r="D31" s="24" t="n">
        <x:v>114.4127007</x:v>
      </x:c>
      <x:c r="E31" s="24" t="n">
        <x:v>23.1125153</x:v>
      </x:c>
      <x:c r="F31" s="21" t="n">
        <x:f>'情景参数模板'!$D$7</x:f>
        <x:v>3000</x:v>
      </x:c>
      <x:c r="G31" s="21" t="n">
        <x:f>F31*10%</x:f>
        <x:v>300</x:v>
      </x:c>
      <x:c r="H31" s="21" t="n">
        <x:f>F31*'情景参数模板'!$D$10*10000*('情景参数模板'!$D$36+'情景参数模板'!$D$34)</x:f>
        <x:v>1417721.165228065</x:v>
      </x:c>
      <x:c r="I31" s="21" t="n">
        <x:f>'情景参数模板'!$D$16</x:f>
        <x:v>5500</x:v>
      </x:c>
      <x:c r="J31" s="17" t="n">
        <x:v>0</x:v>
      </x:c>
      <x:c r="K31" s="17" t="n">
        <x:v>0</x:v>
      </x:c>
      <x:c r="L31" s="17" t="str">
        <x:v>惠州</x:v>
      </x:c>
      <x:c r="M31" s="17" t="str">
        <x:v>城市级代理</x:v>
      </x:c>
      <x:c r="N31" s="17" t="str">
        <x:v>A-名单或D-虚拟节点；C/D-成本容量</x:v>
      </x:c>
      <x:c r="O31" s="17" t="str">
        <x:v>https://wap.miit.gov.cn/jgsj/jns/gzdt/art/2021/art_d84563327a33454f9f54d164cfde859b.html</x:v>
      </x:c>
      <x:c r="P31" s="17" t="str">
        <x:v>所有非公开企业字段均为可替换情景值</x:v>
      </x:c>
    </x:row>
    <x:row r="32">
      <x:c r="A32" s="17" t="str">
        <x:v>P06</x:v>
      </x:c>
      <x:c r="B32" s="17" t="str">
        <x:v>江门市朗达锂电池有限公司</x:v>
      </x:c>
      <x:c r="C32" s="17" t="str">
        <x:v>echelon</x:v>
      </x:c>
      <x:c r="D32" s="24" t="n">
        <x:v>113.0761073</x:v>
      </x:c>
      <x:c r="E32" s="24" t="n">
        <x:v>22.5816619</x:v>
      </x:c>
      <x:c r="F32" s="21" t="n">
        <x:f>'情景参数模板'!$D$7</x:f>
        <x:v>3000</x:v>
      </x:c>
      <x:c r="G32" s="21" t="n">
        <x:f>F32*10%</x:f>
        <x:v>300</x:v>
      </x:c>
      <x:c r="H32" s="21" t="n">
        <x:f>F32*'情景参数模板'!$D$10*10000*('情景参数模板'!$D$36+'情景参数模板'!$D$34)</x:f>
        <x:v>1417721.165228065</x:v>
      </x:c>
      <x:c r="I32" s="21" t="n">
        <x:f>'情景参数模板'!$D$16</x:f>
        <x:v>5500</x:v>
      </x:c>
      <x:c r="J32" s="17" t="n">
        <x:v>0</x:v>
      </x:c>
      <x:c r="K32" s="17" t="n">
        <x:v>0</x:v>
      </x:c>
      <x:c r="L32" s="17" t="str">
        <x:v>江门</x:v>
      </x:c>
      <x:c r="M32" s="17" t="str">
        <x:v>城市级代理</x:v>
      </x:c>
      <x:c r="N32" s="17" t="str">
        <x:v>A-名单或D-虚拟节点；C/D-成本容量</x:v>
      </x:c>
      <x:c r="O32" s="17" t="str">
        <x:v>https://www.miit.gov.cn/jgsj/jns/zhlyh/art/2021/art_617843b5857c463dac604b8ef8f19ba9.html</x:v>
      </x:c>
      <x:c r="P32" s="17" t="str">
        <x:v>所有非公开企业字段均为可替换情景值</x:v>
      </x:c>
    </x:row>
    <x:row r="33">
      <x:c r="A33" s="17" t="str">
        <x:v>P07</x:v>
      </x:c>
      <x:c r="B33" s="17" t="str">
        <x:v>广东迪度新能源有限公司</x:v>
      </x:c>
      <x:c r="C33" s="17" t="str">
        <x:v>echelon</x:v>
      </x:c>
      <x:c r="D33" s="24" t="n">
        <x:v>113.7452332</x:v>
      </x:c>
      <x:c r="E33" s="24" t="n">
        <x:v>23.0183568</x:v>
      </x:c>
      <x:c r="F33" s="21" t="n">
        <x:f>'情景参数模板'!$D$7</x:f>
        <x:v>3000</x:v>
      </x:c>
      <x:c r="G33" s="21" t="n">
        <x:f>F33*10%</x:f>
        <x:v>300</x:v>
      </x:c>
      <x:c r="H33" s="21" t="n">
        <x:f>F33*'情景参数模板'!$D$10*10000*('情景参数模板'!$D$36+'情景参数模板'!$D$34)</x:f>
        <x:v>1417721.165228065</x:v>
      </x:c>
      <x:c r="I33" s="21" t="n">
        <x:f>'情景参数模板'!$D$16</x:f>
        <x:v>5500</x:v>
      </x:c>
      <x:c r="J33" s="17" t="n">
        <x:v>0</x:v>
      </x:c>
      <x:c r="K33" s="17" t="n">
        <x:v>0</x:v>
      </x:c>
      <x:c r="L33" s="17" t="str">
        <x:v>东莞</x:v>
      </x:c>
      <x:c r="M33" s="17" t="str">
        <x:v>城市级代理</x:v>
      </x:c>
      <x:c r="N33" s="17" t="str">
        <x:v>A-名单或D-虚拟节点；C/D-成本容量</x:v>
      </x:c>
      <x:c r="O33" s="17" t="str">
        <x:v>https://www.miit.gov.cn/jgsj/jns/zhlyh/art/2021/art_617843b5857c463dac604b8ef8f19ba9.html</x:v>
      </x:c>
      <x:c r="P33" s="17" t="str">
        <x:v>所有非公开企业字段均为可替换情景值</x:v>
      </x:c>
    </x:row>
    <x:row r="34">
      <x:c r="A34" s="17" t="str">
        <x:v>P08</x:v>
      </x:c>
      <x:c r="B34" s="17" t="str">
        <x:v>东莞市博森新能源有限公司</x:v>
      </x:c>
      <x:c r="C34" s="17" t="str">
        <x:v>echelon</x:v>
      </x:c>
      <x:c r="D34" s="24" t="n">
        <x:v>113.7452332</x:v>
      </x:c>
      <x:c r="E34" s="24" t="n">
        <x:v>23.0183568</x:v>
      </x:c>
      <x:c r="F34" s="21" t="n">
        <x:f>'情景参数模板'!$D$7</x:f>
        <x:v>3000</x:v>
      </x:c>
      <x:c r="G34" s="21" t="n">
        <x:f>F34*10%</x:f>
        <x:v>300</x:v>
      </x:c>
      <x:c r="H34" s="21" t="n">
        <x:f>F34*'情景参数模板'!$D$10*10000*('情景参数模板'!$D$36+'情景参数模板'!$D$34)</x:f>
        <x:v>1417721.165228065</x:v>
      </x:c>
      <x:c r="I34" s="21" t="n">
        <x:f>'情景参数模板'!$D$16</x:f>
        <x:v>5500</x:v>
      </x:c>
      <x:c r="J34" s="17" t="n">
        <x:v>0</x:v>
      </x:c>
      <x:c r="K34" s="17" t="n">
        <x:v>0</x:v>
      </x:c>
      <x:c r="L34" s="17" t="str">
        <x:v>东莞</x:v>
      </x:c>
      <x:c r="M34" s="17" t="str">
        <x:v>城市级代理</x:v>
      </x:c>
      <x:c r="N34" s="17" t="str">
        <x:v>A-名单或D-虚拟节点；C/D-成本容量</x:v>
      </x:c>
      <x:c r="O34" s="17" t="str">
        <x:v>https://www.miit.gov.cn/zwgk/zcwj/wjfb/gg/art/2022/art_751a83c5cae9443087ecfc5cb16e3be5.html</x:v>
      </x:c>
      <x:c r="P34" s="17" t="str">
        <x:v>所有非公开企业字段均为可替换情景值</x:v>
      </x:c>
    </x:row>
    <x:row r="35">
      <x:c r="A35" s="17" t="str">
        <x:v>P09</x:v>
      </x:c>
      <x:c r="B35" s="17" t="str">
        <x:v>广东宇阳新能源有限公司</x:v>
      </x:c>
      <x:c r="C35" s="17" t="str">
        <x:v>echelon</x:v>
      </x:c>
      <x:c r="D35" s="24" t="n">
        <x:v>113.7452332</x:v>
      </x:c>
      <x:c r="E35" s="24" t="n">
        <x:v>23.0183568</x:v>
      </x:c>
      <x:c r="F35" s="21" t="n">
        <x:f>'情景参数模板'!$D$7</x:f>
        <x:v>3000</x:v>
      </x:c>
      <x:c r="G35" s="21" t="n">
        <x:f>F35*10%</x:f>
        <x:v>300</x:v>
      </x:c>
      <x:c r="H35" s="21" t="n">
        <x:f>F35*'情景参数模板'!$D$10*10000*('情景参数模板'!$D$36+'情景参数模板'!$D$34)</x:f>
        <x:v>1417721.165228065</x:v>
      </x:c>
      <x:c r="I35" s="21" t="n">
        <x:f>'情景参数模板'!$D$16</x:f>
        <x:v>5500</x:v>
      </x:c>
      <x:c r="J35" s="17" t="n">
        <x:v>0</x:v>
      </x:c>
      <x:c r="K35" s="17" t="n">
        <x:v>0</x:v>
      </x:c>
      <x:c r="L35" s="17" t="str">
        <x:v>东莞</x:v>
      </x:c>
      <x:c r="M35" s="17" t="str">
        <x:v>城市级代理</x:v>
      </x:c>
      <x:c r="N35" s="17" t="str">
        <x:v>A-名单或D-虚拟节点；C/D-成本容量</x:v>
      </x:c>
      <x:c r="O35" s="17" t="str">
        <x:v>https://www.miit.gov.cn/zwgk/zcwj/wjfb/gg/art/2022/art_751a83c5cae9443087ecfc5cb16e3be5.html</x:v>
      </x:c>
      <x:c r="P35" s="17" t="str">
        <x:v>所有非公开企业字段均为可替换情景值</x:v>
      </x:c>
    </x:row>
    <x:row r="36">
      <x:c r="A36" s="17" t="str">
        <x:v>P10</x:v>
      </x:c>
      <x:c r="B36" s="17" t="str">
        <x:v>广州广汽商贸再生资源有限公司</x:v>
      </x:c>
      <x:c r="C36" s="17" t="str">
        <x:v>echelon</x:v>
      </x:c>
      <x:c r="D36" s="24" t="n">
        <x:v>113.2589581</x:v>
      </x:c>
      <x:c r="E36" s="24" t="n">
        <x:v>23.1288429</x:v>
      </x:c>
      <x:c r="F36" s="21" t="n">
        <x:f>'情景参数模板'!$D$7</x:f>
        <x:v>3000</x:v>
      </x:c>
      <x:c r="G36" s="21" t="n">
        <x:f>F36*10%</x:f>
        <x:v>300</x:v>
      </x:c>
      <x:c r="H36" s="21" t="n">
        <x:f>F36*'情景参数模板'!$D$10*10000*('情景参数模板'!$D$36+'情景参数模板'!$D$34)</x:f>
        <x:v>1417721.165228065</x:v>
      </x:c>
      <x:c r="I36" s="21" t="n">
        <x:f>'情景参数模板'!$D$16</x:f>
        <x:v>5500</x:v>
      </x:c>
      <x:c r="J36" s="17" t="n">
        <x:v>0</x:v>
      </x:c>
      <x:c r="K36" s="17" t="n">
        <x:v>0</x:v>
      </x:c>
      <x:c r="L36" s="17" t="str">
        <x:v>广州</x:v>
      </x:c>
      <x:c r="M36" s="17" t="str">
        <x:v>城市级代理</x:v>
      </x:c>
      <x:c r="N36" s="17" t="str">
        <x:v>A-名单或D-虚拟节点；C/D-成本容量</x:v>
      </x:c>
      <x:c r="O36" s="17" t="str">
        <x:v>https://www.miit.gov.cn/zwgk/zcwj/wjfb/gg/art/2022/art_751a83c5cae9443087ecfc5cb16e3be5.html</x:v>
      </x:c>
      <x:c r="P36" s="17" t="str">
        <x:v>所有非公开企业字段均为可替换情景值</x:v>
      </x:c>
    </x:row>
    <x:row r="37">
      <x:c r="A37" s="17" t="str">
        <x:v>P11</x:v>
      </x:c>
      <x:c r="B37" s="17" t="str">
        <x:v>深圳市杰成镍钴新能源科技有限公司</x:v>
      </x:c>
      <x:c r="C37" s="17" t="str">
        <x:v>echelon</x:v>
      </x:c>
      <x:c r="D37" s="24" t="n">
        <x:v>114.0545429</x:v>
      </x:c>
      <x:c r="E37" s="24" t="n">
        <x:v>22.5445741</x:v>
      </x:c>
      <x:c r="F37" s="21" t="n">
        <x:f>'情景参数模板'!$D$7</x:f>
        <x:v>3000</x:v>
      </x:c>
      <x:c r="G37" s="21" t="n">
        <x:f>F37*10%</x:f>
        <x:v>300</x:v>
      </x:c>
      <x:c r="H37" s="21" t="n">
        <x:f>F37*'情景参数模板'!$D$10*10000*('情景参数模板'!$D$36+'情景参数模板'!$D$34)</x:f>
        <x:v>1417721.165228065</x:v>
      </x:c>
      <x:c r="I37" s="21" t="n">
        <x:f>'情景参数模板'!$D$16</x:f>
        <x:v>5500</x:v>
      </x:c>
      <x:c r="J37" s="17" t="n">
        <x:v>0</x:v>
      </x:c>
      <x:c r="K37" s="17" t="n">
        <x:v>0</x:v>
      </x:c>
      <x:c r="L37" s="17" t="str">
        <x:v>深圳</x:v>
      </x:c>
      <x:c r="M37" s="17" t="str">
        <x:v>城市级代理</x:v>
      </x:c>
      <x:c r="N37" s="17" t="str">
        <x:v>A-名单或D-虚拟节点；C/D-成本容量</x:v>
      </x:c>
      <x:c r="O37" s="17" t="str">
        <x:v>https://www.miit.gov.cn/zwgk/zcwj/wjfb/gg/art/2022/art_751a83c5cae9443087ecfc5cb16e3be5.html</x:v>
      </x:c>
      <x:c r="P37" s="17" t="str">
        <x:v>所有非公开企业字段均为可替换情景值</x:v>
      </x:c>
    </x:row>
    <x:row r="38">
      <x:c r="A38" s="17" t="str">
        <x:v>P12</x:v>
      </x:c>
      <x:c r="B38" s="17" t="str">
        <x:v>江门市恒创睿能环保科技有限公司</x:v>
      </x:c>
      <x:c r="C38" s="17" t="str">
        <x:v>recycling</x:v>
      </x:c>
      <x:c r="D38" s="24" t="n">
        <x:v>113.0761073</x:v>
      </x:c>
      <x:c r="E38" s="24" t="n">
        <x:v>22.5816619</x:v>
      </x:c>
      <x:c r="F38" s="21" t="n">
        <x:f>'情景参数模板'!$D$8</x:f>
        <x:v>10000</x:v>
      </x:c>
      <x:c r="G38" s="21" t="n">
        <x:f>F38*10%</x:f>
        <x:v>1000</x:v>
      </x:c>
      <x:c r="H38" s="21" t="n">
        <x:f>F38*'情景参数模板'!$D$11*10000*('情景参数模板'!$D$36+'情景参数模板'!$D$34)</x:f>
        <x:v>7380939.930410353</x:v>
      </x:c>
      <x:c r="I38" s="21" t="n">
        <x:f>'情景参数模板'!$D$17</x:f>
        <x:v>12621</x:v>
      </x:c>
      <x:c r="J38" s="17" t="n">
        <x:v>0</x:v>
      </x:c>
      <x:c r="K38" s="17" t="n">
        <x:v>0</x:v>
      </x:c>
      <x:c r="L38" s="17" t="str">
        <x:v>江门</x:v>
      </x:c>
      <x:c r="M38" s="17" t="str">
        <x:v>城市级代理</x:v>
      </x:c>
      <x:c r="N38" s="17" t="str">
        <x:v>A-名单或D-虚拟节点；C/D-成本容量</x:v>
      </x:c>
      <x:c r="O38" s="17" t="str">
        <x:v>https://wap.miit.gov.cn/jgsj/jns/gzdt/art/2021/art_d84563327a33454f9f54d164cfde859b.html</x:v>
      </x:c>
      <x:c r="P38" s="17" t="str">
        <x:v>所有非公开企业字段均为可替换情景值</x:v>
      </x:c>
    </x:row>
    <x:row r="39">
      <x:c r="A39" s="17" t="str">
        <x:v>P13</x:v>
      </x:c>
      <x:c r="B39" s="17" t="str">
        <x:v>广东佳纳能源科技有限公司</x:v>
      </x:c>
      <x:c r="C39" s="17" t="str">
        <x:v>recycling</x:v>
      </x:c>
      <x:c r="D39" s="24" t="n">
        <x:v>113.0505994</x:v>
      </x:c>
      <x:c r="E39" s="24" t="n">
        <x:v>23.6832984</x:v>
      </x:c>
      <x:c r="F39" s="21" t="n">
        <x:f>'情景参数模板'!$D$8</x:f>
        <x:v>10000</x:v>
      </x:c>
      <x:c r="G39" s="21" t="n">
        <x:f>F39*10%</x:f>
        <x:v>1000</x:v>
      </x:c>
      <x:c r="H39" s="21" t="n">
        <x:f>F39*'情景参数模板'!$D$11*10000*('情景参数模板'!$D$36+'情景参数模板'!$D$34)</x:f>
        <x:v>7380939.930410353</x:v>
      </x:c>
      <x:c r="I39" s="21" t="n">
        <x:f>'情景参数模板'!$D$17</x:f>
        <x:v>12621</x:v>
      </x:c>
      <x:c r="J39" s="17" t="n">
        <x:v>0</x:v>
      </x:c>
      <x:c r="K39" s="17" t="n">
        <x:v>0</x:v>
      </x:c>
      <x:c r="L39" s="17" t="str">
        <x:v>清远</x:v>
      </x:c>
      <x:c r="M39" s="17" t="str">
        <x:v>城市级代理</x:v>
      </x:c>
      <x:c r="N39" s="17" t="str">
        <x:v>A-名单或D-虚拟节点；C/D-成本容量</x:v>
      </x:c>
      <x:c r="O39" s="17" t="str">
        <x:v>https://wap.miit.gov.cn/jgsj/jns/gzdt/art/2021/art_d84563327a33454f9f54d164cfde859b.html</x:v>
      </x:c>
      <x:c r="P39" s="17" t="str">
        <x:v>所有非公开企业字段均为可替换情景值</x:v>
      </x:c>
    </x:row>
    <x:row r="40">
      <x:c r="A40" s="17" t="str">
        <x:v>P14</x:v>
      </x:c>
      <x:c r="B40" s="17" t="str">
        <x:v>格林美（深圳）循环科技有限公司</x:v>
      </x:c>
      <x:c r="C40" s="17" t="str">
        <x:v>echelon</x:v>
      </x:c>
      <x:c r="D40" s="24" t="n">
        <x:v>114.0545429</x:v>
      </x:c>
      <x:c r="E40" s="24" t="n">
        <x:v>22.5445741</x:v>
      </x:c>
      <x:c r="F40" s="21" t="n">
        <x:f>'情景参数模板'!$D$7</x:f>
        <x:v>3000</x:v>
      </x:c>
      <x:c r="G40" s="21" t="n">
        <x:f>F40*10%</x:f>
        <x:v>300</x:v>
      </x:c>
      <x:c r="H40" s="21" t="n">
        <x:f>F40*'情景参数模板'!$D$10*10000*('情景参数模板'!$D$36+'情景参数模板'!$D$34)</x:f>
        <x:v>1417721.165228065</x:v>
      </x:c>
      <x:c r="I40" s="21" t="n">
        <x:f>'情景参数模板'!$D$16</x:f>
        <x:v>5500</x:v>
      </x:c>
      <x:c r="J40" s="17" t="n">
        <x:v>0</x:v>
      </x:c>
      <x:c r="K40" s="17" t="n">
        <x:v>0</x:v>
      </x:c>
      <x:c r="L40" s="17" t="str">
        <x:v>深圳</x:v>
      </x:c>
      <x:c r="M40" s="17" t="str">
        <x:v>城市级代理</x:v>
      </x:c>
      <x:c r="N40" s="17" t="str">
        <x:v>A-名单或D-虚拟节点；C/D-成本容量</x:v>
      </x:c>
      <x:c r="O40" s="17" t="str">
        <x:v>https://www.miit.gov.cn/cms_files/filemanager/1226211233/attach/20238/77f5d7ade1bf4ca9b32ac9e430e2725d.pdf</x:v>
      </x:c>
      <x:c r="P40" s="17" t="str">
        <x:v>所有非公开企业字段均为可替换情景值</x:v>
      </x:c>
    </x:row>
    <x:row r="41">
      <x:c r="A41" s="17" t="str">
        <x:v>P15</x:v>
      </x:c>
      <x:c r="B41" s="17" t="str">
        <x:v>绿循新能源科技（佛山）有限责任公司</x:v>
      </x:c>
      <x:c r="C41" s="17" t="str">
        <x:v>echelon</x:v>
      </x:c>
      <x:c r="D41" s="24" t="n">
        <x:v>113.1159558</x:v>
      </x:c>
      <x:c r="E41" s="24" t="n">
        <x:v>23.0239788</x:v>
      </x:c>
      <x:c r="F41" s="21" t="n">
        <x:f>'情景参数模板'!$D$7</x:f>
        <x:v>3000</x:v>
      </x:c>
      <x:c r="G41" s="21" t="n">
        <x:f>F41*10%</x:f>
        <x:v>300</x:v>
      </x:c>
      <x:c r="H41" s="21" t="n">
        <x:f>F41*'情景参数模板'!$D$10*10000*('情景参数模板'!$D$36+'情景参数模板'!$D$34)</x:f>
        <x:v>1417721.165228065</x:v>
      </x:c>
      <x:c r="I41" s="21" t="n">
        <x:f>'情景参数模板'!$D$16</x:f>
        <x:v>5500</x:v>
      </x:c>
      <x:c r="J41" s="17" t="n">
        <x:v>0</x:v>
      </x:c>
      <x:c r="K41" s="17" t="n">
        <x:v>0</x:v>
      </x:c>
      <x:c r="L41" s="17" t="str">
        <x:v>佛山</x:v>
      </x:c>
      <x:c r="M41" s="17" t="str">
        <x:v>城市级代理</x:v>
      </x:c>
      <x:c r="N41" s="17" t="str">
        <x:v>A-名单或D-虚拟节点；C/D-成本容量</x:v>
      </x:c>
      <x:c r="O41" s="17" t="str">
        <x:v>https://www.miit.gov.cn/cms_files/filemanager/1226211233/attach/20238/77f5d7ade1bf4ca9b32ac9e430e2725d.pdf</x:v>
      </x:c>
      <x:c r="P41" s="17" t="str">
        <x:v>所有非公开企业字段均为可替换情景值</x:v>
      </x:c>
    </x:row>
    <x:row r="42">
      <x:c r="A42" s="17" t="str">
        <x:v>P16</x:v>
      </x:c>
      <x:c r="B42" s="17" t="str">
        <x:v>深圳艾云动智慧科技有限公司</x:v>
      </x:c>
      <x:c r="C42" s="17" t="str">
        <x:v>echelon</x:v>
      </x:c>
      <x:c r="D42" s="24" t="n">
        <x:v>114.0545429</x:v>
      </x:c>
      <x:c r="E42" s="24" t="n">
        <x:v>22.5445741</x:v>
      </x:c>
      <x:c r="F42" s="21" t="n">
        <x:f>'情景参数模板'!$D$7</x:f>
        <x:v>3000</x:v>
      </x:c>
      <x:c r="G42" s="21" t="n">
        <x:f>F42*10%</x:f>
        <x:v>300</x:v>
      </x:c>
      <x:c r="H42" s="21" t="n">
        <x:f>F42*'情景参数模板'!$D$10*10000*('情景参数模板'!$D$36+'情景参数模板'!$D$34)</x:f>
        <x:v>1417721.165228065</x:v>
      </x:c>
      <x:c r="I42" s="21" t="n">
        <x:f>'情景参数模板'!$D$16</x:f>
        <x:v>5500</x:v>
      </x:c>
      <x:c r="J42" s="17" t="n">
        <x:v>0</x:v>
      </x:c>
      <x:c r="K42" s="17" t="n">
        <x:v>0</x:v>
      </x:c>
      <x:c r="L42" s="17" t="str">
        <x:v>深圳</x:v>
      </x:c>
      <x:c r="M42" s="17" t="str">
        <x:v>城市级代理</x:v>
      </x:c>
      <x:c r="N42" s="17" t="str">
        <x:v>A-名单或D-虚拟节点；C/D-成本容量</x:v>
      </x:c>
      <x:c r="O42" s="17" t="str">
        <x:v>https://www.miit.gov.cn/cms_files/filemanager/1226211233/attach/20238/77f5d7ade1bf4ca9b32ac9e430e2725d.pdf</x:v>
      </x:c>
      <x:c r="P42" s="17" t="str">
        <x:v>所有非公开企业字段均为可替换情景值</x:v>
      </x:c>
    </x:row>
    <x:row r="43">
      <x:c r="A43" s="17" t="str">
        <x:v>P17</x:v>
      </x:c>
      <x:c r="B43" s="17" t="str">
        <x:v>深圳市荣高晟新能源科技有限公司</x:v>
      </x:c>
      <x:c r="C43" s="17" t="str">
        <x:v>echelon</x:v>
      </x:c>
      <x:c r="D43" s="24" t="n">
        <x:v>114.0545429</x:v>
      </x:c>
      <x:c r="E43" s="24" t="n">
        <x:v>22.5445741</x:v>
      </x:c>
      <x:c r="F43" s="21" t="n">
        <x:f>'情景参数模板'!$D$7</x:f>
        <x:v>3000</x:v>
      </x:c>
      <x:c r="G43" s="21" t="n">
        <x:f>F43*10%</x:f>
        <x:v>300</x:v>
      </x:c>
      <x:c r="H43" s="21" t="n">
        <x:f>F43*'情景参数模板'!$D$10*10000*('情景参数模板'!$D$36+'情景参数模板'!$D$34)</x:f>
        <x:v>1417721.165228065</x:v>
      </x:c>
      <x:c r="I43" s="21" t="n">
        <x:f>'情景参数模板'!$D$16</x:f>
        <x:v>5500</x:v>
      </x:c>
      <x:c r="J43" s="17" t="n">
        <x:v>0</x:v>
      </x:c>
      <x:c r="K43" s="17" t="n">
        <x:v>0</x:v>
      </x:c>
      <x:c r="L43" s="17" t="str">
        <x:v>深圳</x:v>
      </x:c>
      <x:c r="M43" s="17" t="str">
        <x:v>城市级代理</x:v>
      </x:c>
      <x:c r="N43" s="17" t="str">
        <x:v>A-名单或D-虚拟节点；C/D-成本容量</x:v>
      </x:c>
      <x:c r="O43" s="17" t="str">
        <x:v>https://www.miit.gov.cn/cms_files/filemanager/1226211233/attach/20238/77f5d7ade1bf4ca9b32ac9e430e2725d.pdf</x:v>
      </x:c>
      <x:c r="P43" s="17" t="str">
        <x:v>所有非公开企业字段均为可替换情景值</x:v>
      </x:c>
    </x:row>
    <x:row r="44">
      <x:c r="A44" s="17" t="str">
        <x:v>P18</x:v>
      </x:c>
      <x:c r="B44" s="17" t="str">
        <x:v>中商锂新能源科技（惠州）有限公司</x:v>
      </x:c>
      <x:c r="C44" s="17" t="str">
        <x:v>echelon</x:v>
      </x:c>
      <x:c r="D44" s="24" t="n">
        <x:v>114.4127007</x:v>
      </x:c>
      <x:c r="E44" s="24" t="n">
        <x:v>23.1125153</x:v>
      </x:c>
      <x:c r="F44" s="21" t="n">
        <x:f>'情景参数模板'!$D$7</x:f>
        <x:v>3000</x:v>
      </x:c>
      <x:c r="G44" s="21" t="n">
        <x:f>F44*10%</x:f>
        <x:v>300</x:v>
      </x:c>
      <x:c r="H44" s="21" t="n">
        <x:f>F44*'情景参数模板'!$D$10*10000*('情景参数模板'!$D$36+'情景参数模板'!$D$34)</x:f>
        <x:v>1417721.165228065</x:v>
      </x:c>
      <x:c r="I44" s="21" t="n">
        <x:f>'情景参数模板'!$D$16</x:f>
        <x:v>5500</x:v>
      </x:c>
      <x:c r="J44" s="17" t="n">
        <x:v>0</x:v>
      </x:c>
      <x:c r="K44" s="17" t="n">
        <x:v>0</x:v>
      </x:c>
      <x:c r="L44" s="17" t="str">
        <x:v>惠州</x:v>
      </x:c>
      <x:c r="M44" s="17" t="str">
        <x:v>城市级代理</x:v>
      </x:c>
      <x:c r="N44" s="17" t="str">
        <x:v>A-名单或D-虚拟节点；C/D-成本容量</x:v>
      </x:c>
      <x:c r="O44" s="17" t="str">
        <x:v>https://www.miit.gov.cn/cms_files/filemanager/1226211233/attach/20238/77f5d7ade1bf4ca9b32ac9e430e2725d.pdf</x:v>
      </x:c>
      <x:c r="P44" s="17" t="str">
        <x:v>所有非公开企业字段均为可替换情景值</x:v>
      </x:c>
    </x:row>
    <x:row r="45">
      <x:c r="A45" s="17" t="str">
        <x:v>P19</x:v>
      </x:c>
      <x:c r="B45" s="17" t="str">
        <x:v>广东盛祥新材料科技有限公司</x:v>
      </x:c>
      <x:c r="C45" s="17" t="str">
        <x:v>recycling</x:v>
      </x:c>
      <x:c r="D45" s="24" t="n">
        <x:v>113.8155263</x:v>
      </x:c>
      <x:c r="E45" s="24" t="n">
        <x:v>24.8309489</x:v>
      </x:c>
      <x:c r="F45" s="21" t="n">
        <x:f>'情景参数模板'!$D$8</x:f>
        <x:v>10000</x:v>
      </x:c>
      <x:c r="G45" s="21" t="n">
        <x:f>F45*10%</x:f>
        <x:v>1000</x:v>
      </x:c>
      <x:c r="H45" s="21" t="n">
        <x:f>F45*'情景参数模板'!$D$11*10000*('情景参数模板'!$D$36+'情景参数模板'!$D$34)</x:f>
        <x:v>7380939.930410353</x:v>
      </x:c>
      <x:c r="I45" s="21" t="n">
        <x:f>'情景参数模板'!$D$17</x:f>
        <x:v>12621</x:v>
      </x:c>
      <x:c r="J45" s="17" t="n">
        <x:v>0</x:v>
      </x:c>
      <x:c r="K45" s="17" t="n">
        <x:v>0</x:v>
      </x:c>
      <x:c r="L45" s="17" t="str">
        <x:v>韶关</x:v>
      </x:c>
      <x:c r="M45" s="17" t="str">
        <x:v>城市级代理</x:v>
      </x:c>
      <x:c r="N45" s="17" t="str">
        <x:v>A-名单或D-虚拟节点；C/D-成本容量</x:v>
      </x:c>
      <x:c r="O45" s="17" t="str">
        <x:v>https://www.miit.gov.cn/cms_files/filemanager/1226211233/attach/20238/77f5d7ade1bf4ca9b32ac9e430e2725d.pdf</x:v>
      </x:c>
      <x:c r="P45" s="17" t="str">
        <x:v>所有非公开企业字段均为可替换情景值</x:v>
      </x:c>
    </x:row>
    <x:row r="46">
      <x:c r="A46" s="17" t="str">
        <x:v>P20E</x:v>
      </x:c>
      <x:c r="B46" s="17" t="str">
        <x:v>广东金晟新能源股份有限公司（梯次功能）</x:v>
      </x:c>
      <x:c r="C46" s="17" t="str">
        <x:v>echelon</x:v>
      </x:c>
      <x:c r="D46" s="24" t="n">
        <x:v>112.4603629</x:v>
      </x:c>
      <x:c r="E46" s="24" t="n">
        <x:v>23.0501661</x:v>
      </x:c>
      <x:c r="F46" s="21" t="n">
        <x:f>'情景参数模板'!$D$7</x:f>
        <x:v>3000</x:v>
      </x:c>
      <x:c r="G46" s="21" t="n">
        <x:f>F46*10%</x:f>
        <x:v>300</x:v>
      </x:c>
      <x:c r="H46" s="21" t="n">
        <x:f>F46*'情景参数模板'!$D$10*10000*('情景参数模板'!$D$36+'情景参数模板'!$D$34)</x:f>
        <x:v>1417721.165228065</x:v>
      </x:c>
      <x:c r="I46" s="21" t="n">
        <x:f>'情景参数模板'!$D$16</x:f>
        <x:v>5500</x:v>
      </x:c>
      <x:c r="J46" s="17" t="n">
        <x:v>0</x:v>
      </x:c>
      <x:c r="K46" s="17" t="n">
        <x:v>0</x:v>
      </x:c>
      <x:c r="L46" s="17" t="str">
        <x:v>肇庆</x:v>
      </x:c>
      <x:c r="M46" s="17" t="str">
        <x:v>城市级代理</x:v>
      </x:c>
      <x:c r="N46" s="17" t="str">
        <x:v>A-名单或D-虚拟节点；C/D-成本容量</x:v>
      </x:c>
      <x:c r="O46" s="17" t="str">
        <x:v>https://www.miit.gov.cn/cms_files/filemanager/1226211233/attach/20238/77f5d7ade1bf4ca9b32ac9e430e2725d.pdf</x:v>
      </x:c>
      <x:c r="P46" s="17" t="str">
        <x:v>所有非公开企业字段均为可替换情景值</x:v>
      </x:c>
    </x:row>
    <x:row r="47">
      <x:c r="A47" s="17" t="str">
        <x:v>P20R</x:v>
      </x:c>
      <x:c r="B47" s="17" t="str">
        <x:v>广东金晟新能源股份有限公司（再生功能）</x:v>
      </x:c>
      <x:c r="C47" s="17" t="str">
        <x:v>recycling</x:v>
      </x:c>
      <x:c r="D47" s="24" t="n">
        <x:v>112.4603629</x:v>
      </x:c>
      <x:c r="E47" s="24" t="n">
        <x:v>23.0501661</x:v>
      </x:c>
      <x:c r="F47" s="21" t="n">
        <x:f>'情景参数模板'!$D$8</x:f>
        <x:v>10000</x:v>
      </x:c>
      <x:c r="G47" s="21" t="n">
        <x:f>F47*10%</x:f>
        <x:v>1000</x:v>
      </x:c>
      <x:c r="H47" s="21" t="n">
        <x:f>F47*'情景参数模板'!$D$11*10000*('情景参数模板'!$D$36+'情景参数模板'!$D$34)</x:f>
        <x:v>7380939.930410353</x:v>
      </x:c>
      <x:c r="I47" s="21" t="n">
        <x:f>'情景参数模板'!$D$17</x:f>
        <x:v>12621</x:v>
      </x:c>
      <x:c r="J47" s="17" t="n">
        <x:v>0</x:v>
      </x:c>
      <x:c r="K47" s="17" t="n">
        <x:v>0</x:v>
      </x:c>
      <x:c r="L47" s="17" t="str">
        <x:v>肇庆</x:v>
      </x:c>
      <x:c r="M47" s="17" t="str">
        <x:v>城市级代理</x:v>
      </x:c>
      <x:c r="N47" s="17" t="str">
        <x:v>A-名单或D-虚拟节点；C/D-成本容量</x:v>
      </x:c>
      <x:c r="O47" s="17" t="str">
        <x:v>https://www.miit.gov.cn/cms_files/filemanager/1226211233/attach/20238/77f5d7ade1bf4ca9b32ac9e430e2725d.pdf</x:v>
      </x:c>
      <x:c r="P47" s="17" t="str">
        <x:v>所有非公开企业字段均为可替换情景值</x:v>
      </x:c>
    </x:row>
    <x:row r="48">
      <x:c r="A48" s="17" t="str">
        <x:v>P21E</x:v>
      </x:c>
      <x:c r="B48" s="17" t="str">
        <x:v>广东瑞科美电源技术有限公司（梯次功能）</x:v>
      </x:c>
      <x:c r="C48" s="17" t="str">
        <x:v>echelon</x:v>
      </x:c>
      <x:c r="D48" s="24" t="n">
        <x:v>113.1159558</x:v>
      </x:c>
      <x:c r="E48" s="24" t="n">
        <x:v>23.0239788</x:v>
      </x:c>
      <x:c r="F48" s="21" t="n">
        <x:f>'情景参数模板'!$D$7</x:f>
        <x:v>3000</x:v>
      </x:c>
      <x:c r="G48" s="21" t="n">
        <x:f>F48*10%</x:f>
        <x:v>300</x:v>
      </x:c>
      <x:c r="H48" s="21" t="n">
        <x:f>F48*'情景参数模板'!$D$10*10000*('情景参数模板'!$D$36+'情景参数模板'!$D$34)</x:f>
        <x:v>1417721.165228065</x:v>
      </x:c>
      <x:c r="I48" s="21" t="n">
        <x:f>'情景参数模板'!$D$16</x:f>
        <x:v>5500</x:v>
      </x:c>
      <x:c r="J48" s="17" t="n">
        <x:v>0</x:v>
      </x:c>
      <x:c r="K48" s="17" t="n">
        <x:v>0</x:v>
      </x:c>
      <x:c r="L48" s="17" t="str">
        <x:v>佛山</x:v>
      </x:c>
      <x:c r="M48" s="17" t="str">
        <x:v>城市级代理</x:v>
      </x:c>
      <x:c r="N48" s="17" t="str">
        <x:v>A-名单或D-虚拟节点；C/D-成本容量</x:v>
      </x:c>
      <x:c r="O48" s="17" t="str">
        <x:v>https://www.miit.gov.cn/cms_files/filemanager/1226211233/attach/20238/77f5d7ade1bf4ca9b32ac9e430e2725d.pdf</x:v>
      </x:c>
      <x:c r="P48" s="17" t="str">
        <x:v>所有非公开企业字段均为可替换情景值</x:v>
      </x:c>
    </x:row>
    <x:row r="49">
      <x:c r="A49" s="17" t="str">
        <x:v>P21R</x:v>
      </x:c>
      <x:c r="B49" s="17" t="str">
        <x:v>广东瑞科美电源技术有限公司（再生功能）</x:v>
      </x:c>
      <x:c r="C49" s="17" t="str">
        <x:v>recycling</x:v>
      </x:c>
      <x:c r="D49" s="24" t="n">
        <x:v>113.1159558</x:v>
      </x:c>
      <x:c r="E49" s="24" t="n">
        <x:v>23.0239788</x:v>
      </x:c>
      <x:c r="F49" s="21" t="n">
        <x:f>'情景参数模板'!$D$8</x:f>
        <x:v>10000</x:v>
      </x:c>
      <x:c r="G49" s="21" t="n">
        <x:f>F49*10%</x:f>
        <x:v>1000</x:v>
      </x:c>
      <x:c r="H49" s="21" t="n">
        <x:f>F49*'情景参数模板'!$D$11*10000*('情景参数模板'!$D$36+'情景参数模板'!$D$34)</x:f>
        <x:v>7380939.930410353</x:v>
      </x:c>
      <x:c r="I49" s="21" t="n">
        <x:f>'情景参数模板'!$D$17</x:f>
        <x:v>12621</x:v>
      </x:c>
      <x:c r="J49" s="17" t="n">
        <x:v>0</x:v>
      </x:c>
      <x:c r="K49" s="17" t="n">
        <x:v>0</x:v>
      </x:c>
      <x:c r="L49" s="17" t="str">
        <x:v>佛山</x:v>
      </x:c>
      <x:c r="M49" s="17" t="str">
        <x:v>城市级代理</x:v>
      </x:c>
      <x:c r="N49" s="17" t="str">
        <x:v>A-名单或D-虚拟节点；C/D-成本容量</x:v>
      </x:c>
      <x:c r="O49" s="17" t="str">
        <x:v>https://www.miit.gov.cn/cms_files/filemanager/1226211233/attach/20238/77f5d7ade1bf4ca9b32ac9e430e2725d.pdf</x:v>
      </x:c>
      <x:c r="P49" s="17" t="str">
        <x:v>所有非公开企业字段均为可替换情景值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20" hidden="0" customWidth="1"/>
    <x:col min="4" max="4" width="16" hidden="0" customWidth="1"/>
    <x:col min="5" max="5" width="58" hidden="0" customWidth="1"/>
  </x:cols>
  <x:sheetData>
    <x:row r="1" ht="30" customHeight="1">
      <x:c r="A1" s="4" t="str">
        <x:v>模型接口：scenario_input（基准情景）</x:v>
      </x:c>
      <x:c r="B1" s="4" t="str">
        <x:v>模型接口：scenario_input（基准情景）</x:v>
      </x:c>
      <x:c r="C1" s="4" t="str">
        <x:v>模型接口：scenario_input（基准情景）</x:v>
      </x:c>
      <x:c r="D1" s="4" t="str">
        <x:v>模型接口：scenario_input（基准情景）</x:v>
      </x:c>
      <x:c r="E1" s="4" t="str">
        <x:v>模型接口：scenario_input（基准情景）</x:v>
      </x:c>
    </x:row>
    <x:row r="3" ht="28" customHeight="1">
      <x:c r="A3" s="14" t="str">
        <x:v>parameter</x:v>
      </x:c>
      <x:c r="B3" s="14" t="str">
        <x:v>value</x:v>
      </x:c>
      <x:c r="C3" s="14" t="str">
        <x:v>unit</x:v>
      </x:c>
      <x:c r="D3" s="14" t="str">
        <x:v>quality</x:v>
      </x:c>
      <x:c r="E3" s="14" t="str">
        <x:v>notes</x:v>
      </x:c>
    </x:row>
    <x:row r="4">
      <x:c r="A4" s="17" t="str">
        <x:v>scenario_name</x:v>
      </x:c>
      <x:c r="B4" s="17" t="str">
        <x:v>BYD_GD_2025_BASE</x:v>
      </x:c>
      <x:c r="C4" s="17" t="str">
        <x:v>text</x:v>
      </x:c>
      <x:c r="D4" s="17" t="str">
        <x:v>C/D</x:v>
      </x:c>
      <x:c r="E4" s="17" t="str">
        <x:v>公开数据驱动的基准估算</x:v>
      </x:c>
    </x:row>
    <x:row r="5">
      <x:c r="A5" s="17" t="str">
        <x:v>total_retired_battery_tons</x:v>
      </x:c>
      <x:c r="B5" s="21" t="n">
        <x:f>'情景参数模板'!D4</x:f>
        <x:v>8791.46</x:v>
      </x:c>
      <x:c r="C5" s="17" t="str">
        <x:v>tons/year</x:v>
      </x:c>
      <x:c r="D5" s="17" t="str">
        <x:v>C/D</x:v>
      </x:c>
      <x:c r="E5" s="17" t="str">
        <x:v>车龄队列估算，不是企业实绩</x:v>
      </x:c>
    </x:row>
    <x:row r="6">
      <x:c r="A6" s="17" t="str">
        <x:v>reuse_share</x:v>
      </x:c>
      <x:c r="B6" s="41" t="n">
        <x:f>'情景参数模板'!D21</x:f>
        <x:v>0.35</x:v>
      </x:c>
      <x:c r="C6" s="17" t="str">
        <x:v>ratio</x:v>
      </x:c>
      <x:c r="D6" s="17" t="str">
        <x:v>D</x:v>
      </x:c>
      <x:c r="E6" s="17" t="str">
        <x:v>情景假设</x:v>
      </x:c>
    </x:row>
    <x:row r="7">
      <x:c r="A7" s="17" t="str">
        <x:v>recycle_share</x:v>
      </x:c>
      <x:c r="B7" s="41" t="n">
        <x:f>'情景参数模板'!D22</x:f>
        <x:v>0.65</x:v>
      </x:c>
      <x:c r="C7" s="17" t="str">
        <x:v>ratio</x:v>
      </x:c>
      <x:c r="D7" s="17" t="str">
        <x:v>D</x:v>
      </x:c>
      <x:c r="E7" s="17" t="str">
        <x:v>与reuse_share合计为1</x:v>
      </x:c>
    </x:row>
    <x:row r="8">
      <x:c r="A8" s="17" t="str">
        <x:v>transport_cost_source_collection</x:v>
      </x:c>
      <x:c r="B8" s="21" t="n">
        <x:f>'情景参数模板'!D12</x:f>
        <x:v>0.49</x:v>
      </x:c>
      <x:c r="C8" s="17" t="str">
        <x:v>yuan/(ton*km)</x:v>
      </x:c>
      <x:c r="D8" s="17" t="str">
        <x:v>C</x:v>
      </x:c>
      <x:c r="E8" s="17" t="str">
        <x:v>文献情景</x:v>
      </x:c>
    </x:row>
    <x:row r="9">
      <x:c r="A9" s="17" t="str">
        <x:v>transport_cost_collection_echelon</x:v>
      </x:c>
      <x:c r="B9" s="21" t="n">
        <x:f>'情景参数模板'!D13</x:f>
        <x:v>0.49</x:v>
      </x:c>
      <x:c r="C9" s="17" t="str">
        <x:v>yuan/(ton*km)</x:v>
      </x:c>
      <x:c r="D9" s="17" t="str">
        <x:v>C</x:v>
      </x:c>
      <x:c r="E9" s="17" t="str">
        <x:v>文献情景</x:v>
      </x:c>
    </x:row>
    <x:row r="10">
      <x:c r="A10" s="17" t="str">
        <x:v>transport_cost_collection_recycling</x:v>
      </x:c>
      <x:c r="B10" s="21" t="n">
        <x:f>'情景参数模板'!D14</x:f>
        <x:v>0.49</x:v>
      </x:c>
      <x:c r="C10" s="17" t="str">
        <x:v>yuan/(ton*km)</x:v>
      </x:c>
      <x:c r="D10" s="17" t="str">
        <x:v>C</x:v>
      </x:c>
      <x:c r="E10" s="17" t="str">
        <x:v>文献情景</x:v>
      </x:c>
    </x:row>
    <x:row r="11">
      <x:c r="A11" s="17" t="str">
        <x:v>max_distance_source_collection</x:v>
      </x:c>
      <x:c r="B11" s="21" t="n">
        <x:f>'情景参数模板'!D18</x:f>
        <x:v>150</x:v>
      </x:c>
      <x:c r="C11" s="17" t="str">
        <x:v>km</x:v>
      </x:c>
      <x:c r="D11" s="17" t="str">
        <x:v>D</x:v>
      </x:c>
      <x:c r="E11" s="17" t="str">
        <x:v>服务半径情景</x:v>
      </x:c>
    </x:row>
    <x:row r="12">
      <x:c r="A12" s="17" t="str">
        <x:v>max_distance_collection_echelon</x:v>
      </x:c>
      <x:c r="B12" s="21" t="n">
        <x:f>'情景参数模板'!D19</x:f>
        <x:v>300</x:v>
      </x:c>
      <x:c r="C12" s="17" t="str">
        <x:v>km</x:v>
      </x:c>
      <x:c r="D12" s="17" t="str">
        <x:v>D</x:v>
      </x:c>
      <x:c r="E12" s="17" t="str">
        <x:v>服务半径情景</x:v>
      </x:c>
    </x:row>
    <x:row r="13">
      <x:c r="A13" s="17" t="str">
        <x:v>max_distance_collection_recycling</x:v>
      </x:c>
      <x:c r="B13" s="21" t="n">
        <x:f>'情景参数模板'!D20</x:f>
        <x:v>400</x:v>
      </x:c>
      <x:c r="C13" s="17" t="str">
        <x:v>km</x:v>
      </x:c>
      <x:c r="D13" s="17" t="str">
        <x:v>D</x:v>
      </x:c>
      <x:c r="E13" s="17" t="str">
        <x:v>服务半径情景</x:v>
      </x:c>
    </x:row>
    <x:row r="14">
      <x:c r="A14" s="17" t="str">
        <x:v>collection_count_min</x:v>
      </x:c>
      <x:c r="B14" s="21" t="n">
        <x:f>'情景参数模板'!D23</x:f>
        <x:v>3</x:v>
      </x:c>
      <x:c r="C14" s="17" t="str">
        <x:v>sites</x:v>
      </x:c>
      <x:c r="D14" s="17" t="str">
        <x:v>D</x:v>
      </x:c>
      <x:c r="E14" s="17" t="str">
        <x:v>模型约束</x:v>
      </x:c>
    </x:row>
    <x:row r="15">
      <x:c r="A15" s="17" t="str">
        <x:v>collection_count_max</x:v>
      </x:c>
      <x:c r="B15" s="21" t="n">
        <x:f>'情景参数模板'!D24</x:f>
        <x:v>10</x:v>
      </x:c>
      <x:c r="C15" s="17" t="str">
        <x:v>sites</x:v>
      </x:c>
      <x:c r="D15" s="17" t="str">
        <x:v>D</x:v>
      </x:c>
      <x:c r="E15" s="17" t="str">
        <x:v>模型约束</x:v>
      </x:c>
    </x:row>
    <x:row r="16">
      <x:c r="A16" s="17" t="str">
        <x:v>echelon_count_min</x:v>
      </x:c>
      <x:c r="B16" s="21" t="n">
        <x:f>'情景参数模板'!D25</x:f>
        <x:v>1</x:v>
      </x:c>
      <x:c r="C16" s="17" t="str">
        <x:v>sites</x:v>
      </x:c>
      <x:c r="D16" s="17" t="str">
        <x:v>D</x:v>
      </x:c>
      <x:c r="E16" s="17" t="str">
        <x:v>模型约束</x:v>
      </x:c>
    </x:row>
    <x:row r="17">
      <x:c r="A17" s="17" t="str">
        <x:v>echelon_count_max</x:v>
      </x:c>
      <x:c r="B17" s="21" t="n">
        <x:f>'情景参数模板'!D26</x:f>
        <x:v>6</x:v>
      </x:c>
      <x:c r="C17" s="17" t="str">
        <x:v>sites</x:v>
      </x:c>
      <x:c r="D17" s="17" t="str">
        <x:v>D</x:v>
      </x:c>
      <x:c r="E17" s="17" t="str">
        <x:v>模型约束</x:v>
      </x:c>
    </x:row>
    <x:row r="18">
      <x:c r="A18" s="17" t="str">
        <x:v>recycling_count_min</x:v>
      </x:c>
      <x:c r="B18" s="21" t="n">
        <x:f>'情景参数模板'!D27</x:f>
        <x:v>1</x:v>
      </x:c>
      <x:c r="C18" s="17" t="str">
        <x:v>sites</x:v>
      </x:c>
      <x:c r="D18" s="17" t="str">
        <x:v>D</x:v>
      </x:c>
      <x:c r="E18" s="17" t="str">
        <x:v>模型约束</x:v>
      </x:c>
    </x:row>
    <x:row r="19">
      <x:c r="A19" s="17" t="str">
        <x:v>recycling_count_max</x:v>
      </x:c>
      <x:c r="B19" s="21" t="n">
        <x:f>'情景参数模板'!D28</x:f>
        <x:v>3</x:v>
      </x:c>
      <x:c r="C19" s="17" t="str">
        <x:v>sites</x:v>
      </x:c>
      <x:c r="D19" s="17" t="str">
        <x:v>D</x:v>
      </x:c>
      <x:c r="E19" s="17" t="str">
        <x:v>模型约束</x:v>
      </x:c>
    </x:row>
    <x:row r="20">
      <x:c r="A20" s="17" t="str">
        <x:v>time_limit_seconds</x:v>
      </x:c>
      <x:c r="B20" s="21" t="n">
        <x:f>'情景参数模板'!D29</x:f>
        <x:v>300</x:v>
      </x:c>
      <x:c r="C20" s="17" t="str">
        <x:v>seconds</x:v>
      </x:c>
      <x:c r="D20" s="17" t="str">
        <x:v>model</x:v>
      </x:c>
      <x:c r="E20" s="17" t="str">
        <x:v>求解器设置</x:v>
      </x:c>
    </x:row>
    <x:row r="21">
      <x:c r="A21" s="17" t="str">
        <x:v>mip_gap</x:v>
      </x:c>
      <x:c r="B21" s="41" t="n">
        <x:f>'情景参数模板'!D30</x:f>
        <x:v>0.01</x:v>
      </x:c>
      <x:c r="C21" s="17" t="str">
        <x:v>ratio</x:v>
      </x:c>
      <x:c r="D21" s="17" t="str">
        <x:v>model</x:v>
      </x:c>
      <x:c r="E21" s="17" t="str">
        <x:v>求解器设置</x:v>
      </x:c>
    </x:row>
    <x:row r="22">
      <x:c r="A22" s="17"/>
      <x:c r="B22" s="41"/>
      <x:c r="C22" s="17"/>
      <x:c r="D22" s="17"/>
      <x:c r="E22" s="17"/>
    </x:row>
    <x:row r="23">
      <x:c r="A23" s="17" t="str">
        <x:v>validation_reuse_plus_recycle</x:v>
      </x:c>
      <x:c r="B23" s="41" t="n">
        <x:f>B6+B7</x:f>
        <x:v>1</x:v>
      </x:c>
      <x:c r="C23" s="17" t="str">
        <x:v>ratio</x:v>
      </x:c>
      <x:c r="D23" s="17"/>
      <x:c r="E23" s="17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40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30" hidden="0" customWidth="1"/>
    <x:col min="15" max="15" width="18" hidden="0" customWidth="1"/>
    <x:col min="16" max="16" width="12" hidden="0" customWidth="1"/>
    <x:col min="17" max="17" width="28" hidden="0" customWidth="1"/>
  </x:cols>
  <x:sheetData>
    <x:row r="1" ht="30" customHeight="1">
      <x:c r="A1" s="4" t="str">
        <x:v>两层运输弧：来源城市→回收中心→梯次/再生设施</x:v>
      </x:c>
      <x:c r="B1" s="4" t="str">
        <x:v>两层运输弧：来源城市→回收中心→梯次/再生设施</x:v>
      </x:c>
      <x:c r="C1" s="4" t="str">
        <x:v>两层运输弧：来源城市→回收中心→梯次/再生设施</x:v>
      </x:c>
      <x:c r="D1" s="4" t="str">
        <x:v>两层运输弧：来源城市→回收中心→梯次/再生设施</x:v>
      </x:c>
      <x:c r="E1" s="4" t="str">
        <x:v>两层运输弧：来源城市→回收中心→梯次/再生设施</x:v>
      </x:c>
      <x:c r="F1" s="4" t="str">
        <x:v>两层运输弧：来源城市→回收中心→梯次/再生设施</x:v>
      </x:c>
      <x:c r="G1" s="4" t="str">
        <x:v>两层运输弧：来源城市→回收中心→梯次/再生设施</x:v>
      </x:c>
      <x:c r="H1" s="4" t="str">
        <x:v>两层运输弧：来源城市→回收中心→梯次/再生设施</x:v>
      </x:c>
      <x:c r="I1" s="4" t="str">
        <x:v>两层运输弧：来源城市→回收中心→梯次/再生设施</x:v>
      </x:c>
      <x:c r="J1" s="4" t="str">
        <x:v>两层运输弧：来源城市→回收中心→梯次/再生设施</x:v>
      </x:c>
      <x:c r="K1" s="4" t="str">
        <x:v>两层运输弧：来源城市→回收中心→梯次/再生设施</x:v>
      </x:c>
      <x:c r="L1" s="4" t="str">
        <x:v>两层运输弧：来源城市→回收中心→梯次/再生设施</x:v>
      </x:c>
      <x:c r="M1" s="4" t="str">
        <x:v>两层运输弧：来源城市→回收中心→梯次/再生设施</x:v>
      </x:c>
      <x:c r="N1" s="4" t="str">
        <x:v>两层运输弧：来源城市→回收中心→梯次/再生设施</x:v>
      </x:c>
      <x:c r="O1" s="4" t="str">
        <x:v>两层运输弧：来源城市→回收中心→梯次/再生设施</x:v>
      </x:c>
      <x:c r="P1" s="4" t="str">
        <x:v>两层运输弧：来源城市→回收中心→梯次/再生设施</x:v>
      </x:c>
      <x:c r="Q1" s="4" t="str">
        <x:v>两层运输弧：来源城市→回收中心→梯次/再生设施</x:v>
      </x:c>
    </x:row>
    <x:row r="2">
      <x:c r="A2" s="20" t="str">
        <x:v>当前道路距离仍采用Haversine×1.2代理，因为公开道路矩阵接口不可稳定批量复现；本表已把两段网络分别展开，可直接用高德/百度/自建GIS结果替换road_proxy_km列。</x:v>
      </x:c>
      <x:c r="B2" s="20" t="str">
        <x:v>当前道路距离仍采用Haversine×1.2代理，因为公开道路矩阵接口不可稳定批量复现；本表已把两段网络分别展开，可直接用高德/百度/自建GIS结果替换road_proxy_km列。</x:v>
      </x:c>
      <x:c r="C2" s="20" t="str">
        <x:v>当前道路距离仍采用Haversine×1.2代理，因为公开道路矩阵接口不可稳定批量复现；本表已把两段网络分别展开，可直接用高德/百度/自建GIS结果替换road_proxy_km列。</x:v>
      </x:c>
      <x:c r="D2" s="20" t="str">
        <x:v>当前道路距离仍采用Haversine×1.2代理，因为公开道路矩阵接口不可稳定批量复现；本表已把两段网络分别展开，可直接用高德/百度/自建GIS结果替换road_proxy_km列。</x:v>
      </x:c>
      <x:c r="E2" s="20" t="str">
        <x:v>当前道路距离仍采用Haversine×1.2代理，因为公开道路矩阵接口不可稳定批量复现；本表已把两段网络分别展开，可直接用高德/百度/自建GIS结果替换road_proxy_km列。</x:v>
      </x:c>
      <x:c r="F2" s="20" t="str">
        <x:v>当前道路距离仍采用Haversine×1.2代理，因为公开道路矩阵接口不可稳定批量复现；本表已把两段网络分别展开，可直接用高德/百度/自建GIS结果替换road_proxy_km列。</x:v>
      </x:c>
      <x:c r="G2" s="20" t="str">
        <x:v>当前道路距离仍采用Haversine×1.2代理，因为公开道路矩阵接口不可稳定批量复现；本表已把两段网络分别展开，可直接用高德/百度/自建GIS结果替换road_proxy_km列。</x:v>
      </x:c>
      <x:c r="H2" s="20" t="str">
        <x:v>当前道路距离仍采用Haversine×1.2代理，因为公开道路矩阵接口不可稳定批量复现；本表已把两段网络分别展开，可直接用高德/百度/自建GIS结果替换road_proxy_km列。</x:v>
      </x:c>
      <x:c r="I2" s="20" t="str">
        <x:v>当前道路距离仍采用Haversine×1.2代理，因为公开道路矩阵接口不可稳定批量复现；本表已把两段网络分别展开，可直接用高德/百度/自建GIS结果替换road_proxy_km列。</x:v>
      </x:c>
      <x:c r="J2" s="20" t="str">
        <x:v>当前道路距离仍采用Haversine×1.2代理，因为公开道路矩阵接口不可稳定批量复现；本表已把两段网络分别展开，可直接用高德/百度/自建GIS结果替换road_proxy_km列。</x:v>
      </x:c>
      <x:c r="K2" s="20" t="str">
        <x:v>当前道路距离仍采用Haversine×1.2代理，因为公开道路矩阵接口不可稳定批量复现；本表已把两段网络分别展开，可直接用高德/百度/自建GIS结果替换road_proxy_km列。</x:v>
      </x:c>
      <x:c r="L2" s="20" t="str">
        <x:v>当前道路距离仍采用Haversine×1.2代理，因为公开道路矩阵接口不可稳定批量复现；本表已把两段网络分别展开，可直接用高德/百度/自建GIS结果替换road_proxy_km列。</x:v>
      </x:c>
      <x:c r="M2" s="20" t="str">
        <x:v>当前道路距离仍采用Haversine×1.2代理，因为公开道路矩阵接口不可稳定批量复现；本表已把两段网络分别展开，可直接用高德/百度/自建GIS结果替换road_proxy_km列。</x:v>
      </x:c>
      <x:c r="N2" s="20" t="str">
        <x:v>当前道路距离仍采用Haversine×1.2代理，因为公开道路矩阵接口不可稳定批量复现；本表已把两段网络分别展开，可直接用高德/百度/自建GIS结果替换road_proxy_km列。</x:v>
      </x:c>
      <x:c r="O2" s="20" t="str">
        <x:v>当前道路距离仍采用Haversine×1.2代理，因为公开道路矩阵接口不可稳定批量复现；本表已把两段网络分别展开，可直接用高德/百度/自建GIS结果替换road_proxy_km列。</x:v>
      </x:c>
      <x:c r="P2" s="20" t="str">
        <x:v>当前道路距离仍采用Haversine×1.2代理，因为公开道路矩阵接口不可稳定批量复现；本表已把两段网络分别展开，可直接用高德/百度/自建GIS结果替换road_proxy_km列。</x:v>
      </x:c>
      <x:c r="Q2" s="20" t="str">
        <x:v>当前道路距离仍采用Haversine×1.2代理，因为公开道路矩阵接口不可稳定批量复现；本表已把两段网络分别展开，可直接用高德/百度/自建GIS结果替换road_proxy_km列。</x:v>
      </x:c>
    </x:row>
    <x:row r="4" ht="28" customHeight="1">
      <x:c r="A4" s="14" t="str">
        <x:v>arc_id</x:v>
      </x:c>
      <x:c r="B4" s="14" t="str">
        <x:v>origin_id</x:v>
      </x:c>
      <x:c r="C4" s="14" t="str">
        <x:v>origin_type</x:v>
      </x:c>
      <x:c r="D4" s="14" t="str">
        <x:v>origin_name</x:v>
      </x:c>
      <x:c r="E4" s="14" t="str">
        <x:v>origin_lon</x:v>
      </x:c>
      <x:c r="F4" s="14" t="str">
        <x:v>origin_lat</x:v>
      </x:c>
      <x:c r="G4" s="14" t="str">
        <x:v>destination_id</x:v>
      </x:c>
      <x:c r="H4" s="14" t="str">
        <x:v>destination_type</x:v>
      </x:c>
      <x:c r="I4" s="14" t="str">
        <x:v>destination_name</x:v>
      </x:c>
      <x:c r="J4" s="14" t="str">
        <x:v>destination_lon</x:v>
      </x:c>
      <x:c r="K4" s="14" t="str">
        <x:v>destination_lat</x:v>
      </x:c>
      <x:c r="L4" s="14" t="str">
        <x:v>straight_km</x:v>
      </x:c>
      <x:c r="M4" s="14" t="str">
        <x:v>road_proxy_km</x:v>
      </x:c>
      <x:c r="N4" s="14" t="str">
        <x:v>transport_cost_yuan_per_ton_km</x:v>
      </x:c>
      <x:c r="O4" s="14" t="str">
        <x:v>max_distance_km</x:v>
      </x:c>
      <x:c r="P4" s="14" t="str">
        <x:v>allowed</x:v>
      </x:c>
      <x:c r="Q4" s="14" t="str">
        <x:v>quality_flag</x:v>
      </x:c>
    </x:row>
    <x:row r="5">
      <x:c r="A5" s="17" t="str">
        <x:v>A0001</x:v>
      </x:c>
      <x:c r="B5" s="17" t="str">
        <x:v>GD01</x:v>
      </x:c>
      <x:c r="C5" s="17" t="str">
        <x:v>source</x:v>
      </x:c>
      <x:c r="D5" s="17" t="str">
        <x:v>广州</x:v>
      </x:c>
      <x:c r="E5" s="24" t="n">
        <x:v>113.2589581</x:v>
      </x:c>
      <x:c r="F5" s="24" t="n">
        <x:v>23.1288429</x:v>
      </x:c>
      <x:c r="G5" s="17" t="str">
        <x:v>C01</x:v>
      </x:c>
      <x:c r="H5" s="17" t="str">
        <x:v>collection</x:v>
      </x:c>
      <x:c r="I5" s="17" t="str">
        <x:v>广州虚拟回收/检测中心</x:v>
      </x:c>
      <x:c r="J5" s="24" t="n">
        <x:v>113.2589581</x:v>
      </x:c>
      <x:c r="K5" s="24" t="n">
        <x:v>23.1288429</x:v>
      </x:c>
      <x:c r="L5" s="21" t="n">
        <x:f>6371*ACOS(MIN(1,COS(F5*PI()/180)*COS(K5*PI()/180)*COS((J5-E5)*PI()/180)+SIN(F5*PI()/180)*SIN(K5*PI()/180)))</x:f>
        <x:v>0</x:v>
      </x:c>
      <x:c r="M5" s="21" t="n">
        <x:f>L5*'情景参数模板'!$D$31</x:f>
        <x:v>0</x:v>
      </x:c>
      <x:c r="N5" s="21" t="n">
        <x:f>IF(C5="source",'情景参数模板'!$D$12,IF(H5="echelon",'情景参数模板'!$D$13,'情景参数模板'!$D$14))</x:f>
        <x:v>0.49</x:v>
      </x:c>
      <x:c r="O5" s="21" t="n">
        <x:f>IF(C5="source",'情景参数模板'!$D$18,IF(H5="echelon",'情景参数模板'!$D$19,'情景参数模板'!$D$20))</x:f>
        <x:v>150</x:v>
      </x:c>
      <x:c r="P5" s="17" t="n">
        <x:f>IF(M5&lt;=O5,1,0)</x:f>
        <x:v>1</x:v>
      </x:c>
      <x:c r="Q5" s="17" t="str">
        <x:v>D-road proxy; B-coordinates</x:v>
      </x:c>
    </x:row>
    <x:row r="6">
      <x:c r="A6" s="17" t="str">
        <x:v>A0002</x:v>
      </x:c>
      <x:c r="B6" s="17" t="str">
        <x:v>GD01</x:v>
      </x:c>
      <x:c r="C6" s="17" t="str">
        <x:v>source</x:v>
      </x:c>
      <x:c r="D6" s="17" t="str">
        <x:v>广州</x:v>
      </x:c>
      <x:c r="E6" s="24" t="n">
        <x:v>113.2589581</x:v>
      </x:c>
      <x:c r="F6" s="24" t="n">
        <x:v>23.1288429</x:v>
      </x:c>
      <x:c r="G6" s="17" t="str">
        <x:v>C02</x:v>
      </x:c>
      <x:c r="H6" s="17" t="str">
        <x:v>collection</x:v>
      </x:c>
      <x:c r="I6" s="17" t="str">
        <x:v>深圳虚拟回收/检测中心</x:v>
      </x:c>
      <x:c r="J6" s="24" t="n">
        <x:v>114.0545429</x:v>
      </x:c>
      <x:c r="K6" s="24" t="n">
        <x:v>22.5445741</x:v>
      </x:c>
      <x:c r="L6" s="21" t="n">
        <x:f>6371*ACOS(MIN(1,COS(F6*PI()/180)*COS(K6*PI()/180)*COS((J6-E6)*PI()/180)+SIN(F6*PI()/180)*SIN(K6*PI()/180)))</x:f>
        <x:v>104.24944100592228</x:v>
      </x:c>
      <x:c r="M6" s="21" t="n">
        <x:f>L6*'情景参数模板'!$D$31</x:f>
        <x:v>125.09932920710673</x:v>
      </x:c>
      <x:c r="N6" s="21" t="n">
        <x:f>IF(C6="source",'情景参数模板'!$D$12,IF(H6="echelon",'情景参数模板'!$D$13,'情景参数模板'!$D$14))</x:f>
        <x:v>0.49</x:v>
      </x:c>
      <x:c r="O6" s="21" t="n">
        <x:f>IF(C6="source",'情景参数模板'!$D$18,IF(H6="echelon",'情景参数模板'!$D$19,'情景参数模板'!$D$20))</x:f>
        <x:v>150</x:v>
      </x:c>
      <x:c r="P6" s="17" t="n">
        <x:f>IF(M6&lt;=O6,1,0)</x:f>
        <x:v>1</x:v>
      </x:c>
      <x:c r="Q6" s="17" t="str">
        <x:v>D-road proxy; B-coordinates</x:v>
      </x:c>
    </x:row>
    <x:row r="7">
      <x:c r="A7" s="17" t="str">
        <x:v>A0003</x:v>
      </x:c>
      <x:c r="B7" s="17" t="str">
        <x:v>GD01</x:v>
      </x:c>
      <x:c r="C7" s="17" t="str">
        <x:v>source</x:v>
      </x:c>
      <x:c r="D7" s="17" t="str">
        <x:v>广州</x:v>
      </x:c>
      <x:c r="E7" s="24" t="n">
        <x:v>113.2589581</x:v>
      </x:c>
      <x:c r="F7" s="24" t="n">
        <x:v>23.1288429</x:v>
      </x:c>
      <x:c r="G7" s="17" t="str">
        <x:v>C03</x:v>
      </x:c>
      <x:c r="H7" s="17" t="str">
        <x:v>collection</x:v>
      </x:c>
      <x:c r="I7" s="17" t="str">
        <x:v>珠海虚拟回收/检测中心</x:v>
      </x:c>
      <x:c r="J7" s="24" t="n">
        <x:v>113.5721327</x:v>
      </x:c>
      <x:c r="K7" s="24" t="n">
        <x:v>22.273734</x:v>
      </x:c>
      <x:c r="L7" s="21" t="n">
        <x:f>6371*ACOS(MIN(1,COS(F7*PI()/180)*COS(K7*PI()/180)*COS((J7-E7)*PI()/180)+SIN(F7*PI()/180)*SIN(K7*PI()/180)))</x:f>
        <x:v>100.36408935304908</x:v>
      </x:c>
      <x:c r="M7" s="21" t="n">
        <x:f>L7*'情景参数模板'!$D$31</x:f>
        <x:v>120.43690722365889</x:v>
      </x:c>
      <x:c r="N7" s="21" t="n">
        <x:f>IF(C7="source",'情景参数模板'!$D$12,IF(H7="echelon",'情景参数模板'!$D$13,'情景参数模板'!$D$14))</x:f>
        <x:v>0.49</x:v>
      </x:c>
      <x:c r="O7" s="21" t="n">
        <x:f>IF(C7="source",'情景参数模板'!$D$18,IF(H7="echelon",'情景参数模板'!$D$19,'情景参数模板'!$D$20))</x:f>
        <x:v>150</x:v>
      </x:c>
      <x:c r="P7" s="17" t="n">
        <x:f>IF(M7&lt;=O7,1,0)</x:f>
        <x:v>1</x:v>
      </x:c>
      <x:c r="Q7" s="17" t="str">
        <x:v>D-road proxy; B-coordinates</x:v>
      </x:c>
    </x:row>
    <x:row r="8">
      <x:c r="A8" s="17" t="str">
        <x:v>A0004</x:v>
      </x:c>
      <x:c r="B8" s="17" t="str">
        <x:v>GD01</x:v>
      </x:c>
      <x:c r="C8" s="17" t="str">
        <x:v>source</x:v>
      </x:c>
      <x:c r="D8" s="17" t="str">
        <x:v>广州</x:v>
      </x:c>
      <x:c r="E8" s="24" t="n">
        <x:v>113.2589581</x:v>
      </x:c>
      <x:c r="F8" s="24" t="n">
        <x:v>23.1288429</x:v>
      </x:c>
      <x:c r="G8" s="17" t="str">
        <x:v>C04</x:v>
      </x:c>
      <x:c r="H8" s="17" t="str">
        <x:v>collection</x:v>
      </x:c>
      <x:c r="I8" s="17" t="str">
        <x:v>汕头虚拟回收/检测中心</x:v>
      </x:c>
      <x:c r="J8" s="24" t="n">
        <x:v>116.6775856</x:v>
      </x:c>
      <x:c r="K8" s="24" t="n">
        <x:v>23.3563921</x:v>
      </x:c>
      <x:c r="L8" s="21" t="n">
        <x:f>6371*ACOS(MIN(1,COS(F8*PI()/180)*COS(K8*PI()/180)*COS((J8-E8)*PI()/180)+SIN(F8*PI()/180)*SIN(K8*PI()/180)))</x:f>
        <x:v>350.1899949540084</x:v>
      </x:c>
      <x:c r="M8" s="21" t="n">
        <x:f>L8*'情景参数模板'!$D$31</x:f>
        <x:v>420.22799394481007</x:v>
      </x:c>
      <x:c r="N8" s="21" t="n">
        <x:f>IF(C8="source",'情景参数模板'!$D$12,IF(H8="echelon",'情景参数模板'!$D$13,'情景参数模板'!$D$14))</x:f>
        <x:v>0.49</x:v>
      </x:c>
      <x:c r="O8" s="21" t="n">
        <x:f>IF(C8="source",'情景参数模板'!$D$18,IF(H8="echelon",'情景参数模板'!$D$19,'情景参数模板'!$D$20))</x:f>
        <x:v>150</x:v>
      </x:c>
      <x:c r="P8" s="17" t="n">
        <x:f>IF(M8&lt;=O8,1,0)</x:f>
        <x:v>0</x:v>
      </x:c>
      <x:c r="Q8" s="17" t="str">
        <x:v>D-road proxy; B-coordinates</x:v>
      </x:c>
    </x:row>
    <x:row r="9">
      <x:c r="A9" s="17" t="str">
        <x:v>A0005</x:v>
      </x:c>
      <x:c r="B9" s="17" t="str">
        <x:v>GD01</x:v>
      </x:c>
      <x:c r="C9" s="17" t="str">
        <x:v>source</x:v>
      </x:c>
      <x:c r="D9" s="17" t="str">
        <x:v>广州</x:v>
      </x:c>
      <x:c r="E9" s="24" t="n">
        <x:v>113.2589581</x:v>
      </x:c>
      <x:c r="F9" s="24" t="n">
        <x:v>23.1288429</x:v>
      </x:c>
      <x:c r="G9" s="17" t="str">
        <x:v>C05</x:v>
      </x:c>
      <x:c r="H9" s="17" t="str">
        <x:v>collection</x:v>
      </x:c>
      <x:c r="I9" s="17" t="str">
        <x:v>佛山虚拟回收/检测中心</x:v>
      </x:c>
      <x:c r="J9" s="24" t="n">
        <x:v>113.1159558</x:v>
      </x:c>
      <x:c r="K9" s="24" t="n">
        <x:v>23.0239788</x:v>
      </x:c>
      <x:c r="L9" s="21" t="n">
        <x:f>6371*ACOS(MIN(1,COS(F9*PI()/180)*COS(K9*PI()/180)*COS((J9-E9)*PI()/180)+SIN(F9*PI()/180)*SIN(K9*PI()/180)))</x:f>
        <x:v>18.707342512999915</x:v>
      </x:c>
      <x:c r="M9" s="21" t="n">
        <x:f>L9*'情景参数模板'!$D$31</x:f>
        <x:v>22.448811015599897</x:v>
      </x:c>
      <x:c r="N9" s="21" t="n">
        <x:f>IF(C9="source",'情景参数模板'!$D$12,IF(H9="echelon",'情景参数模板'!$D$13,'情景参数模板'!$D$14))</x:f>
        <x:v>0.49</x:v>
      </x:c>
      <x:c r="O9" s="21" t="n">
        <x:f>IF(C9="source",'情景参数模板'!$D$18,IF(H9="echelon",'情景参数模板'!$D$19,'情景参数模板'!$D$20))</x:f>
        <x:v>150</x:v>
      </x:c>
      <x:c r="P9" s="17" t="n">
        <x:f>IF(M9&lt;=O9,1,0)</x:f>
        <x:v>1</x:v>
      </x:c>
      <x:c r="Q9" s="17" t="str">
        <x:v>D-road proxy; B-coordinates</x:v>
      </x:c>
    </x:row>
    <x:row r="10">
      <x:c r="A10" s="17" t="str">
        <x:v>A0006</x:v>
      </x:c>
      <x:c r="B10" s="17" t="str">
        <x:v>GD01</x:v>
      </x:c>
      <x:c r="C10" s="17" t="str">
        <x:v>source</x:v>
      </x:c>
      <x:c r="D10" s="17" t="str">
        <x:v>广州</x:v>
      </x:c>
      <x:c r="E10" s="24" t="n">
        <x:v>113.2589581</x:v>
      </x:c>
      <x:c r="F10" s="24" t="n">
        <x:v>23.1288429</x:v>
      </x:c>
      <x:c r="G10" s="17" t="str">
        <x:v>C06</x:v>
      </x:c>
      <x:c r="H10" s="17" t="str">
        <x:v>collection</x:v>
      </x:c>
      <x:c r="I10" s="17" t="str">
        <x:v>韶关虚拟回收/检测中心</x:v>
      </x:c>
      <x:c r="J10" s="24" t="n">
        <x:v>113.8155263</x:v>
      </x:c>
      <x:c r="K10" s="24" t="n">
        <x:v>24.8309489</x:v>
      </x:c>
      <x:c r="L10" s="21" t="n">
        <x:f>6371*ACOS(MIN(1,COS(F10*PI()/180)*COS(K10*PI()/180)*COS((J10-E10)*PI()/180)+SIN(F10*PI()/180)*SIN(K10*PI()/180)))</x:f>
        <x:v>197.53104116353575</x:v>
      </x:c>
      <x:c r="M10" s="21" t="n">
        <x:f>L10*'情景参数模板'!$D$31</x:f>
        <x:v>237.03724939624288</x:v>
      </x:c>
      <x:c r="N10" s="21" t="n">
        <x:f>IF(C10="source",'情景参数模板'!$D$12,IF(H10="echelon",'情景参数模板'!$D$13,'情景参数模板'!$D$14))</x:f>
        <x:v>0.49</x:v>
      </x:c>
      <x:c r="O10" s="21" t="n">
        <x:f>IF(C10="source",'情景参数模板'!$D$18,IF(H10="echelon",'情景参数模板'!$D$19,'情景参数模板'!$D$20))</x:f>
        <x:v>150</x:v>
      </x:c>
      <x:c r="P10" s="17" t="n">
        <x:f>IF(M10&lt;=O10,1,0)</x:f>
        <x:v>0</x:v>
      </x:c>
      <x:c r="Q10" s="17" t="str">
        <x:v>D-road proxy; B-coordinates</x:v>
      </x:c>
    </x:row>
    <x:row r="11">
      <x:c r="A11" s="17" t="str">
        <x:v>A0007</x:v>
      </x:c>
      <x:c r="B11" s="17" t="str">
        <x:v>GD01</x:v>
      </x:c>
      <x:c r="C11" s="17" t="str">
        <x:v>source</x:v>
      </x:c>
      <x:c r="D11" s="17" t="str">
        <x:v>广州</x:v>
      </x:c>
      <x:c r="E11" s="24" t="n">
        <x:v>113.2589581</x:v>
      </x:c>
      <x:c r="F11" s="24" t="n">
        <x:v>23.1288429</x:v>
      </x:c>
      <x:c r="G11" s="17" t="str">
        <x:v>C07</x:v>
      </x:c>
      <x:c r="H11" s="17" t="str">
        <x:v>collection</x:v>
      </x:c>
      <x:c r="I11" s="17" t="str">
        <x:v>河源虚拟回收/检测中心</x:v>
      </x:c>
      <x:c r="J11" s="24" t="n">
        <x:v>115.0577538</x:v>
      </x:c>
      <x:c r="K11" s="24" t="n">
        <x:v>24.1014769</x:v>
      </x:c>
      <x:c r="L11" s="21" t="n">
        <x:f>6371*ACOS(MIN(1,COS(F11*PI()/180)*COS(K11*PI()/180)*COS((J11-E11)*PI()/180)+SIN(F11*PI()/180)*SIN(K11*PI()/180)))</x:f>
        <x:v>212.7954154557559</x:v>
      </x:c>
      <x:c r="M11" s="21" t="n">
        <x:f>L11*'情景参数模板'!$D$31</x:f>
        <x:v>255.35449854690705</x:v>
      </x:c>
      <x:c r="N11" s="21" t="n">
        <x:f>IF(C11="source",'情景参数模板'!$D$12,IF(H11="echelon",'情景参数模板'!$D$13,'情景参数模板'!$D$14))</x:f>
        <x:v>0.49</x:v>
      </x:c>
      <x:c r="O11" s="21" t="n">
        <x:f>IF(C11="source",'情景参数模板'!$D$18,IF(H11="echelon",'情景参数模板'!$D$19,'情景参数模板'!$D$20))</x:f>
        <x:v>150</x:v>
      </x:c>
      <x:c r="P11" s="17" t="n">
        <x:f>IF(M11&lt;=O11,1,0)</x:f>
        <x:v>0</x:v>
      </x:c>
      <x:c r="Q11" s="17" t="str">
        <x:v>D-road proxy; B-coordinates</x:v>
      </x:c>
    </x:row>
    <x:row r="12">
      <x:c r="A12" s="17" t="str">
        <x:v>A0008</x:v>
      </x:c>
      <x:c r="B12" s="17" t="str">
        <x:v>GD01</x:v>
      </x:c>
      <x:c r="C12" s="17" t="str">
        <x:v>source</x:v>
      </x:c>
      <x:c r="D12" s="17" t="str">
        <x:v>广州</x:v>
      </x:c>
      <x:c r="E12" s="24" t="n">
        <x:v>113.2589581</x:v>
      </x:c>
      <x:c r="F12" s="24" t="n">
        <x:v>23.1288429</x:v>
      </x:c>
      <x:c r="G12" s="17" t="str">
        <x:v>C08</x:v>
      </x:c>
      <x:c r="H12" s="17" t="str">
        <x:v>collection</x:v>
      </x:c>
      <x:c r="I12" s="17" t="str">
        <x:v>梅州虚拟回收/检测中心</x:v>
      </x:c>
      <x:c r="J12" s="24" t="n">
        <x:v>116.1171428</x:v>
      </x:c>
      <x:c r="K12" s="24" t="n">
        <x:v>24.2918414</x:v>
      </x:c>
      <x:c r="L12" s="21" t="n">
        <x:f>6371*ACOS(MIN(1,COS(F12*PI()/180)*COS(K12*PI()/180)*COS((J12-E12)*PI()/180)+SIN(F12*PI()/180)*SIN(K12*PI()/180)))</x:f>
        <x:v>318.4189220790422</x:v>
      </x:c>
      <x:c r="M12" s="21" t="n">
        <x:f>L12*'情景参数模板'!$D$31</x:f>
        <x:v>382.1027064948506</x:v>
      </x:c>
      <x:c r="N12" s="21" t="n">
        <x:f>IF(C12="source",'情景参数模板'!$D$12,IF(H12="echelon",'情景参数模板'!$D$13,'情景参数模板'!$D$14))</x:f>
        <x:v>0.49</x:v>
      </x:c>
      <x:c r="O12" s="21" t="n">
        <x:f>IF(C12="source",'情景参数模板'!$D$18,IF(H12="echelon",'情景参数模板'!$D$19,'情景参数模板'!$D$20))</x:f>
        <x:v>150</x:v>
      </x:c>
      <x:c r="P12" s="17" t="n">
        <x:f>IF(M12&lt;=O12,1,0)</x:f>
        <x:v>0</x:v>
      </x:c>
      <x:c r="Q12" s="17" t="str">
        <x:v>D-road proxy; B-coordinates</x:v>
      </x:c>
    </x:row>
    <x:row r="13">
      <x:c r="A13" s="17" t="str">
        <x:v>A0009</x:v>
      </x:c>
      <x:c r="B13" s="17" t="str">
        <x:v>GD01</x:v>
      </x:c>
      <x:c r="C13" s="17" t="str">
        <x:v>source</x:v>
      </x:c>
      <x:c r="D13" s="17" t="str">
        <x:v>广州</x:v>
      </x:c>
      <x:c r="E13" s="24" t="n">
        <x:v>113.2589581</x:v>
      </x:c>
      <x:c r="F13" s="24" t="n">
        <x:v>23.1288429</x:v>
      </x:c>
      <x:c r="G13" s="17" t="str">
        <x:v>C09</x:v>
      </x:c>
      <x:c r="H13" s="17" t="str">
        <x:v>collection</x:v>
      </x:c>
      <x:c r="I13" s="17" t="str">
        <x:v>惠州虚拟回收/检测中心</x:v>
      </x:c>
      <x:c r="J13" s="24" t="n">
        <x:v>114.4127007</x:v>
      </x:c>
      <x:c r="K13" s="24" t="n">
        <x:v>23.1125153</x:v>
      </x:c>
      <x:c r="L13" s="21" t="n">
        <x:f>6371*ACOS(MIN(1,COS(F13*PI()/180)*COS(K13*PI()/180)*COS((J13-E13)*PI()/180)+SIN(F13*PI()/180)*SIN(K13*PI()/180)))</x:f>
        <x:v>117.99968375716887</x:v>
      </x:c>
      <x:c r="M13" s="21" t="n">
        <x:f>L13*'情景参数模板'!$D$31</x:f>
        <x:v>141.59962050860264</x:v>
      </x:c>
      <x:c r="N13" s="21" t="n">
        <x:f>IF(C13="source",'情景参数模板'!$D$12,IF(H13="echelon",'情景参数模板'!$D$13,'情景参数模板'!$D$14))</x:f>
        <x:v>0.49</x:v>
      </x:c>
      <x:c r="O13" s="21" t="n">
        <x:f>IF(C13="source",'情景参数模板'!$D$18,IF(H13="echelon",'情景参数模板'!$D$19,'情景参数模板'!$D$20))</x:f>
        <x:v>150</x:v>
      </x:c>
      <x:c r="P13" s="17" t="n">
        <x:f>IF(M13&lt;=O13,1,0)</x:f>
        <x:v>1</x:v>
      </x:c>
      <x:c r="Q13" s="17" t="str">
        <x:v>D-road proxy; B-coordinates</x:v>
      </x:c>
    </x:row>
    <x:row r="14">
      <x:c r="A14" s="17" t="str">
        <x:v>A0010</x:v>
      </x:c>
      <x:c r="B14" s="17" t="str">
        <x:v>GD01</x:v>
      </x:c>
      <x:c r="C14" s="17" t="str">
        <x:v>source</x:v>
      </x:c>
      <x:c r="D14" s="17" t="str">
        <x:v>广州</x:v>
      </x:c>
      <x:c r="E14" s="24" t="n">
        <x:v>113.2589581</x:v>
      </x:c>
      <x:c r="F14" s="24" t="n">
        <x:v>23.1288429</x:v>
      </x:c>
      <x:c r="G14" s="17" t="str">
        <x:v>C10</x:v>
      </x:c>
      <x:c r="H14" s="17" t="str">
        <x:v>collection</x:v>
      </x:c>
      <x:c r="I14" s="17" t="str">
        <x:v>汕尾虚拟回收/检测中心</x:v>
      </x:c>
      <x:c r="J14" s="24" t="n">
        <x:v>115.5099937</x:v>
      </x:c>
      <x:c r="K14" s="24" t="n">
        <x:v>23.0123639</x:v>
      </x:c>
      <x:c r="L14" s="21" t="n">
        <x:f>6371*ACOS(MIN(1,COS(F14*PI()/180)*COS(K14*PI()/180)*COS((J14-E14)*PI()/180)+SIN(F14*PI()/180)*SIN(K14*PI()/180)))</x:f>
        <x:v>230.6467190844284</x:v>
      </x:c>
      <x:c r="M14" s="21" t="n">
        <x:f>L14*'情景参数模板'!$D$31</x:f>
        <x:v>276.7760629013141</x:v>
      </x:c>
      <x:c r="N14" s="21" t="n">
        <x:f>IF(C14="source",'情景参数模板'!$D$12,IF(H14="echelon",'情景参数模板'!$D$13,'情景参数模板'!$D$14))</x:f>
        <x:v>0.49</x:v>
      </x:c>
      <x:c r="O14" s="21" t="n">
        <x:f>IF(C14="source",'情景参数模板'!$D$18,IF(H14="echelon",'情景参数模板'!$D$19,'情景参数模板'!$D$20))</x:f>
        <x:v>150</x:v>
      </x:c>
      <x:c r="P14" s="17" t="n">
        <x:f>IF(M14&lt;=O14,1,0)</x:f>
        <x:v>0</x:v>
      </x:c>
      <x:c r="Q14" s="17" t="str">
        <x:v>D-road proxy; B-coordinates</x:v>
      </x:c>
    </x:row>
    <x:row r="15">
      <x:c r="A15" s="17" t="str">
        <x:v>A0011</x:v>
      </x:c>
      <x:c r="B15" s="17" t="str">
        <x:v>GD01</x:v>
      </x:c>
      <x:c r="C15" s="17" t="str">
        <x:v>source</x:v>
      </x:c>
      <x:c r="D15" s="17" t="str">
        <x:v>广州</x:v>
      </x:c>
      <x:c r="E15" s="24" t="n">
        <x:v>113.2589581</x:v>
      </x:c>
      <x:c r="F15" s="24" t="n">
        <x:v>23.1288429</x:v>
      </x:c>
      <x:c r="G15" s="17" t="str">
        <x:v>C11</x:v>
      </x:c>
      <x:c r="H15" s="17" t="str">
        <x:v>collection</x:v>
      </x:c>
      <x:c r="I15" s="17" t="str">
        <x:v>东莞虚拟回收/检测中心</x:v>
      </x:c>
      <x:c r="J15" s="24" t="n">
        <x:v>113.7452332</x:v>
      </x:c>
      <x:c r="K15" s="24" t="n">
        <x:v>23.0183568</x:v>
      </x:c>
      <x:c r="L15" s="21" t="n">
        <x:f>6371*ACOS(MIN(1,COS(F15*PI()/180)*COS(K15*PI()/180)*COS((J15-E15)*PI()/180)+SIN(F15*PI()/180)*SIN(K15*PI()/180)))</x:f>
        <x:v>51.240297874016186</x:v>
      </x:c>
      <x:c r="M15" s="21" t="n">
        <x:f>L15*'情景参数模板'!$D$31</x:f>
        <x:v>61.48835744881942</x:v>
      </x:c>
      <x:c r="N15" s="21" t="n">
        <x:f>IF(C15="source",'情景参数模板'!$D$12,IF(H15="echelon",'情景参数模板'!$D$13,'情景参数模板'!$D$14))</x:f>
        <x:v>0.49</x:v>
      </x:c>
      <x:c r="O15" s="21" t="n">
        <x:f>IF(C15="source",'情景参数模板'!$D$18,IF(H15="echelon",'情景参数模板'!$D$19,'情景参数模板'!$D$20))</x:f>
        <x:v>150</x:v>
      </x:c>
      <x:c r="P15" s="17" t="n">
        <x:f>IF(M15&lt;=O15,1,0)</x:f>
        <x:v>1</x:v>
      </x:c>
      <x:c r="Q15" s="17" t="str">
        <x:v>D-road proxy; B-coordinates</x:v>
      </x:c>
    </x:row>
    <x:row r="16">
      <x:c r="A16" s="17" t="str">
        <x:v>A0012</x:v>
      </x:c>
      <x:c r="B16" s="17" t="str">
        <x:v>GD01</x:v>
      </x:c>
      <x:c r="C16" s="17" t="str">
        <x:v>source</x:v>
      </x:c>
      <x:c r="D16" s="17" t="str">
        <x:v>广州</x:v>
      </x:c>
      <x:c r="E16" s="24" t="n">
        <x:v>113.2589581</x:v>
      </x:c>
      <x:c r="F16" s="24" t="n">
        <x:v>23.1288429</x:v>
      </x:c>
      <x:c r="G16" s="17" t="str">
        <x:v>C12</x:v>
      </x:c>
      <x:c r="H16" s="17" t="str">
        <x:v>collection</x:v>
      </x:c>
      <x:c r="I16" s="17" t="str">
        <x:v>中山虚拟回收/检测中心</x:v>
      </x:c>
      <x:c r="J16" s="24" t="n">
        <x:v>113.3872302</x:v>
      </x:c>
      <x:c r="K16" s="24" t="n">
        <x:v>22.5197073</x:v>
      </x:c>
      <x:c r="L16" s="21" t="n">
        <x:f>6371*ACOS(MIN(1,COS(F16*PI()/180)*COS(K16*PI()/180)*COS((J16-E16)*PI()/180)+SIN(F16*PI()/180)*SIN(K16*PI()/180)))</x:f>
        <x:v>68.99677868461173</x:v>
      </x:c>
      <x:c r="M16" s="21" t="n">
        <x:f>L16*'情景参数模板'!$D$31</x:f>
        <x:v>82.79613442153406</x:v>
      </x:c>
      <x:c r="N16" s="21" t="n">
        <x:f>IF(C16="source",'情景参数模板'!$D$12,IF(H16="echelon",'情景参数模板'!$D$13,'情景参数模板'!$D$14))</x:f>
        <x:v>0.49</x:v>
      </x:c>
      <x:c r="O16" s="21" t="n">
        <x:f>IF(C16="source",'情景参数模板'!$D$18,IF(H16="echelon",'情景参数模板'!$D$19,'情景参数模板'!$D$20))</x:f>
        <x:v>150</x:v>
      </x:c>
      <x:c r="P16" s="17" t="n">
        <x:f>IF(M16&lt;=O16,1,0)</x:f>
        <x:v>1</x:v>
      </x:c>
      <x:c r="Q16" s="17" t="str">
        <x:v>D-road proxy; B-coordinates</x:v>
      </x:c>
    </x:row>
    <x:row r="17">
      <x:c r="A17" s="17" t="str">
        <x:v>A0013</x:v>
      </x:c>
      <x:c r="B17" s="17" t="str">
        <x:v>GD01</x:v>
      </x:c>
      <x:c r="C17" s="17" t="str">
        <x:v>source</x:v>
      </x:c>
      <x:c r="D17" s="17" t="str">
        <x:v>广州</x:v>
      </x:c>
      <x:c r="E17" s="24" t="n">
        <x:v>113.2589581</x:v>
      </x:c>
      <x:c r="F17" s="24" t="n">
        <x:v>23.1288429</x:v>
      </x:c>
      <x:c r="G17" s="17" t="str">
        <x:v>C13</x:v>
      </x:c>
      <x:c r="H17" s="17" t="str">
        <x:v>collection</x:v>
      </x:c>
      <x:c r="I17" s="17" t="str">
        <x:v>江门虚拟回收/检测中心</x:v>
      </x:c>
      <x:c r="J17" s="24" t="n">
        <x:v>113.0761073</x:v>
      </x:c>
      <x:c r="K17" s="24" t="n">
        <x:v>22.5816619</x:v>
      </x:c>
      <x:c r="L17" s="21" t="n">
        <x:f>6371*ACOS(MIN(1,COS(F17*PI()/180)*COS(K17*PI()/180)*COS((J17-E17)*PI()/180)+SIN(F17*PI()/180)*SIN(K17*PI()/180)))</x:f>
        <x:v>63.663079882234</x:v>
      </x:c>
      <x:c r="M17" s="21" t="n">
        <x:f>L17*'情景参数模板'!$D$31</x:f>
        <x:v>76.3956958586808</x:v>
      </x:c>
      <x:c r="N17" s="21" t="n">
        <x:f>IF(C17="source",'情景参数模板'!$D$12,IF(H17="echelon",'情景参数模板'!$D$13,'情景参数模板'!$D$14))</x:f>
        <x:v>0.49</x:v>
      </x:c>
      <x:c r="O17" s="21" t="n">
        <x:f>IF(C17="source",'情景参数模板'!$D$18,IF(H17="echelon",'情景参数模板'!$D$19,'情景参数模板'!$D$20))</x:f>
        <x:v>150</x:v>
      </x:c>
      <x:c r="P17" s="17" t="n">
        <x:f>IF(M17&lt;=O17,1,0)</x:f>
        <x:v>1</x:v>
      </x:c>
      <x:c r="Q17" s="17" t="str">
        <x:v>D-road proxy; B-coordinates</x:v>
      </x:c>
    </x:row>
    <x:row r="18">
      <x:c r="A18" s="17" t="str">
        <x:v>A0014</x:v>
      </x:c>
      <x:c r="B18" s="17" t="str">
        <x:v>GD01</x:v>
      </x:c>
      <x:c r="C18" s="17" t="str">
        <x:v>source</x:v>
      </x:c>
      <x:c r="D18" s="17" t="str">
        <x:v>广州</x:v>
      </x:c>
      <x:c r="E18" s="24" t="n">
        <x:v>113.2589581</x:v>
      </x:c>
      <x:c r="F18" s="24" t="n">
        <x:v>23.1288429</x:v>
      </x:c>
      <x:c r="G18" s="17" t="str">
        <x:v>C14</x:v>
      </x:c>
      <x:c r="H18" s="17" t="str">
        <x:v>collection</x:v>
      </x:c>
      <x:c r="I18" s="17" t="str">
        <x:v>阳江虚拟回收/检测中心</x:v>
      </x:c>
      <x:c r="J18" s="24" t="n">
        <x:v>111.7831393</x:v>
      </x:c>
      <x:c r="K18" s="24" t="n">
        <x:v>22.0958223</x:v>
      </x:c>
      <x:c r="L18" s="21" t="n">
        <x:f>6371*ACOS(MIN(1,COS(F18*PI()/180)*COS(K18*PI()/180)*COS((J18-E18)*PI()/180)+SIN(F18*PI()/180)*SIN(K18*PI()/180)))</x:f>
        <x:v>190.11044852396574</x:v>
      </x:c>
      <x:c r="M18" s="21" t="n">
        <x:f>L18*'情景参数模板'!$D$31</x:f>
        <x:v>228.13253822875888</x:v>
      </x:c>
      <x:c r="N18" s="21" t="n">
        <x:f>IF(C18="source",'情景参数模板'!$D$12,IF(H18="echelon",'情景参数模板'!$D$13,'情景参数模板'!$D$14))</x:f>
        <x:v>0.49</x:v>
      </x:c>
      <x:c r="O18" s="21" t="n">
        <x:f>IF(C18="source",'情景参数模板'!$D$18,IF(H18="echelon",'情景参数模板'!$D$19,'情景参数模板'!$D$20))</x:f>
        <x:v>150</x:v>
      </x:c>
      <x:c r="P18" s="17" t="n">
        <x:f>IF(M18&lt;=O18,1,0)</x:f>
        <x:v>0</x:v>
      </x:c>
      <x:c r="Q18" s="17" t="str">
        <x:v>D-road proxy; B-coordinates</x:v>
      </x:c>
    </x:row>
    <x:row r="19">
      <x:c r="A19" s="17" t="str">
        <x:v>A0015</x:v>
      </x:c>
      <x:c r="B19" s="17" t="str">
        <x:v>GD01</x:v>
      </x:c>
      <x:c r="C19" s="17" t="str">
        <x:v>source</x:v>
      </x:c>
      <x:c r="D19" s="17" t="str">
        <x:v>广州</x:v>
      </x:c>
      <x:c r="E19" s="24" t="n">
        <x:v>113.2589581</x:v>
      </x:c>
      <x:c r="F19" s="24" t="n">
        <x:v>23.1288429</x:v>
      </x:c>
      <x:c r="G19" s="17" t="str">
        <x:v>C15</x:v>
      </x:c>
      <x:c r="H19" s="17" t="str">
        <x:v>collection</x:v>
      </x:c>
      <x:c r="I19" s="17" t="str">
        <x:v>湛江虚拟回收/检测中心</x:v>
      </x:c>
      <x:c r="J19" s="24" t="n">
        <x:v>110.3548318</x:v>
      </x:c>
      <x:c r="K19" s="24" t="n">
        <x:v>21.2737079</x:v>
      </x:c>
      <x:c r="L19" s="21" t="n">
        <x:f>6371*ACOS(MIN(1,COS(F19*PI()/180)*COS(K19*PI()/180)*COS((J19-E19)*PI()/180)+SIN(F19*PI()/180)*SIN(K19*PI()/180)))</x:f>
        <x:v>363.2197932210833</x:v>
      </x:c>
      <x:c r="M19" s="21" t="n">
        <x:f>L19*'情景参数模板'!$D$31</x:f>
        <x:v>435.86375186529995</x:v>
      </x:c>
      <x:c r="N19" s="21" t="n">
        <x:f>IF(C19="source",'情景参数模板'!$D$12,IF(H19="echelon",'情景参数模板'!$D$13,'情景参数模板'!$D$14))</x:f>
        <x:v>0.49</x:v>
      </x:c>
      <x:c r="O19" s="21" t="n">
        <x:f>IF(C19="source",'情景参数模板'!$D$18,IF(H19="echelon",'情景参数模板'!$D$19,'情景参数模板'!$D$20))</x:f>
        <x:v>150</x:v>
      </x:c>
      <x:c r="P19" s="17" t="n">
        <x:f>IF(M19&lt;=O19,1,0)</x:f>
        <x:v>0</x:v>
      </x:c>
      <x:c r="Q19" s="17" t="str">
        <x:v>D-road proxy; B-coordinates</x:v>
      </x:c>
    </x:row>
    <x:row r="20">
      <x:c r="A20" s="17" t="str">
        <x:v>A0016</x:v>
      </x:c>
      <x:c r="B20" s="17" t="str">
        <x:v>GD01</x:v>
      </x:c>
      <x:c r="C20" s="17" t="str">
        <x:v>source</x:v>
      </x:c>
      <x:c r="D20" s="17" t="str">
        <x:v>广州</x:v>
      </x:c>
      <x:c r="E20" s="24" t="n">
        <x:v>113.2589581</x:v>
      </x:c>
      <x:c r="F20" s="24" t="n">
        <x:v>23.1288429</x:v>
      </x:c>
      <x:c r="G20" s="17" t="str">
        <x:v>C16</x:v>
      </x:c>
      <x:c r="H20" s="17" t="str">
        <x:v>collection</x:v>
      </x:c>
      <x:c r="I20" s="17" t="str">
        <x:v>茂名虚拟回收/检测中心</x:v>
      </x:c>
      <x:c r="J20" s="24" t="n">
        <x:v>110.9209511</x:v>
      </x:c>
      <x:c r="K20" s="24" t="n">
        <x:v>21.6656961</x:v>
      </x:c>
      <x:c r="L20" s="21" t="n">
        <x:f>6371*ACOS(MIN(1,COS(F20*PI()/180)*COS(K20*PI()/180)*COS((J20-E20)*PI()/180)+SIN(F20*PI()/180)*SIN(K20*PI()/180)))</x:f>
        <x:v>290.23788677814406</x:v>
      </x:c>
      <x:c r="M20" s="21" t="n">
        <x:f>L20*'情景参数模板'!$D$31</x:f>
        <x:v>348.28546413377285</x:v>
      </x:c>
      <x:c r="N20" s="21" t="n">
        <x:f>IF(C20="source",'情景参数模板'!$D$12,IF(H20="echelon",'情景参数模板'!$D$13,'情景参数模板'!$D$14))</x:f>
        <x:v>0.49</x:v>
      </x:c>
      <x:c r="O20" s="21" t="n">
        <x:f>IF(C20="source",'情景参数模板'!$D$18,IF(H20="echelon",'情景参数模板'!$D$19,'情景参数模板'!$D$20))</x:f>
        <x:v>150</x:v>
      </x:c>
      <x:c r="P20" s="17" t="n">
        <x:f>IF(M20&lt;=O20,1,0)</x:f>
        <x:v>0</x:v>
      </x:c>
      <x:c r="Q20" s="17" t="str">
        <x:v>D-road proxy; B-coordinates</x:v>
      </x:c>
    </x:row>
    <x:row r="21">
      <x:c r="A21" s="17" t="str">
        <x:v>A0017</x:v>
      </x:c>
      <x:c r="B21" s="17" t="str">
        <x:v>GD01</x:v>
      </x:c>
      <x:c r="C21" s="17" t="str">
        <x:v>source</x:v>
      </x:c>
      <x:c r="D21" s="17" t="str">
        <x:v>广州</x:v>
      </x:c>
      <x:c r="E21" s="24" t="n">
        <x:v>113.2589581</x:v>
      </x:c>
      <x:c r="F21" s="24" t="n">
        <x:v>23.1288429</x:v>
      </x:c>
      <x:c r="G21" s="17" t="str">
        <x:v>C17</x:v>
      </x:c>
      <x:c r="H21" s="17" t="str">
        <x:v>collection</x:v>
      </x:c>
      <x:c r="I21" s="17" t="str">
        <x:v>肇庆虚拟回收/检测中心</x:v>
      </x:c>
      <x:c r="J21" s="24" t="n">
        <x:v>112.4603629</x:v>
      </x:c>
      <x:c r="K21" s="24" t="n">
        <x:v>23.0501661</x:v>
      </x:c>
      <x:c r="L21" s="21" t="n">
        <x:f>6371*ACOS(MIN(1,COS(F21*PI()/180)*COS(K21*PI()/180)*COS((J21-E21)*PI()/180)+SIN(F21*PI()/180)*SIN(K21*PI()/180)))</x:f>
        <x:v>82.15331137313247</x:v>
      </x:c>
      <x:c r="M21" s="21" t="n">
        <x:f>L21*'情景参数模板'!$D$31</x:f>
        <x:v>98.58397364775895</x:v>
      </x:c>
      <x:c r="N21" s="21" t="n">
        <x:f>IF(C21="source",'情景参数模板'!$D$12,IF(H21="echelon",'情景参数模板'!$D$13,'情景参数模板'!$D$14))</x:f>
        <x:v>0.49</x:v>
      </x:c>
      <x:c r="O21" s="21" t="n">
        <x:f>IF(C21="source",'情景参数模板'!$D$18,IF(H21="echelon",'情景参数模板'!$D$19,'情景参数模板'!$D$20))</x:f>
        <x:v>150</x:v>
      </x:c>
      <x:c r="P21" s="17" t="n">
        <x:f>IF(M21&lt;=O21,1,0)</x:f>
        <x:v>1</x:v>
      </x:c>
      <x:c r="Q21" s="17" t="str">
        <x:v>D-road proxy; B-coordinates</x:v>
      </x:c>
    </x:row>
    <x:row r="22">
      <x:c r="A22" s="17" t="str">
        <x:v>A0018</x:v>
      </x:c>
      <x:c r="B22" s="17" t="str">
        <x:v>GD01</x:v>
      </x:c>
      <x:c r="C22" s="17" t="str">
        <x:v>source</x:v>
      </x:c>
      <x:c r="D22" s="17" t="str">
        <x:v>广州</x:v>
      </x:c>
      <x:c r="E22" s="24" t="n">
        <x:v>113.2589581</x:v>
      </x:c>
      <x:c r="F22" s="24" t="n">
        <x:v>23.1288429</x:v>
      </x:c>
      <x:c r="G22" s="17" t="str">
        <x:v>C18</x:v>
      </x:c>
      <x:c r="H22" s="17" t="str">
        <x:v>collection</x:v>
      </x:c>
      <x:c r="I22" s="17" t="str">
        <x:v>清远虚拟回收/检测中心</x:v>
      </x:c>
      <x:c r="J22" s="24" t="n">
        <x:v>113.0505994</x:v>
      </x:c>
      <x:c r="K22" s="24" t="n">
        <x:v>23.6832984</x:v>
      </x:c>
      <x:c r="L22" s="21" t="n">
        <x:f>6371*ACOS(MIN(1,COS(F22*PI()/180)*COS(K22*PI()/180)*COS((J22-E22)*PI()/180)+SIN(F22*PI()/180)*SIN(K22*PI()/180)))</x:f>
        <x:v>65.21589659147114</x:v>
      </x:c>
      <x:c r="M22" s="21" t="n">
        <x:f>L22*'情景参数模板'!$D$31</x:f>
        <x:v>78.25907590976536</x:v>
      </x:c>
      <x:c r="N22" s="21" t="n">
        <x:f>IF(C22="source",'情景参数模板'!$D$12,IF(H22="echelon",'情景参数模板'!$D$13,'情景参数模板'!$D$14))</x:f>
        <x:v>0.49</x:v>
      </x:c>
      <x:c r="O22" s="21" t="n">
        <x:f>IF(C22="source",'情景参数模板'!$D$18,IF(H22="echelon",'情景参数模板'!$D$19,'情景参数模板'!$D$20))</x:f>
        <x:v>150</x:v>
      </x:c>
      <x:c r="P22" s="17" t="n">
        <x:f>IF(M22&lt;=O22,1,0)</x:f>
        <x:v>1</x:v>
      </x:c>
      <x:c r="Q22" s="17" t="str">
        <x:v>D-road proxy; B-coordinates</x:v>
      </x:c>
    </x:row>
    <x:row r="23">
      <x:c r="A23" s="17" t="str">
        <x:v>A0019</x:v>
      </x:c>
      <x:c r="B23" s="17" t="str">
        <x:v>GD01</x:v>
      </x:c>
      <x:c r="C23" s="17" t="str">
        <x:v>source</x:v>
      </x:c>
      <x:c r="D23" s="17" t="str">
        <x:v>广州</x:v>
      </x:c>
      <x:c r="E23" s="24" t="n">
        <x:v>113.2589581</x:v>
      </x:c>
      <x:c r="F23" s="24" t="n">
        <x:v>23.1288429</x:v>
      </x:c>
      <x:c r="G23" s="17" t="str">
        <x:v>C19</x:v>
      </x:c>
      <x:c r="H23" s="17" t="str">
        <x:v>collection</x:v>
      </x:c>
      <x:c r="I23" s="17" t="str">
        <x:v>潮州虚拟回收/检测中心</x:v>
      </x:c>
      <x:c r="J23" s="24" t="n">
        <x:v>116.6204223</x:v>
      </x:c>
      <x:c r="K23" s="24" t="n">
        <x:v>23.656593</x:v>
      </x:c>
      <x:c r="L23" s="21" t="n">
        <x:f>6371*ACOS(MIN(1,COS(F23*PI()/180)*COS(K23*PI()/180)*COS((J23-E23)*PI()/180)+SIN(F23*PI()/180)*SIN(K23*PI()/180)))</x:f>
        <x:v>348.02861264383995</x:v>
      </x:c>
      <x:c r="M23" s="21" t="n">
        <x:f>L23*'情景参数模板'!$D$31</x:f>
        <x:v>417.6343351726079</x:v>
      </x:c>
      <x:c r="N23" s="21" t="n">
        <x:f>IF(C23="source",'情景参数模板'!$D$12,IF(H23="echelon",'情景参数模板'!$D$13,'情景参数模板'!$D$14))</x:f>
        <x:v>0.49</x:v>
      </x:c>
      <x:c r="O23" s="21" t="n">
        <x:f>IF(C23="source",'情景参数模板'!$D$18,IF(H23="echelon",'情景参数模板'!$D$19,'情景参数模板'!$D$20))</x:f>
        <x:v>150</x:v>
      </x:c>
      <x:c r="P23" s="17" t="n">
        <x:f>IF(M23&lt;=O23,1,0)</x:f>
        <x:v>0</x:v>
      </x:c>
      <x:c r="Q23" s="17" t="str">
        <x:v>D-road proxy; B-coordinates</x:v>
      </x:c>
    </x:row>
    <x:row r="24">
      <x:c r="A24" s="17" t="str">
        <x:v>A0020</x:v>
      </x:c>
      <x:c r="B24" s="17" t="str">
        <x:v>GD01</x:v>
      </x:c>
      <x:c r="C24" s="17" t="str">
        <x:v>source</x:v>
      </x:c>
      <x:c r="D24" s="17" t="str">
        <x:v>广州</x:v>
      </x:c>
      <x:c r="E24" s="24" t="n">
        <x:v>113.2589581</x:v>
      </x:c>
      <x:c r="F24" s="24" t="n">
        <x:v>23.1288429</x:v>
      </x:c>
      <x:c r="G24" s="17" t="str">
        <x:v>C20</x:v>
      </x:c>
      <x:c r="H24" s="17" t="str">
        <x:v>collection</x:v>
      </x:c>
      <x:c r="I24" s="17" t="str">
        <x:v>揭阳虚拟回收/检测中心</x:v>
      </x:c>
      <x:c r="J24" s="24" t="n">
        <x:v>116.3680354</x:v>
      </x:c>
      <x:c r="K24" s="24" t="n">
        <x:v>23.553156</x:v>
      </x:c>
      <x:c r="L24" s="21" t="n">
        <x:f>6371*ACOS(MIN(1,COS(F24*PI()/180)*COS(K24*PI()/180)*COS((J24-E24)*PI()/180)+SIN(F24*PI()/180)*SIN(K24*PI()/180)))</x:f>
        <x:v>320.9016901068273</x:v>
      </x:c>
      <x:c r="M24" s="21" t="n">
        <x:f>L24*'情景参数模板'!$D$31</x:f>
        <x:v>385.08202812819275</x:v>
      </x:c>
      <x:c r="N24" s="21" t="n">
        <x:f>IF(C24="source",'情景参数模板'!$D$12,IF(H24="echelon",'情景参数模板'!$D$13,'情景参数模板'!$D$14))</x:f>
        <x:v>0.49</x:v>
      </x:c>
      <x:c r="O24" s="21" t="n">
        <x:f>IF(C24="source",'情景参数模板'!$D$18,IF(H24="echelon",'情景参数模板'!$D$19,'情景参数模板'!$D$20))</x:f>
        <x:v>150</x:v>
      </x:c>
      <x:c r="P24" s="17" t="n">
        <x:f>IF(M24&lt;=O24,1,0)</x:f>
        <x:v>0</x:v>
      </x:c>
      <x:c r="Q24" s="17" t="str">
        <x:v>D-road proxy; B-coordinates</x:v>
      </x:c>
    </x:row>
    <x:row r="25">
      <x:c r="A25" s="17" t="str">
        <x:v>A0021</x:v>
      </x:c>
      <x:c r="B25" s="17" t="str">
        <x:v>GD01</x:v>
      </x:c>
      <x:c r="C25" s="17" t="str">
        <x:v>source</x:v>
      </x:c>
      <x:c r="D25" s="17" t="str">
        <x:v>广州</x:v>
      </x:c>
      <x:c r="E25" s="24" t="n">
        <x:v>113.2589581</x:v>
      </x:c>
      <x:c r="F25" s="24" t="n">
        <x:v>23.1288429</x:v>
      </x:c>
      <x:c r="G25" s="17" t="str">
        <x:v>C21</x:v>
      </x:c>
      <x:c r="H25" s="17" t="str">
        <x:v>collection</x:v>
      </x:c>
      <x:c r="I25" s="17" t="str">
        <x:v>云浮虚拟回收/检测中心</x:v>
      </x:c>
      <x:c r="J25" s="24" t="n">
        <x:v>111.8078586</x:v>
      </x:c>
      <x:c r="K25" s="24" t="n">
        <x:v>22.8546663</x:v>
      </x:c>
      <x:c r="L25" s="21" t="n">
        <x:f>6371*ACOS(MIN(1,COS(F25*PI()/180)*COS(K25*PI()/180)*COS((J25-E25)*PI()/180)+SIN(F25*PI()/180)*SIN(K25*PI()/180)))</x:f>
        <x:v>151.63267515894688</x:v>
      </x:c>
      <x:c r="M25" s="21" t="n">
        <x:f>L25*'情景参数模板'!$D$31</x:f>
        <x:v>181.95921019073626</x:v>
      </x:c>
      <x:c r="N25" s="21" t="n">
        <x:f>IF(C25="source",'情景参数模板'!$D$12,IF(H25="echelon",'情景参数模板'!$D$13,'情景参数模板'!$D$14))</x:f>
        <x:v>0.49</x:v>
      </x:c>
      <x:c r="O25" s="21" t="n">
        <x:f>IF(C25="source",'情景参数模板'!$D$18,IF(H25="echelon",'情景参数模板'!$D$19,'情景参数模板'!$D$20))</x:f>
        <x:v>150</x:v>
      </x:c>
      <x:c r="P25" s="17" t="n">
        <x:f>IF(M25&lt;=O25,1,0)</x:f>
        <x:v>0</x:v>
      </x:c>
      <x:c r="Q25" s="17" t="str">
        <x:v>D-road proxy; B-coordinates</x:v>
      </x:c>
    </x:row>
    <x:row r="26">
      <x:c r="A26" s="17" t="str">
        <x:v>A0022</x:v>
      </x:c>
      <x:c r="B26" s="17" t="str">
        <x:v>GD02</x:v>
      </x:c>
      <x:c r="C26" s="17" t="str">
        <x:v>source</x:v>
      </x:c>
      <x:c r="D26" s="17" t="str">
        <x:v>深圳</x:v>
      </x:c>
      <x:c r="E26" s="24" t="n">
        <x:v>114.0545429</x:v>
      </x:c>
      <x:c r="F26" s="24" t="n">
        <x:v>22.5445741</x:v>
      </x:c>
      <x:c r="G26" s="17" t="str">
        <x:v>C01</x:v>
      </x:c>
      <x:c r="H26" s="17" t="str">
        <x:v>collection</x:v>
      </x:c>
      <x:c r="I26" s="17" t="str">
        <x:v>广州虚拟回收/检测中心</x:v>
      </x:c>
      <x:c r="J26" s="24" t="n">
        <x:v>113.2589581</x:v>
      </x:c>
      <x:c r="K26" s="24" t="n">
        <x:v>23.1288429</x:v>
      </x:c>
      <x:c r="L26" s="21" t="n">
        <x:f>6371*ACOS(MIN(1,COS(F26*PI()/180)*COS(K26*PI()/180)*COS((J26-E26)*PI()/180)+SIN(F26*PI()/180)*SIN(K26*PI()/180)))</x:f>
        <x:v>104.24944100592228</x:v>
      </x:c>
      <x:c r="M26" s="21" t="n">
        <x:f>L26*'情景参数模板'!$D$31</x:f>
        <x:v>125.09932920710673</x:v>
      </x:c>
      <x:c r="N26" s="21" t="n">
        <x:f>IF(C26="source",'情景参数模板'!$D$12,IF(H26="echelon",'情景参数模板'!$D$13,'情景参数模板'!$D$14))</x:f>
        <x:v>0.49</x:v>
      </x:c>
      <x:c r="O26" s="21" t="n">
        <x:f>IF(C26="source",'情景参数模板'!$D$18,IF(H26="echelon",'情景参数模板'!$D$19,'情景参数模板'!$D$20))</x:f>
        <x:v>150</x:v>
      </x:c>
      <x:c r="P26" s="17" t="n">
        <x:f>IF(M26&lt;=O26,1,0)</x:f>
        <x:v>1</x:v>
      </x:c>
      <x:c r="Q26" s="17" t="str">
        <x:v>D-road proxy; B-coordinates</x:v>
      </x:c>
    </x:row>
    <x:row r="27">
      <x:c r="A27" s="17" t="str">
        <x:v>A0023</x:v>
      </x:c>
      <x:c r="B27" s="17" t="str">
        <x:v>GD02</x:v>
      </x:c>
      <x:c r="C27" s="17" t="str">
        <x:v>source</x:v>
      </x:c>
      <x:c r="D27" s="17" t="str">
        <x:v>深圳</x:v>
      </x:c>
      <x:c r="E27" s="24" t="n">
        <x:v>114.0545429</x:v>
      </x:c>
      <x:c r="F27" s="24" t="n">
        <x:v>22.5445741</x:v>
      </x:c>
      <x:c r="G27" s="17" t="str">
        <x:v>C02</x:v>
      </x:c>
      <x:c r="H27" s="17" t="str">
        <x:v>collection</x:v>
      </x:c>
      <x:c r="I27" s="17" t="str">
        <x:v>深圳虚拟回收/检测中心</x:v>
      </x:c>
      <x:c r="J27" s="24" t="n">
        <x:v>114.0545429</x:v>
      </x:c>
      <x:c r="K27" s="24" t="n">
        <x:v>22.5445741</x:v>
      </x:c>
      <x:c r="L27" s="21" t="n">
        <x:f>6371*ACOS(MIN(1,COS(F27*PI()/180)*COS(K27*PI()/180)*COS((J27-E27)*PI()/180)+SIN(F27*PI()/180)*SIN(K27*PI()/180)))</x:f>
        <x:v>0</x:v>
      </x:c>
      <x:c r="M27" s="21" t="n">
        <x:f>L27*'情景参数模板'!$D$31</x:f>
        <x:v>0</x:v>
      </x:c>
      <x:c r="N27" s="21" t="n">
        <x:f>IF(C27="source",'情景参数模板'!$D$12,IF(H27="echelon",'情景参数模板'!$D$13,'情景参数模板'!$D$14))</x:f>
        <x:v>0.49</x:v>
      </x:c>
      <x:c r="O27" s="21" t="n">
        <x:f>IF(C27="source",'情景参数模板'!$D$18,IF(H27="echelon",'情景参数模板'!$D$19,'情景参数模板'!$D$20))</x:f>
        <x:v>150</x:v>
      </x:c>
      <x:c r="P27" s="17" t="n">
        <x:f>IF(M27&lt;=O27,1,0)</x:f>
        <x:v>1</x:v>
      </x:c>
      <x:c r="Q27" s="17" t="str">
        <x:v>D-road proxy; B-coordinates</x:v>
      </x:c>
    </x:row>
    <x:row r="28">
      <x:c r="A28" s="17" t="str">
        <x:v>A0024</x:v>
      </x:c>
      <x:c r="B28" s="17" t="str">
        <x:v>GD02</x:v>
      </x:c>
      <x:c r="C28" s="17" t="str">
        <x:v>source</x:v>
      </x:c>
      <x:c r="D28" s="17" t="str">
        <x:v>深圳</x:v>
      </x:c>
      <x:c r="E28" s="24" t="n">
        <x:v>114.0545429</x:v>
      </x:c>
      <x:c r="F28" s="24" t="n">
        <x:v>22.5445741</x:v>
      </x:c>
      <x:c r="G28" s="17" t="str">
        <x:v>C03</x:v>
      </x:c>
      <x:c r="H28" s="17" t="str">
        <x:v>collection</x:v>
      </x:c>
      <x:c r="I28" s="17" t="str">
        <x:v>珠海虚拟回收/检测中心</x:v>
      </x:c>
      <x:c r="J28" s="24" t="n">
        <x:v>113.5721327</x:v>
      </x:c>
      <x:c r="K28" s="24" t="n">
        <x:v>22.273734</x:v>
      </x:c>
      <x:c r="L28" s="21" t="n">
        <x:f>6371*ACOS(MIN(1,COS(F28*PI()/180)*COS(K28*PI()/180)*COS((J28-E28)*PI()/180)+SIN(F28*PI()/180)*SIN(K28*PI()/180)))</x:f>
        <x:v>58.019114911578654</x:v>
      </x:c>
      <x:c r="M28" s="21" t="n">
        <x:f>L28*'情景参数模板'!$D$31</x:f>
        <x:v>69.62293789389439</x:v>
      </x:c>
      <x:c r="N28" s="21" t="n">
        <x:f>IF(C28="source",'情景参数模板'!$D$12,IF(H28="echelon",'情景参数模板'!$D$13,'情景参数模板'!$D$14))</x:f>
        <x:v>0.49</x:v>
      </x:c>
      <x:c r="O28" s="21" t="n">
        <x:f>IF(C28="source",'情景参数模板'!$D$18,IF(H28="echelon",'情景参数模板'!$D$19,'情景参数模板'!$D$20))</x:f>
        <x:v>150</x:v>
      </x:c>
      <x:c r="P28" s="17" t="n">
        <x:f>IF(M28&lt;=O28,1,0)</x:f>
        <x:v>1</x:v>
      </x:c>
      <x:c r="Q28" s="17" t="str">
        <x:v>D-road proxy; B-coordinates</x:v>
      </x:c>
    </x:row>
    <x:row r="29">
      <x:c r="A29" s="17" t="str">
        <x:v>A0025</x:v>
      </x:c>
      <x:c r="B29" s="17" t="str">
        <x:v>GD02</x:v>
      </x:c>
      <x:c r="C29" s="17" t="str">
        <x:v>source</x:v>
      </x:c>
      <x:c r="D29" s="17" t="str">
        <x:v>深圳</x:v>
      </x:c>
      <x:c r="E29" s="24" t="n">
        <x:v>114.0545429</x:v>
      </x:c>
      <x:c r="F29" s="24" t="n">
        <x:v>22.5445741</x:v>
      </x:c>
      <x:c r="G29" s="17" t="str">
        <x:v>C04</x:v>
      </x:c>
      <x:c r="H29" s="17" t="str">
        <x:v>collection</x:v>
      </x:c>
      <x:c r="I29" s="17" t="str">
        <x:v>汕头虚拟回收/检测中心</x:v>
      </x:c>
      <x:c r="J29" s="24" t="n">
        <x:v>116.6775856</x:v>
      </x:c>
      <x:c r="K29" s="24" t="n">
        <x:v>23.3563921</x:v>
      </x:c>
      <x:c r="L29" s="21" t="n">
        <x:f>6371*ACOS(MIN(1,COS(F29*PI()/180)*COS(K29*PI()/180)*COS((J29-E29)*PI()/180)+SIN(F29*PI()/180)*SIN(K29*PI()/180)))</x:f>
        <x:v>283.33857381725</x:v>
      </x:c>
      <x:c r="M29" s="21" t="n">
        <x:f>L29*'情景参数模板'!$D$31</x:f>
        <x:v>340.00628858069996</x:v>
      </x:c>
      <x:c r="N29" s="21" t="n">
        <x:f>IF(C29="source",'情景参数模板'!$D$12,IF(H29="echelon",'情景参数模板'!$D$13,'情景参数模板'!$D$14))</x:f>
        <x:v>0.49</x:v>
      </x:c>
      <x:c r="O29" s="21" t="n">
        <x:f>IF(C29="source",'情景参数模板'!$D$18,IF(H29="echelon",'情景参数模板'!$D$19,'情景参数模板'!$D$20))</x:f>
        <x:v>150</x:v>
      </x:c>
      <x:c r="P29" s="17" t="n">
        <x:f>IF(M29&lt;=O29,1,0)</x:f>
        <x:v>0</x:v>
      </x:c>
      <x:c r="Q29" s="17" t="str">
        <x:v>D-road proxy; B-coordinates</x:v>
      </x:c>
    </x:row>
    <x:row r="30">
      <x:c r="A30" s="17" t="str">
        <x:v>A0026</x:v>
      </x:c>
      <x:c r="B30" s="17" t="str">
        <x:v>GD02</x:v>
      </x:c>
      <x:c r="C30" s="17" t="str">
        <x:v>source</x:v>
      </x:c>
      <x:c r="D30" s="17" t="str">
        <x:v>深圳</x:v>
      </x:c>
      <x:c r="E30" s="24" t="n">
        <x:v>114.0545429</x:v>
      </x:c>
      <x:c r="F30" s="24" t="n">
        <x:v>22.5445741</x:v>
      </x:c>
      <x:c r="G30" s="17" t="str">
        <x:v>C05</x:v>
      </x:c>
      <x:c r="H30" s="17" t="str">
        <x:v>collection</x:v>
      </x:c>
      <x:c r="I30" s="17" t="str">
        <x:v>佛山虚拟回收/检测中心</x:v>
      </x:c>
      <x:c r="J30" s="24" t="n">
        <x:v>113.1159558</x:v>
      </x:c>
      <x:c r="K30" s="24" t="n">
        <x:v>23.0239788</x:v>
      </x:c>
      <x:c r="L30" s="21" t="n">
        <x:f>6371*ACOS(MIN(1,COS(F30*PI()/180)*COS(K30*PI()/180)*COS((J30-E30)*PI()/180)+SIN(F30*PI()/180)*SIN(K30*PI()/180)))</x:f>
        <x:v>110.00140131744698</x:v>
      </x:c>
      <x:c r="M30" s="21" t="n">
        <x:f>L30*'情景参数模板'!$D$31</x:f>
        <x:v>132.00168158093638</x:v>
      </x:c>
      <x:c r="N30" s="21" t="n">
        <x:f>IF(C30="source",'情景参数模板'!$D$12,IF(H30="echelon",'情景参数模板'!$D$13,'情景参数模板'!$D$14))</x:f>
        <x:v>0.49</x:v>
      </x:c>
      <x:c r="O30" s="21" t="n">
        <x:f>IF(C30="source",'情景参数模板'!$D$18,IF(H30="echelon",'情景参数模板'!$D$19,'情景参数模板'!$D$20))</x:f>
        <x:v>150</x:v>
      </x:c>
      <x:c r="P30" s="17" t="n">
        <x:f>IF(M30&lt;=O30,1,0)</x:f>
        <x:v>1</x:v>
      </x:c>
      <x:c r="Q30" s="17" t="str">
        <x:v>D-road proxy; B-coordinates</x:v>
      </x:c>
    </x:row>
    <x:row r="31">
      <x:c r="A31" s="17" t="str">
        <x:v>A0027</x:v>
      </x:c>
      <x:c r="B31" s="17" t="str">
        <x:v>GD02</x:v>
      </x:c>
      <x:c r="C31" s="17" t="str">
        <x:v>source</x:v>
      </x:c>
      <x:c r="D31" s="17" t="str">
        <x:v>深圳</x:v>
      </x:c>
      <x:c r="E31" s="24" t="n">
        <x:v>114.0545429</x:v>
      </x:c>
      <x:c r="F31" s="24" t="n">
        <x:v>22.5445741</x:v>
      </x:c>
      <x:c r="G31" s="17" t="str">
        <x:v>C06</x:v>
      </x:c>
      <x:c r="H31" s="17" t="str">
        <x:v>collection</x:v>
      </x:c>
      <x:c r="I31" s="17" t="str">
        <x:v>韶关虚拟回收/检测中心</x:v>
      </x:c>
      <x:c r="J31" s="24" t="n">
        <x:v>113.8155263</x:v>
      </x:c>
      <x:c r="K31" s="24" t="n">
        <x:v>24.8309489</x:v>
      </x:c>
      <x:c r="L31" s="21" t="n">
        <x:f>6371*ACOS(MIN(1,COS(F31*PI()/180)*COS(K31*PI()/180)*COS((J31-E31)*PI()/180)+SIN(F31*PI()/180)*SIN(K31*PI()/180)))</x:f>
        <x:v>255.39535166591816</x:v>
      </x:c>
      <x:c r="M31" s="21" t="n">
        <x:f>L31*'情景参数模板'!$D$31</x:f>
        <x:v>306.47442199910176</x:v>
      </x:c>
      <x:c r="N31" s="21" t="n">
        <x:f>IF(C31="source",'情景参数模板'!$D$12,IF(H31="echelon",'情景参数模板'!$D$13,'情景参数模板'!$D$14))</x:f>
        <x:v>0.49</x:v>
      </x:c>
      <x:c r="O31" s="21" t="n">
        <x:f>IF(C31="source",'情景参数模板'!$D$18,IF(H31="echelon",'情景参数模板'!$D$19,'情景参数模板'!$D$20))</x:f>
        <x:v>150</x:v>
      </x:c>
      <x:c r="P31" s="17" t="n">
        <x:f>IF(M31&lt;=O31,1,0)</x:f>
        <x:v>0</x:v>
      </x:c>
      <x:c r="Q31" s="17" t="str">
        <x:v>D-road proxy; B-coordinates</x:v>
      </x:c>
    </x:row>
    <x:row r="32">
      <x:c r="A32" s="17" t="str">
        <x:v>A0028</x:v>
      </x:c>
      <x:c r="B32" s="17" t="str">
        <x:v>GD02</x:v>
      </x:c>
      <x:c r="C32" s="17" t="str">
        <x:v>source</x:v>
      </x:c>
      <x:c r="D32" s="17" t="str">
        <x:v>深圳</x:v>
      </x:c>
      <x:c r="E32" s="24" t="n">
        <x:v>114.0545429</x:v>
      </x:c>
      <x:c r="F32" s="24" t="n">
        <x:v>22.5445741</x:v>
      </x:c>
      <x:c r="G32" s="17" t="str">
        <x:v>C07</x:v>
      </x:c>
      <x:c r="H32" s="17" t="str">
        <x:v>collection</x:v>
      </x:c>
      <x:c r="I32" s="17" t="str">
        <x:v>河源虚拟回收/检测中心</x:v>
      </x:c>
      <x:c r="J32" s="24" t="n">
        <x:v>115.0577538</x:v>
      </x:c>
      <x:c r="K32" s="24" t="n">
        <x:v>24.1014769</x:v>
      </x:c>
      <x:c r="L32" s="21" t="n">
        <x:f>6371*ACOS(MIN(1,COS(F32*PI()/180)*COS(K32*PI()/180)*COS((J32-E32)*PI()/180)+SIN(F32*PI()/180)*SIN(K32*PI()/180)))</x:f>
        <x:v>201.1533473364422</x:v>
      </x:c>
      <x:c r="M32" s="21" t="n">
        <x:f>L32*'情景参数模板'!$D$31</x:f>
        <x:v>241.38401680373065</x:v>
      </x:c>
      <x:c r="N32" s="21" t="n">
        <x:f>IF(C32="source",'情景参数模板'!$D$12,IF(H32="echelon",'情景参数模板'!$D$13,'情景参数模板'!$D$14))</x:f>
        <x:v>0.49</x:v>
      </x:c>
      <x:c r="O32" s="21" t="n">
        <x:f>IF(C32="source",'情景参数模板'!$D$18,IF(H32="echelon",'情景参数模板'!$D$19,'情景参数模板'!$D$20))</x:f>
        <x:v>150</x:v>
      </x:c>
      <x:c r="P32" s="17" t="n">
        <x:f>IF(M32&lt;=O32,1,0)</x:f>
        <x:v>0</x:v>
      </x:c>
      <x:c r="Q32" s="17" t="str">
        <x:v>D-road proxy; B-coordinates</x:v>
      </x:c>
    </x:row>
    <x:row r="33">
      <x:c r="A33" s="17" t="str">
        <x:v>A0029</x:v>
      </x:c>
      <x:c r="B33" s="17" t="str">
        <x:v>GD02</x:v>
      </x:c>
      <x:c r="C33" s="17" t="str">
        <x:v>source</x:v>
      </x:c>
      <x:c r="D33" s="17" t="str">
        <x:v>深圳</x:v>
      </x:c>
      <x:c r="E33" s="24" t="n">
        <x:v>114.0545429</x:v>
      </x:c>
      <x:c r="F33" s="24" t="n">
        <x:v>22.5445741</x:v>
      </x:c>
      <x:c r="G33" s="17" t="str">
        <x:v>C08</x:v>
      </x:c>
      <x:c r="H33" s="17" t="str">
        <x:v>collection</x:v>
      </x:c>
      <x:c r="I33" s="17" t="str">
        <x:v>梅州虚拟回收/检测中心</x:v>
      </x:c>
      <x:c r="J33" s="24" t="n">
        <x:v>116.1171428</x:v>
      </x:c>
      <x:c r="K33" s="24" t="n">
        <x:v>24.2918414</x:v>
      </x:c>
      <x:c r="L33" s="21" t="n">
        <x:f>6371*ACOS(MIN(1,COS(F33*PI()/180)*COS(K33*PI()/180)*COS((J33-E33)*PI()/180)+SIN(F33*PI()/180)*SIN(K33*PI()/180)))</x:f>
        <x:v>286.41624544813754</x:v>
      </x:c>
      <x:c r="M33" s="21" t="n">
        <x:f>L33*'情景参数模板'!$D$31</x:f>
        <x:v>343.699494537765</x:v>
      </x:c>
      <x:c r="N33" s="21" t="n">
        <x:f>IF(C33="source",'情景参数模板'!$D$12,IF(H33="echelon",'情景参数模板'!$D$13,'情景参数模板'!$D$14))</x:f>
        <x:v>0.49</x:v>
      </x:c>
      <x:c r="O33" s="21" t="n">
        <x:f>IF(C33="source",'情景参数模板'!$D$18,IF(H33="echelon",'情景参数模板'!$D$19,'情景参数模板'!$D$20))</x:f>
        <x:v>150</x:v>
      </x:c>
      <x:c r="P33" s="17" t="n">
        <x:f>IF(M33&lt;=O33,1,0)</x:f>
        <x:v>0</x:v>
      </x:c>
      <x:c r="Q33" s="17" t="str">
        <x:v>D-road proxy; B-coordinates</x:v>
      </x:c>
    </x:row>
    <x:row r="34">
      <x:c r="A34" s="17" t="str">
        <x:v>A0030</x:v>
      </x:c>
      <x:c r="B34" s="17" t="str">
        <x:v>GD02</x:v>
      </x:c>
      <x:c r="C34" s="17" t="str">
        <x:v>source</x:v>
      </x:c>
      <x:c r="D34" s="17" t="str">
        <x:v>深圳</x:v>
      </x:c>
      <x:c r="E34" s="24" t="n">
        <x:v>114.0545429</x:v>
      </x:c>
      <x:c r="F34" s="24" t="n">
        <x:v>22.5445741</x:v>
      </x:c>
      <x:c r="G34" s="17" t="str">
        <x:v>C09</x:v>
      </x:c>
      <x:c r="H34" s="17" t="str">
        <x:v>collection</x:v>
      </x:c>
      <x:c r="I34" s="17" t="str">
        <x:v>惠州虚拟回收/检测中心</x:v>
      </x:c>
      <x:c r="J34" s="24" t="n">
        <x:v>114.4127007</x:v>
      </x:c>
      <x:c r="K34" s="24" t="n">
        <x:v>23.1125153</x:v>
      </x:c>
      <x:c r="L34" s="21" t="n">
        <x:f>6371*ACOS(MIN(1,COS(F34*PI()/180)*COS(K34*PI()/180)*COS((J34-E34)*PI()/180)+SIN(F34*PI()/180)*SIN(K34*PI()/180)))</x:f>
        <x:v>73.04448557045887</x:v>
      </x:c>
      <x:c r="M34" s="21" t="n">
        <x:f>L34*'情景参数模板'!$D$31</x:f>
        <x:v>87.65338268455065</x:v>
      </x:c>
      <x:c r="N34" s="21" t="n">
        <x:f>IF(C34="source",'情景参数模板'!$D$12,IF(H34="echelon",'情景参数模板'!$D$13,'情景参数模板'!$D$14))</x:f>
        <x:v>0.49</x:v>
      </x:c>
      <x:c r="O34" s="21" t="n">
        <x:f>IF(C34="source",'情景参数模板'!$D$18,IF(H34="echelon",'情景参数模板'!$D$19,'情景参数模板'!$D$20))</x:f>
        <x:v>150</x:v>
      </x:c>
      <x:c r="P34" s="17" t="n">
        <x:f>IF(M34&lt;=O34,1,0)</x:f>
        <x:v>1</x:v>
      </x:c>
      <x:c r="Q34" s="17" t="str">
        <x:v>D-road proxy; B-coordinates</x:v>
      </x:c>
    </x:row>
    <x:row r="35">
      <x:c r="A35" s="17" t="str">
        <x:v>A0031</x:v>
      </x:c>
      <x:c r="B35" s="17" t="str">
        <x:v>GD02</x:v>
      </x:c>
      <x:c r="C35" s="17" t="str">
        <x:v>source</x:v>
      </x:c>
      <x:c r="D35" s="17" t="str">
        <x:v>深圳</x:v>
      </x:c>
      <x:c r="E35" s="24" t="n">
        <x:v>114.0545429</x:v>
      </x:c>
      <x:c r="F35" s="24" t="n">
        <x:v>22.5445741</x:v>
      </x:c>
      <x:c r="G35" s="17" t="str">
        <x:v>C10</x:v>
      </x:c>
      <x:c r="H35" s="17" t="str">
        <x:v>collection</x:v>
      </x:c>
      <x:c r="I35" s="17" t="str">
        <x:v>汕尾虚拟回收/检测中心</x:v>
      </x:c>
      <x:c r="J35" s="24" t="n">
        <x:v>115.5099937</x:v>
      </x:c>
      <x:c r="K35" s="24" t="n">
        <x:v>23.0123639</x:v>
      </x:c>
      <x:c r="L35" s="21" t="n">
        <x:f>6371*ACOS(MIN(1,COS(F35*PI()/180)*COS(K35*PI()/180)*COS((J35-E35)*PI()/180)+SIN(F35*PI()/180)*SIN(K35*PI()/180)))</x:f>
        <x:v>158.02187678789332</x:v>
      </x:c>
      <x:c r="M35" s="21" t="n">
        <x:f>L35*'情景参数模板'!$D$31</x:f>
        <x:v>189.62625214547197</x:v>
      </x:c>
      <x:c r="N35" s="21" t="n">
        <x:f>IF(C35="source",'情景参数模板'!$D$12,IF(H35="echelon",'情景参数模板'!$D$13,'情景参数模板'!$D$14))</x:f>
        <x:v>0.49</x:v>
      </x:c>
      <x:c r="O35" s="21" t="n">
        <x:f>IF(C35="source",'情景参数模板'!$D$18,IF(H35="echelon",'情景参数模板'!$D$19,'情景参数模板'!$D$20))</x:f>
        <x:v>150</x:v>
      </x:c>
      <x:c r="P35" s="17" t="n">
        <x:f>IF(M35&lt;=O35,1,0)</x:f>
        <x:v>0</x:v>
      </x:c>
      <x:c r="Q35" s="17" t="str">
        <x:v>D-road proxy; B-coordinates</x:v>
      </x:c>
    </x:row>
    <x:row r="36">
      <x:c r="A36" s="17" t="str">
        <x:v>A0032</x:v>
      </x:c>
      <x:c r="B36" s="17" t="str">
        <x:v>GD02</x:v>
      </x:c>
      <x:c r="C36" s="17" t="str">
        <x:v>source</x:v>
      </x:c>
      <x:c r="D36" s="17" t="str">
        <x:v>深圳</x:v>
      </x:c>
      <x:c r="E36" s="24" t="n">
        <x:v>114.0545429</x:v>
      </x:c>
      <x:c r="F36" s="24" t="n">
        <x:v>22.5445741</x:v>
      </x:c>
      <x:c r="G36" s="17" t="str">
        <x:v>C11</x:v>
      </x:c>
      <x:c r="H36" s="17" t="str">
        <x:v>collection</x:v>
      </x:c>
      <x:c r="I36" s="17" t="str">
        <x:v>东莞虚拟回收/检测中心</x:v>
      </x:c>
      <x:c r="J36" s="24" t="n">
        <x:v>113.7452332</x:v>
      </x:c>
      <x:c r="K36" s="24" t="n">
        <x:v>23.0183568</x:v>
      </x:c>
      <x:c r="L36" s="21" t="n">
        <x:f>6371*ACOS(MIN(1,COS(F36*PI()/180)*COS(K36*PI()/180)*COS((J36-E36)*PI()/180)+SIN(F36*PI()/180)*SIN(K36*PI()/180)))</x:f>
        <x:v>61.48958054626042</x:v>
      </x:c>
      <x:c r="M36" s="21" t="n">
        <x:f>L36*'情景参数模板'!$D$31</x:f>
        <x:v>73.7874966555125</x:v>
      </x:c>
      <x:c r="N36" s="21" t="n">
        <x:f>IF(C36="source",'情景参数模板'!$D$12,IF(H36="echelon",'情景参数模板'!$D$13,'情景参数模板'!$D$14))</x:f>
        <x:v>0.49</x:v>
      </x:c>
      <x:c r="O36" s="21" t="n">
        <x:f>IF(C36="source",'情景参数模板'!$D$18,IF(H36="echelon",'情景参数模板'!$D$19,'情景参数模板'!$D$20))</x:f>
        <x:v>150</x:v>
      </x:c>
      <x:c r="P36" s="17" t="n">
        <x:f>IF(M36&lt;=O36,1,0)</x:f>
        <x:v>1</x:v>
      </x:c>
      <x:c r="Q36" s="17" t="str">
        <x:v>D-road proxy; B-coordinates</x:v>
      </x:c>
    </x:row>
    <x:row r="37">
      <x:c r="A37" s="17" t="str">
        <x:v>A0033</x:v>
      </x:c>
      <x:c r="B37" s="17" t="str">
        <x:v>GD02</x:v>
      </x:c>
      <x:c r="C37" s="17" t="str">
        <x:v>source</x:v>
      </x:c>
      <x:c r="D37" s="17" t="str">
        <x:v>深圳</x:v>
      </x:c>
      <x:c r="E37" s="24" t="n">
        <x:v>114.0545429</x:v>
      </x:c>
      <x:c r="F37" s="24" t="n">
        <x:v>22.5445741</x:v>
      </x:c>
      <x:c r="G37" s="17" t="str">
        <x:v>C12</x:v>
      </x:c>
      <x:c r="H37" s="17" t="str">
        <x:v>collection</x:v>
      </x:c>
      <x:c r="I37" s="17" t="str">
        <x:v>中山虚拟回收/检测中心</x:v>
      </x:c>
      <x:c r="J37" s="24" t="n">
        <x:v>113.3872302</x:v>
      </x:c>
      <x:c r="K37" s="24" t="n">
        <x:v>22.5197073</x:v>
      </x:c>
      <x:c r="L37" s="21" t="n">
        <x:f>6371*ACOS(MIN(1,COS(F37*PI()/180)*COS(K37*PI()/180)*COS((J37-E37)*PI()/180)+SIN(F37*PI()/180)*SIN(K37*PI()/180)))</x:f>
        <x:v>68.59326845307118</x:v>
      </x:c>
      <x:c r="M37" s="21" t="n">
        <x:f>L37*'情景参数模板'!$D$31</x:f>
        <x:v>82.31192214368541</x:v>
      </x:c>
      <x:c r="N37" s="21" t="n">
        <x:f>IF(C37="source",'情景参数模板'!$D$12,IF(H37="echelon",'情景参数模板'!$D$13,'情景参数模板'!$D$14))</x:f>
        <x:v>0.49</x:v>
      </x:c>
      <x:c r="O37" s="21" t="n">
        <x:f>IF(C37="source",'情景参数模板'!$D$18,IF(H37="echelon",'情景参数模板'!$D$19,'情景参数模板'!$D$20))</x:f>
        <x:v>150</x:v>
      </x:c>
      <x:c r="P37" s="17" t="n">
        <x:f>IF(M37&lt;=O37,1,0)</x:f>
        <x:v>1</x:v>
      </x:c>
      <x:c r="Q37" s="17" t="str">
        <x:v>D-road proxy; B-coordinates</x:v>
      </x:c>
    </x:row>
    <x:row r="38">
      <x:c r="A38" s="17" t="str">
        <x:v>A0034</x:v>
      </x:c>
      <x:c r="B38" s="17" t="str">
        <x:v>GD02</x:v>
      </x:c>
      <x:c r="C38" s="17" t="str">
        <x:v>source</x:v>
      </x:c>
      <x:c r="D38" s="17" t="str">
        <x:v>深圳</x:v>
      </x:c>
      <x:c r="E38" s="24" t="n">
        <x:v>114.0545429</x:v>
      </x:c>
      <x:c r="F38" s="24" t="n">
        <x:v>22.5445741</x:v>
      </x:c>
      <x:c r="G38" s="17" t="str">
        <x:v>C13</x:v>
      </x:c>
      <x:c r="H38" s="17" t="str">
        <x:v>collection</x:v>
      </x:c>
      <x:c r="I38" s="17" t="str">
        <x:v>江门虚拟回收/检测中心</x:v>
      </x:c>
      <x:c r="J38" s="24" t="n">
        <x:v>113.0761073</x:v>
      </x:c>
      <x:c r="K38" s="24" t="n">
        <x:v>22.5816619</x:v>
      </x:c>
      <x:c r="L38" s="21" t="n">
        <x:f>6371*ACOS(MIN(1,COS(F38*PI()/180)*COS(K38*PI()/180)*COS((J38-E38)*PI()/180)+SIN(F38*PI()/180)*SIN(K38*PI()/180)))</x:f>
        <x:v>100.55388459485556</x:v>
      </x:c>
      <x:c r="M38" s="21" t="n">
        <x:f>L38*'情景参数模板'!$D$31</x:f>
        <x:v>120.66466151382667</x:v>
      </x:c>
      <x:c r="N38" s="21" t="n">
        <x:f>IF(C38="source",'情景参数模板'!$D$12,IF(H38="echelon",'情景参数模板'!$D$13,'情景参数模板'!$D$14))</x:f>
        <x:v>0.49</x:v>
      </x:c>
      <x:c r="O38" s="21" t="n">
        <x:f>IF(C38="source",'情景参数模板'!$D$18,IF(H38="echelon",'情景参数模板'!$D$19,'情景参数模板'!$D$20))</x:f>
        <x:v>150</x:v>
      </x:c>
      <x:c r="P38" s="17" t="n">
        <x:f>IF(M38&lt;=O38,1,0)</x:f>
        <x:v>1</x:v>
      </x:c>
      <x:c r="Q38" s="17" t="str">
        <x:v>D-road proxy; B-coordinates</x:v>
      </x:c>
    </x:row>
    <x:row r="39">
      <x:c r="A39" s="17" t="str">
        <x:v>A0035</x:v>
      </x:c>
      <x:c r="B39" s="17" t="str">
        <x:v>GD02</x:v>
      </x:c>
      <x:c r="C39" s="17" t="str">
        <x:v>source</x:v>
      </x:c>
      <x:c r="D39" s="17" t="str">
        <x:v>深圳</x:v>
      </x:c>
      <x:c r="E39" s="24" t="n">
        <x:v>114.0545429</x:v>
      </x:c>
      <x:c r="F39" s="24" t="n">
        <x:v>22.5445741</x:v>
      </x:c>
      <x:c r="G39" s="17" t="str">
        <x:v>C14</x:v>
      </x:c>
      <x:c r="H39" s="17" t="str">
        <x:v>collection</x:v>
      </x:c>
      <x:c r="I39" s="17" t="str">
        <x:v>阳江虚拟回收/检测中心</x:v>
      </x:c>
      <x:c r="J39" s="24" t="n">
        <x:v>111.7831393</x:v>
      </x:c>
      <x:c r="K39" s="24" t="n">
        <x:v>22.0958223</x:v>
      </x:c>
      <x:c r="L39" s="21" t="n">
        <x:f>6371*ACOS(MIN(1,COS(F39*PI()/180)*COS(K39*PI()/180)*COS((J39-E39)*PI()/180)+SIN(F39*PI()/180)*SIN(K39*PI()/180)))</x:f>
        <x:v>238.91102093560318</x:v>
      </x:c>
      <x:c r="M39" s="21" t="n">
        <x:f>L39*'情景参数模板'!$D$31</x:f>
        <x:v>286.6932251227238</x:v>
      </x:c>
      <x:c r="N39" s="21" t="n">
        <x:f>IF(C39="source",'情景参数模板'!$D$12,IF(H39="echelon",'情景参数模板'!$D$13,'情景参数模板'!$D$14))</x:f>
        <x:v>0.49</x:v>
      </x:c>
      <x:c r="O39" s="21" t="n">
        <x:f>IF(C39="source",'情景参数模板'!$D$18,IF(H39="echelon",'情景参数模板'!$D$19,'情景参数模板'!$D$20))</x:f>
        <x:v>150</x:v>
      </x:c>
      <x:c r="P39" s="17" t="n">
        <x:f>IF(M39&lt;=O39,1,0)</x:f>
        <x:v>0</x:v>
      </x:c>
      <x:c r="Q39" s="17" t="str">
        <x:v>D-road proxy; B-coordinates</x:v>
      </x:c>
    </x:row>
    <x:row r="40">
      <x:c r="A40" s="17" t="str">
        <x:v>A0036</x:v>
      </x:c>
      <x:c r="B40" s="17" t="str">
        <x:v>GD02</x:v>
      </x:c>
      <x:c r="C40" s="17" t="str">
        <x:v>source</x:v>
      </x:c>
      <x:c r="D40" s="17" t="str">
        <x:v>深圳</x:v>
      </x:c>
      <x:c r="E40" s="24" t="n">
        <x:v>114.0545429</x:v>
      </x:c>
      <x:c r="F40" s="24" t="n">
        <x:v>22.5445741</x:v>
      </x:c>
      <x:c r="G40" s="17" t="str">
        <x:v>C15</x:v>
      </x:c>
      <x:c r="H40" s="17" t="str">
        <x:v>collection</x:v>
      </x:c>
      <x:c r="I40" s="17" t="str">
        <x:v>湛江虚拟回收/检测中心</x:v>
      </x:c>
      <x:c r="J40" s="24" t="n">
        <x:v>110.3548318</x:v>
      </x:c>
      <x:c r="K40" s="24" t="n">
        <x:v>21.2737079</x:v>
      </x:c>
      <x:c r="L40" s="21" t="n">
        <x:f>6371*ACOS(MIN(1,COS(F40*PI()/180)*COS(K40*PI()/180)*COS((J40-E40)*PI()/180)+SIN(F40*PI()/180)*SIN(K40*PI()/180)))</x:f>
        <x:v>406.97813815707536</x:v>
      </x:c>
      <x:c r="M40" s="21" t="n">
        <x:f>L40*'情景参数模板'!$D$31</x:f>
        <x:v>488.3737657884904</x:v>
      </x:c>
      <x:c r="N40" s="21" t="n">
        <x:f>IF(C40="source",'情景参数模板'!$D$12,IF(H40="echelon",'情景参数模板'!$D$13,'情景参数模板'!$D$14))</x:f>
        <x:v>0.49</x:v>
      </x:c>
      <x:c r="O40" s="21" t="n">
        <x:f>IF(C40="source",'情景参数模板'!$D$18,IF(H40="echelon",'情景参数模板'!$D$19,'情景参数模板'!$D$20))</x:f>
        <x:v>150</x:v>
      </x:c>
      <x:c r="P40" s="17" t="n">
        <x:f>IF(M40&lt;=O40,1,0)</x:f>
        <x:v>0</x:v>
      </x:c>
      <x:c r="Q40" s="17" t="str">
        <x:v>D-road proxy; B-coordinates</x:v>
      </x:c>
    </x:row>
    <x:row r="41">
      <x:c r="A41" s="17" t="str">
        <x:v>A0037</x:v>
      </x:c>
      <x:c r="B41" s="17" t="str">
        <x:v>GD02</x:v>
      </x:c>
      <x:c r="C41" s="17" t="str">
        <x:v>source</x:v>
      </x:c>
      <x:c r="D41" s="17" t="str">
        <x:v>深圳</x:v>
      </x:c>
      <x:c r="E41" s="24" t="n">
        <x:v>114.0545429</x:v>
      </x:c>
      <x:c r="F41" s="24" t="n">
        <x:v>22.5445741</x:v>
      </x:c>
      <x:c r="G41" s="17" t="str">
        <x:v>C16</x:v>
      </x:c>
      <x:c r="H41" s="17" t="str">
        <x:v>collection</x:v>
      </x:c>
      <x:c r="I41" s="17" t="str">
        <x:v>茂名虚拟回收/检测中心</x:v>
      </x:c>
      <x:c r="J41" s="24" t="n">
        <x:v>110.9209511</x:v>
      </x:c>
      <x:c r="K41" s="24" t="n">
        <x:v>21.6656961</x:v>
      </x:c>
      <x:c r="L41" s="21" t="n">
        <x:f>6371*ACOS(MIN(1,COS(F41*PI()/180)*COS(K41*PI()/180)*COS((J41-E41)*PI()/180)+SIN(F41*PI()/180)*SIN(K41*PI()/180)))</x:f>
        <x:v>337.2852485873363</x:v>
      </x:c>
      <x:c r="M41" s="21" t="n">
        <x:f>L41*'情景参数模板'!$D$31</x:f>
        <x:v>404.74229830480357</x:v>
      </x:c>
      <x:c r="N41" s="21" t="n">
        <x:f>IF(C41="source",'情景参数模板'!$D$12,IF(H41="echelon",'情景参数模板'!$D$13,'情景参数模板'!$D$14))</x:f>
        <x:v>0.49</x:v>
      </x:c>
      <x:c r="O41" s="21" t="n">
        <x:f>IF(C41="source",'情景参数模板'!$D$18,IF(H41="echelon",'情景参数模板'!$D$19,'情景参数模板'!$D$20))</x:f>
        <x:v>150</x:v>
      </x:c>
      <x:c r="P41" s="17" t="n">
        <x:f>IF(M41&lt;=O41,1,0)</x:f>
        <x:v>0</x:v>
      </x:c>
      <x:c r="Q41" s="17" t="str">
        <x:v>D-road proxy; B-coordinates</x:v>
      </x:c>
    </x:row>
    <x:row r="42">
      <x:c r="A42" s="17" t="str">
        <x:v>A0038</x:v>
      </x:c>
      <x:c r="B42" s="17" t="str">
        <x:v>GD02</x:v>
      </x:c>
      <x:c r="C42" s="17" t="str">
        <x:v>source</x:v>
      </x:c>
      <x:c r="D42" s="17" t="str">
        <x:v>深圳</x:v>
      </x:c>
      <x:c r="E42" s="24" t="n">
        <x:v>114.0545429</x:v>
      </x:c>
      <x:c r="F42" s="24" t="n">
        <x:v>22.5445741</x:v>
      </x:c>
      <x:c r="G42" s="17" t="str">
        <x:v>C17</x:v>
      </x:c>
      <x:c r="H42" s="17" t="str">
        <x:v>collection</x:v>
      </x:c>
      <x:c r="I42" s="17" t="str">
        <x:v>肇庆虚拟回收/检测中心</x:v>
      </x:c>
      <x:c r="J42" s="24" t="n">
        <x:v>112.4603629</x:v>
      </x:c>
      <x:c r="K42" s="24" t="n">
        <x:v>23.0501661</x:v>
      </x:c>
      <x:c r="L42" s="21" t="n">
        <x:f>6371*ACOS(MIN(1,COS(F42*PI()/180)*COS(K42*PI()/180)*COS((J42-E42)*PI()/180)+SIN(F42*PI()/180)*SIN(K42*PI()/180)))</x:f>
        <x:v>172.815477677631</x:v>
      </x:c>
      <x:c r="M42" s="21" t="n">
        <x:f>L42*'情景参数模板'!$D$31</x:f>
        <x:v>207.3785732131572</x:v>
      </x:c>
      <x:c r="N42" s="21" t="n">
        <x:f>IF(C42="source",'情景参数模板'!$D$12,IF(H42="echelon",'情景参数模板'!$D$13,'情景参数模板'!$D$14))</x:f>
        <x:v>0.49</x:v>
      </x:c>
      <x:c r="O42" s="21" t="n">
        <x:f>IF(C42="source",'情景参数模板'!$D$18,IF(H42="echelon",'情景参数模板'!$D$19,'情景参数模板'!$D$20))</x:f>
        <x:v>150</x:v>
      </x:c>
      <x:c r="P42" s="17" t="n">
        <x:f>IF(M42&lt;=O42,1,0)</x:f>
        <x:v>0</x:v>
      </x:c>
      <x:c r="Q42" s="17" t="str">
        <x:v>D-road proxy; B-coordinates</x:v>
      </x:c>
    </x:row>
    <x:row r="43">
      <x:c r="A43" s="17" t="str">
        <x:v>A0039</x:v>
      </x:c>
      <x:c r="B43" s="17" t="str">
        <x:v>GD02</x:v>
      </x:c>
      <x:c r="C43" s="17" t="str">
        <x:v>source</x:v>
      </x:c>
      <x:c r="D43" s="17" t="str">
        <x:v>深圳</x:v>
      </x:c>
      <x:c r="E43" s="24" t="n">
        <x:v>114.0545429</x:v>
      </x:c>
      <x:c r="F43" s="24" t="n">
        <x:v>22.5445741</x:v>
      </x:c>
      <x:c r="G43" s="17" t="str">
        <x:v>C18</x:v>
      </x:c>
      <x:c r="H43" s="17" t="str">
        <x:v>collection</x:v>
      </x:c>
      <x:c r="I43" s="17" t="str">
        <x:v>清远虚拟回收/检测中心</x:v>
      </x:c>
      <x:c r="J43" s="24" t="n">
        <x:v>113.0505994</x:v>
      </x:c>
      <x:c r="K43" s="24" t="n">
        <x:v>23.6832984</x:v>
      </x:c>
      <x:c r="L43" s="21" t="n">
        <x:f>6371*ACOS(MIN(1,COS(F43*PI()/180)*COS(K43*PI()/180)*COS((J43-E43)*PI()/180)+SIN(F43*PI()/180)*SIN(K43*PI()/180)))</x:f>
        <x:v>163.01445483081335</x:v>
      </x:c>
      <x:c r="M43" s="21" t="n">
        <x:f>L43*'情景参数模板'!$D$31</x:f>
        <x:v>195.61734579697602</x:v>
      </x:c>
      <x:c r="N43" s="21" t="n">
        <x:f>IF(C43="source",'情景参数模板'!$D$12,IF(H43="echelon",'情景参数模板'!$D$13,'情景参数模板'!$D$14))</x:f>
        <x:v>0.49</x:v>
      </x:c>
      <x:c r="O43" s="21" t="n">
        <x:f>IF(C43="source",'情景参数模板'!$D$18,IF(H43="echelon",'情景参数模板'!$D$19,'情景参数模板'!$D$20))</x:f>
        <x:v>150</x:v>
      </x:c>
      <x:c r="P43" s="17" t="n">
        <x:f>IF(M43&lt;=O43,1,0)</x:f>
        <x:v>0</x:v>
      </x:c>
      <x:c r="Q43" s="17" t="str">
        <x:v>D-road proxy; B-coordinates</x:v>
      </x:c>
    </x:row>
    <x:row r="44">
      <x:c r="A44" s="17" t="str">
        <x:v>A0040</x:v>
      </x:c>
      <x:c r="B44" s="17" t="str">
        <x:v>GD02</x:v>
      </x:c>
      <x:c r="C44" s="17" t="str">
        <x:v>source</x:v>
      </x:c>
      <x:c r="D44" s="17" t="str">
        <x:v>深圳</x:v>
      </x:c>
      <x:c r="E44" s="24" t="n">
        <x:v>114.0545429</x:v>
      </x:c>
      <x:c r="F44" s="24" t="n">
        <x:v>22.5445741</x:v>
      </x:c>
      <x:c r="G44" s="17" t="str">
        <x:v>C19</x:v>
      </x:c>
      <x:c r="H44" s="17" t="str">
        <x:v>collection</x:v>
      </x:c>
      <x:c r="I44" s="17" t="str">
        <x:v>潮州虚拟回收/检测中心</x:v>
      </x:c>
      <x:c r="J44" s="24" t="n">
        <x:v>116.6204223</x:v>
      </x:c>
      <x:c r="K44" s="24" t="n">
        <x:v>23.656593</x:v>
      </x:c>
      <x:c r="L44" s="21" t="n">
        <x:f>6371*ACOS(MIN(1,COS(F44*PI()/180)*COS(K44*PI()/180)*COS((J44-E44)*PI()/180)+SIN(F44*PI()/180)*SIN(K44*PI()/180)))</x:f>
        <x:v>290.0980995679465</x:v>
      </x:c>
      <x:c r="M44" s="21" t="n">
        <x:f>L44*'情景参数模板'!$D$31</x:f>
        <x:v>348.1177194815358</x:v>
      </x:c>
      <x:c r="N44" s="21" t="n">
        <x:f>IF(C44="source",'情景参数模板'!$D$12,IF(H44="echelon",'情景参数模板'!$D$13,'情景参数模板'!$D$14))</x:f>
        <x:v>0.49</x:v>
      </x:c>
      <x:c r="O44" s="21" t="n">
        <x:f>IF(C44="source",'情景参数模板'!$D$18,IF(H44="echelon",'情景参数模板'!$D$19,'情景参数模板'!$D$20))</x:f>
        <x:v>150</x:v>
      </x:c>
      <x:c r="P44" s="17" t="n">
        <x:f>IF(M44&lt;=O44,1,0)</x:f>
        <x:v>0</x:v>
      </x:c>
      <x:c r="Q44" s="17" t="str">
        <x:v>D-road proxy; B-coordinates</x:v>
      </x:c>
    </x:row>
    <x:row r="45">
      <x:c r="A45" s="17" t="str">
        <x:v>A0041</x:v>
      </x:c>
      <x:c r="B45" s="17" t="str">
        <x:v>GD02</x:v>
      </x:c>
      <x:c r="C45" s="17" t="str">
        <x:v>source</x:v>
      </x:c>
      <x:c r="D45" s="17" t="str">
        <x:v>深圳</x:v>
      </x:c>
      <x:c r="E45" s="24" t="n">
        <x:v>114.0545429</x:v>
      </x:c>
      <x:c r="F45" s="24" t="n">
        <x:v>22.5445741</x:v>
      </x:c>
      <x:c r="G45" s="17" t="str">
        <x:v>C20</x:v>
      </x:c>
      <x:c r="H45" s="17" t="str">
        <x:v>collection</x:v>
      </x:c>
      <x:c r="I45" s="17" t="str">
        <x:v>揭阳虚拟回收/检测中心</x:v>
      </x:c>
      <x:c r="J45" s="24" t="n">
        <x:v>116.3680354</x:v>
      </x:c>
      <x:c r="K45" s="24" t="n">
        <x:v>23.553156</x:v>
      </x:c>
      <x:c r="L45" s="21" t="n">
        <x:f>6371*ACOS(MIN(1,COS(F45*PI()/180)*COS(K45*PI()/180)*COS((J45-E45)*PI()/180)+SIN(F45*PI()/180)*SIN(K45*PI()/180)))</x:f>
        <x:v>261.92936233802646</x:v>
      </x:c>
      <x:c r="M45" s="21" t="n">
        <x:f>L45*'情景参数模板'!$D$31</x:f>
        <x:v>314.31523480563175</x:v>
      </x:c>
      <x:c r="N45" s="21" t="n">
        <x:f>IF(C45="source",'情景参数模板'!$D$12,IF(H45="echelon",'情景参数模板'!$D$13,'情景参数模板'!$D$14))</x:f>
        <x:v>0.49</x:v>
      </x:c>
      <x:c r="O45" s="21" t="n">
        <x:f>IF(C45="source",'情景参数模板'!$D$18,IF(H45="echelon",'情景参数模板'!$D$19,'情景参数模板'!$D$20))</x:f>
        <x:v>150</x:v>
      </x:c>
      <x:c r="P45" s="17" t="n">
        <x:f>IF(M45&lt;=O45,1,0)</x:f>
        <x:v>0</x:v>
      </x:c>
      <x:c r="Q45" s="17" t="str">
        <x:v>D-road proxy; B-coordinates</x:v>
      </x:c>
    </x:row>
    <x:row r="46">
      <x:c r="A46" s="17" t="str">
        <x:v>A0042</x:v>
      </x:c>
      <x:c r="B46" s="17" t="str">
        <x:v>GD02</x:v>
      </x:c>
      <x:c r="C46" s="17" t="str">
        <x:v>source</x:v>
      </x:c>
      <x:c r="D46" s="17" t="str">
        <x:v>深圳</x:v>
      </x:c>
      <x:c r="E46" s="24" t="n">
        <x:v>114.0545429</x:v>
      </x:c>
      <x:c r="F46" s="24" t="n">
        <x:v>22.5445741</x:v>
      </x:c>
      <x:c r="G46" s="17" t="str">
        <x:v>C21</x:v>
      </x:c>
      <x:c r="H46" s="17" t="str">
        <x:v>collection</x:v>
      </x:c>
      <x:c r="I46" s="17" t="str">
        <x:v>云浮虚拟回收/检测中心</x:v>
      </x:c>
      <x:c r="J46" s="24" t="n">
        <x:v>111.8078586</x:v>
      </x:c>
      <x:c r="K46" s="24" t="n">
        <x:v>22.8546663</x:v>
      </x:c>
      <x:c r="L46" s="21" t="n">
        <x:f>6371*ACOS(MIN(1,COS(F46*PI()/180)*COS(K46*PI()/180)*COS((J46-E46)*PI()/180)+SIN(F46*PI()/180)*SIN(K46*PI()/180)))</x:f>
        <x:v>233.03147812497292</x:v>
      </x:c>
      <x:c r="M46" s="21" t="n">
        <x:f>L46*'情景参数模板'!$D$31</x:f>
        <x:v>279.6377737499675</x:v>
      </x:c>
      <x:c r="N46" s="21" t="n">
        <x:f>IF(C46="source",'情景参数模板'!$D$12,IF(H46="echelon",'情景参数模板'!$D$13,'情景参数模板'!$D$14))</x:f>
        <x:v>0.49</x:v>
      </x:c>
      <x:c r="O46" s="21" t="n">
        <x:f>IF(C46="source",'情景参数模板'!$D$18,IF(H46="echelon",'情景参数模板'!$D$19,'情景参数模板'!$D$20))</x:f>
        <x:v>150</x:v>
      </x:c>
      <x:c r="P46" s="17" t="n">
        <x:f>IF(M46&lt;=O46,1,0)</x:f>
        <x:v>0</x:v>
      </x:c>
      <x:c r="Q46" s="17" t="str">
        <x:v>D-road proxy; B-coordinates</x:v>
      </x:c>
    </x:row>
    <x:row r="47">
      <x:c r="A47" s="17" t="str">
        <x:v>A0043</x:v>
      </x:c>
      <x:c r="B47" s="17" t="str">
        <x:v>GD03</x:v>
      </x:c>
      <x:c r="C47" s="17" t="str">
        <x:v>source</x:v>
      </x:c>
      <x:c r="D47" s="17" t="str">
        <x:v>珠海</x:v>
      </x:c>
      <x:c r="E47" s="24" t="n">
        <x:v>113.5721327</x:v>
      </x:c>
      <x:c r="F47" s="24" t="n">
        <x:v>22.273734</x:v>
      </x:c>
      <x:c r="G47" s="17" t="str">
        <x:v>C01</x:v>
      </x:c>
      <x:c r="H47" s="17" t="str">
        <x:v>collection</x:v>
      </x:c>
      <x:c r="I47" s="17" t="str">
        <x:v>广州虚拟回收/检测中心</x:v>
      </x:c>
      <x:c r="J47" s="24" t="n">
        <x:v>113.2589581</x:v>
      </x:c>
      <x:c r="K47" s="24" t="n">
        <x:v>23.1288429</x:v>
      </x:c>
      <x:c r="L47" s="21" t="n">
        <x:f>6371*ACOS(MIN(1,COS(F47*PI()/180)*COS(K47*PI()/180)*COS((J47-E47)*PI()/180)+SIN(F47*PI()/180)*SIN(K47*PI()/180)))</x:f>
        <x:v>100.36408935304908</x:v>
      </x:c>
      <x:c r="M47" s="21" t="n">
        <x:f>L47*'情景参数模板'!$D$31</x:f>
        <x:v>120.43690722365889</x:v>
      </x:c>
      <x:c r="N47" s="21" t="n">
        <x:f>IF(C47="source",'情景参数模板'!$D$12,IF(H47="echelon",'情景参数模板'!$D$13,'情景参数模板'!$D$14))</x:f>
        <x:v>0.49</x:v>
      </x:c>
      <x:c r="O47" s="21" t="n">
        <x:f>IF(C47="source",'情景参数模板'!$D$18,IF(H47="echelon",'情景参数模板'!$D$19,'情景参数模板'!$D$20))</x:f>
        <x:v>150</x:v>
      </x:c>
      <x:c r="P47" s="17" t="n">
        <x:f>IF(M47&lt;=O47,1,0)</x:f>
        <x:v>1</x:v>
      </x:c>
      <x:c r="Q47" s="17" t="str">
        <x:v>D-road proxy; B-coordinates</x:v>
      </x:c>
    </x:row>
    <x:row r="48">
      <x:c r="A48" s="17" t="str">
        <x:v>A0044</x:v>
      </x:c>
      <x:c r="B48" s="17" t="str">
        <x:v>GD03</x:v>
      </x:c>
      <x:c r="C48" s="17" t="str">
        <x:v>source</x:v>
      </x:c>
      <x:c r="D48" s="17" t="str">
        <x:v>珠海</x:v>
      </x:c>
      <x:c r="E48" s="24" t="n">
        <x:v>113.5721327</x:v>
      </x:c>
      <x:c r="F48" s="24" t="n">
        <x:v>22.273734</x:v>
      </x:c>
      <x:c r="G48" s="17" t="str">
        <x:v>C02</x:v>
      </x:c>
      <x:c r="H48" s="17" t="str">
        <x:v>collection</x:v>
      </x:c>
      <x:c r="I48" s="17" t="str">
        <x:v>深圳虚拟回收/检测中心</x:v>
      </x:c>
      <x:c r="J48" s="24" t="n">
        <x:v>114.0545429</x:v>
      </x:c>
      <x:c r="K48" s="24" t="n">
        <x:v>22.5445741</x:v>
      </x:c>
      <x:c r="L48" s="21" t="n">
        <x:f>6371*ACOS(MIN(1,COS(F48*PI()/180)*COS(K48*PI()/180)*COS((J48-E48)*PI()/180)+SIN(F48*PI()/180)*SIN(K48*PI()/180)))</x:f>
        <x:v>58.019114911578654</x:v>
      </x:c>
      <x:c r="M48" s="21" t="n">
        <x:f>L48*'情景参数模板'!$D$31</x:f>
        <x:v>69.62293789389439</x:v>
      </x:c>
      <x:c r="N48" s="21" t="n">
        <x:f>IF(C48="source",'情景参数模板'!$D$12,IF(H48="echelon",'情景参数模板'!$D$13,'情景参数模板'!$D$14))</x:f>
        <x:v>0.49</x:v>
      </x:c>
      <x:c r="O48" s="21" t="n">
        <x:f>IF(C48="source",'情景参数模板'!$D$18,IF(H48="echelon",'情景参数模板'!$D$19,'情景参数模板'!$D$20))</x:f>
        <x:v>150</x:v>
      </x:c>
      <x:c r="P48" s="17" t="n">
        <x:f>IF(M48&lt;=O48,1,0)</x:f>
        <x:v>1</x:v>
      </x:c>
      <x:c r="Q48" s="17" t="str">
        <x:v>D-road proxy; B-coordinates</x:v>
      </x:c>
    </x:row>
    <x:row r="49">
      <x:c r="A49" s="17" t="str">
        <x:v>A0045</x:v>
      </x:c>
      <x:c r="B49" s="17" t="str">
        <x:v>GD03</x:v>
      </x:c>
      <x:c r="C49" s="17" t="str">
        <x:v>source</x:v>
      </x:c>
      <x:c r="D49" s="17" t="str">
        <x:v>珠海</x:v>
      </x:c>
      <x:c r="E49" s="24" t="n">
        <x:v>113.5721327</x:v>
      </x:c>
      <x:c r="F49" s="24" t="n">
        <x:v>22.273734</x:v>
      </x:c>
      <x:c r="G49" s="17" t="str">
        <x:v>C03</x:v>
      </x:c>
      <x:c r="H49" s="17" t="str">
        <x:v>collection</x:v>
      </x:c>
      <x:c r="I49" s="17" t="str">
        <x:v>珠海虚拟回收/检测中心</x:v>
      </x:c>
      <x:c r="J49" s="24" t="n">
        <x:v>113.5721327</x:v>
      </x:c>
      <x:c r="K49" s="24" t="n">
        <x:v>22.273734</x:v>
      </x:c>
      <x:c r="L49" s="21" t="n">
        <x:f>6371*ACOS(MIN(1,COS(F49*PI()/180)*COS(K49*PI()/180)*COS((J49-E49)*PI()/180)+SIN(F49*PI()/180)*SIN(K49*PI()/180)))</x:f>
        <x:v>0</x:v>
      </x:c>
      <x:c r="M49" s="21" t="n">
        <x:f>L49*'情景参数模板'!$D$31</x:f>
        <x:v>0</x:v>
      </x:c>
      <x:c r="N49" s="21" t="n">
        <x:f>IF(C49="source",'情景参数模板'!$D$12,IF(H49="echelon",'情景参数模板'!$D$13,'情景参数模板'!$D$14))</x:f>
        <x:v>0.49</x:v>
      </x:c>
      <x:c r="O49" s="21" t="n">
        <x:f>IF(C49="source",'情景参数模板'!$D$18,IF(H49="echelon",'情景参数模板'!$D$19,'情景参数模板'!$D$20))</x:f>
        <x:v>150</x:v>
      </x:c>
      <x:c r="P49" s="17" t="n">
        <x:f>IF(M49&lt;=O49,1,0)</x:f>
        <x:v>1</x:v>
      </x:c>
      <x:c r="Q49" s="17" t="str">
        <x:v>D-road proxy; B-coordinates</x:v>
      </x:c>
    </x:row>
    <x:row r="50">
      <x:c r="A50" s="17" t="str">
        <x:v>A0046</x:v>
      </x:c>
      <x:c r="B50" s="17" t="str">
        <x:v>GD03</x:v>
      </x:c>
      <x:c r="C50" s="17" t="str">
        <x:v>source</x:v>
      </x:c>
      <x:c r="D50" s="17" t="str">
        <x:v>珠海</x:v>
      </x:c>
      <x:c r="E50" s="24" t="n">
        <x:v>113.5721327</x:v>
      </x:c>
      <x:c r="F50" s="24" t="n">
        <x:v>22.273734</x:v>
      </x:c>
      <x:c r="G50" s="17" t="str">
        <x:v>C04</x:v>
      </x:c>
      <x:c r="H50" s="17" t="str">
        <x:v>collection</x:v>
      </x:c>
      <x:c r="I50" s="17" t="str">
        <x:v>汕头虚拟回收/检测中心</x:v>
      </x:c>
      <x:c r="J50" s="24" t="n">
        <x:v>116.6775856</x:v>
      </x:c>
      <x:c r="K50" s="24" t="n">
        <x:v>23.3563921</x:v>
      </x:c>
      <x:c r="L50" s="21" t="n">
        <x:f>6371*ACOS(MIN(1,COS(F50*PI()/180)*COS(K50*PI()/180)*COS((J50-E50)*PI()/180)+SIN(F50*PI()/180)*SIN(K50*PI()/180)))</x:f>
        <x:v>340.2873692564277</x:v>
      </x:c>
      <x:c r="M50" s="21" t="n">
        <x:f>L50*'情景参数模板'!$D$31</x:f>
        <x:v>408.34484310771325</x:v>
      </x:c>
      <x:c r="N50" s="21" t="n">
        <x:f>IF(C50="source",'情景参数模板'!$D$12,IF(H50="echelon",'情景参数模板'!$D$13,'情景参数模板'!$D$14))</x:f>
        <x:v>0.49</x:v>
      </x:c>
      <x:c r="O50" s="21" t="n">
        <x:f>IF(C50="source",'情景参数模板'!$D$18,IF(H50="echelon",'情景参数模板'!$D$19,'情景参数模板'!$D$20))</x:f>
        <x:v>150</x:v>
      </x:c>
      <x:c r="P50" s="17" t="n">
        <x:f>IF(M50&lt;=O50,1,0)</x:f>
        <x:v>0</x:v>
      </x:c>
      <x:c r="Q50" s="17" t="str">
        <x:v>D-road proxy; B-coordinates</x:v>
      </x:c>
    </x:row>
    <x:row r="51">
      <x:c r="A51" s="17" t="str">
        <x:v>A0047</x:v>
      </x:c>
      <x:c r="B51" s="17" t="str">
        <x:v>GD03</x:v>
      </x:c>
      <x:c r="C51" s="17" t="str">
        <x:v>source</x:v>
      </x:c>
      <x:c r="D51" s="17" t="str">
        <x:v>珠海</x:v>
      </x:c>
      <x:c r="E51" s="24" t="n">
        <x:v>113.5721327</x:v>
      </x:c>
      <x:c r="F51" s="24" t="n">
        <x:v>22.273734</x:v>
      </x:c>
      <x:c r="G51" s="17" t="str">
        <x:v>C05</x:v>
      </x:c>
      <x:c r="H51" s="17" t="str">
        <x:v>collection</x:v>
      </x:c>
      <x:c r="I51" s="17" t="str">
        <x:v>佛山虚拟回收/检测中心</x:v>
      </x:c>
      <x:c r="J51" s="24" t="n">
        <x:v>113.1159558</x:v>
      </x:c>
      <x:c r="K51" s="24" t="n">
        <x:v>23.0239788</x:v>
      </x:c>
      <x:c r="L51" s="21" t="n">
        <x:f>6371*ACOS(MIN(1,COS(F51*PI()/180)*COS(K51*PI()/180)*COS((J51-E51)*PI()/180)+SIN(F51*PI()/180)*SIN(K51*PI()/180)))</x:f>
        <x:v>95.6600972197494</x:v>
      </x:c>
      <x:c r="M51" s="21" t="n">
        <x:f>L51*'情景参数模板'!$D$31</x:f>
        <x:v>114.79211666369928</x:v>
      </x:c>
      <x:c r="N51" s="21" t="n">
        <x:f>IF(C51="source",'情景参数模板'!$D$12,IF(H51="echelon",'情景参数模板'!$D$13,'情景参数模板'!$D$14))</x:f>
        <x:v>0.49</x:v>
      </x:c>
      <x:c r="O51" s="21" t="n">
        <x:f>IF(C51="source",'情景参数模板'!$D$18,IF(H51="echelon",'情景参数模板'!$D$19,'情景参数模板'!$D$20))</x:f>
        <x:v>150</x:v>
      </x:c>
      <x:c r="P51" s="17" t="n">
        <x:f>IF(M51&lt;=O51,1,0)</x:f>
        <x:v>1</x:v>
      </x:c>
      <x:c r="Q51" s="17" t="str">
        <x:v>D-road proxy; B-coordinates</x:v>
      </x:c>
    </x:row>
    <x:row r="52">
      <x:c r="A52" s="17" t="str">
        <x:v>A0048</x:v>
      </x:c>
      <x:c r="B52" s="17" t="str">
        <x:v>GD03</x:v>
      </x:c>
      <x:c r="C52" s="17" t="str">
        <x:v>source</x:v>
      </x:c>
      <x:c r="D52" s="17" t="str">
        <x:v>珠海</x:v>
      </x:c>
      <x:c r="E52" s="24" t="n">
        <x:v>113.5721327</x:v>
      </x:c>
      <x:c r="F52" s="24" t="n">
        <x:v>22.273734</x:v>
      </x:c>
      <x:c r="G52" s="17" t="str">
        <x:v>C06</x:v>
      </x:c>
      <x:c r="H52" s="17" t="str">
        <x:v>collection</x:v>
      </x:c>
      <x:c r="I52" s="17" t="str">
        <x:v>韶关虚拟回收/检测中心</x:v>
      </x:c>
      <x:c r="J52" s="24" t="n">
        <x:v>113.8155263</x:v>
      </x:c>
      <x:c r="K52" s="24" t="n">
        <x:v>24.8309489</x:v>
      </x:c>
      <x:c r="L52" s="21" t="n">
        <x:f>6371*ACOS(MIN(1,COS(F52*PI()/180)*COS(K52*PI()/180)*COS((J52-E52)*PI()/180)+SIN(F52*PI()/180)*SIN(K52*PI()/180)))</x:f>
        <x:v>285.4293111538577</x:v>
      </x:c>
      <x:c r="M52" s="21" t="n">
        <x:f>L52*'情景参数模板'!$D$31</x:f>
        <x:v>342.51517338462924</x:v>
      </x:c>
      <x:c r="N52" s="21" t="n">
        <x:f>IF(C52="source",'情景参数模板'!$D$12,IF(H52="echelon",'情景参数模板'!$D$13,'情景参数模板'!$D$14))</x:f>
        <x:v>0.49</x:v>
      </x:c>
      <x:c r="O52" s="21" t="n">
        <x:f>IF(C52="source",'情景参数模板'!$D$18,IF(H52="echelon",'情景参数模板'!$D$19,'情景参数模板'!$D$20))</x:f>
        <x:v>150</x:v>
      </x:c>
      <x:c r="P52" s="17" t="n">
        <x:f>IF(M52&lt;=O52,1,0)</x:f>
        <x:v>0</x:v>
      </x:c>
      <x:c r="Q52" s="17" t="str">
        <x:v>D-road proxy; B-coordinates</x:v>
      </x:c>
    </x:row>
    <x:row r="53">
      <x:c r="A53" s="17" t="str">
        <x:v>A0049</x:v>
      </x:c>
      <x:c r="B53" s="17" t="str">
        <x:v>GD03</x:v>
      </x:c>
      <x:c r="C53" s="17" t="str">
        <x:v>source</x:v>
      </x:c>
      <x:c r="D53" s="17" t="str">
        <x:v>珠海</x:v>
      </x:c>
      <x:c r="E53" s="24" t="n">
        <x:v>113.5721327</x:v>
      </x:c>
      <x:c r="F53" s="24" t="n">
        <x:v>22.273734</x:v>
      </x:c>
      <x:c r="G53" s="17" t="str">
        <x:v>C07</x:v>
      </x:c>
      <x:c r="H53" s="17" t="str">
        <x:v>collection</x:v>
      </x:c>
      <x:c r="I53" s="17" t="str">
        <x:v>河源虚拟回收/检测中心</x:v>
      </x:c>
      <x:c r="J53" s="24" t="n">
        <x:v>115.0577538</x:v>
      </x:c>
      <x:c r="K53" s="24" t="n">
        <x:v>24.1014769</x:v>
      </x:c>
      <x:c r="L53" s="21" t="n">
        <x:f>6371*ACOS(MIN(1,COS(F53*PI()/180)*COS(K53*PI()/180)*COS((J53-E53)*PI()/180)+SIN(F53*PI()/180)*SIN(K53*PI()/180)))</x:f>
        <x:v>253.69221156809851</x:v>
      </x:c>
      <x:c r="M53" s="21" t="n">
        <x:f>L53*'情景参数模板'!$D$31</x:f>
        <x:v>304.43065388171823</x:v>
      </x:c>
      <x:c r="N53" s="21" t="n">
        <x:f>IF(C53="source",'情景参数模板'!$D$12,IF(H53="echelon",'情景参数模板'!$D$13,'情景参数模板'!$D$14))</x:f>
        <x:v>0.49</x:v>
      </x:c>
      <x:c r="O53" s="21" t="n">
        <x:f>IF(C53="source",'情景参数模板'!$D$18,IF(H53="echelon",'情景参数模板'!$D$19,'情景参数模板'!$D$20))</x:f>
        <x:v>150</x:v>
      </x:c>
      <x:c r="P53" s="17" t="n">
        <x:f>IF(M53&lt;=O53,1,0)</x:f>
        <x:v>0</x:v>
      </x:c>
      <x:c r="Q53" s="17" t="str">
        <x:v>D-road proxy; B-coordinates</x:v>
      </x:c>
    </x:row>
    <x:row r="54">
      <x:c r="A54" s="17" t="str">
        <x:v>A0050</x:v>
      </x:c>
      <x:c r="B54" s="17" t="str">
        <x:v>GD03</x:v>
      </x:c>
      <x:c r="C54" s="17" t="str">
        <x:v>source</x:v>
      </x:c>
      <x:c r="D54" s="17" t="str">
        <x:v>珠海</x:v>
      </x:c>
      <x:c r="E54" s="24" t="n">
        <x:v>113.5721327</x:v>
      </x:c>
      <x:c r="F54" s="24" t="n">
        <x:v>22.273734</x:v>
      </x:c>
      <x:c r="G54" s="17" t="str">
        <x:v>C08</x:v>
      </x:c>
      <x:c r="H54" s="17" t="str">
        <x:v>collection</x:v>
      </x:c>
      <x:c r="I54" s="17" t="str">
        <x:v>梅州虚拟回收/检测中心</x:v>
      </x:c>
      <x:c r="J54" s="24" t="n">
        <x:v>116.1171428</x:v>
      </x:c>
      <x:c r="K54" s="24" t="n">
        <x:v>24.2918414</x:v>
      </x:c>
      <x:c r="L54" s="21" t="n">
        <x:f>6371*ACOS(MIN(1,COS(F54*PI()/180)*COS(K54*PI()/180)*COS((J54-E54)*PI()/180)+SIN(F54*PI()/180)*SIN(K54*PI()/180)))</x:f>
        <x:v>343.3898243843036</x:v>
      </x:c>
      <x:c r="M54" s="21" t="n">
        <x:f>L54*'情景参数模板'!$D$31</x:f>
        <x:v>412.0677892611643</x:v>
      </x:c>
      <x:c r="N54" s="21" t="n">
        <x:f>IF(C54="source",'情景参数模板'!$D$12,IF(H54="echelon",'情景参数模板'!$D$13,'情景参数模板'!$D$14))</x:f>
        <x:v>0.49</x:v>
      </x:c>
      <x:c r="O54" s="21" t="n">
        <x:f>IF(C54="source",'情景参数模板'!$D$18,IF(H54="echelon",'情景参数模板'!$D$19,'情景参数模板'!$D$20))</x:f>
        <x:v>150</x:v>
      </x:c>
      <x:c r="P54" s="17" t="n">
        <x:f>IF(M54&lt;=O54,1,0)</x:f>
        <x:v>0</x:v>
      </x:c>
      <x:c r="Q54" s="17" t="str">
        <x:v>D-road proxy; B-coordinates</x:v>
      </x:c>
    </x:row>
    <x:row r="55">
      <x:c r="A55" s="17" t="str">
        <x:v>A0051</x:v>
      </x:c>
      <x:c r="B55" s="17" t="str">
        <x:v>GD03</x:v>
      </x:c>
      <x:c r="C55" s="17" t="str">
        <x:v>source</x:v>
      </x:c>
      <x:c r="D55" s="17" t="str">
        <x:v>珠海</x:v>
      </x:c>
      <x:c r="E55" s="24" t="n">
        <x:v>113.5721327</x:v>
      </x:c>
      <x:c r="F55" s="24" t="n">
        <x:v>22.273734</x:v>
      </x:c>
      <x:c r="G55" s="17" t="str">
        <x:v>C09</x:v>
      </x:c>
      <x:c r="H55" s="17" t="str">
        <x:v>collection</x:v>
      </x:c>
      <x:c r="I55" s="17" t="str">
        <x:v>惠州虚拟回收/检测中心</x:v>
      </x:c>
      <x:c r="J55" s="24" t="n">
        <x:v>114.4127007</x:v>
      </x:c>
      <x:c r="K55" s="24" t="n">
        <x:v>23.1125153</x:v>
      </x:c>
      <x:c r="L55" s="21" t="n">
        <x:f>6371*ACOS(MIN(1,COS(F55*PI()/180)*COS(K55*PI()/180)*COS((J55-E55)*PI()/180)+SIN(F55*PI()/180)*SIN(K55*PI()/180)))</x:f>
        <x:v>127.02181764289968</x:v>
      </x:c>
      <x:c r="M55" s="21" t="n">
        <x:f>L55*'情景参数模板'!$D$31</x:f>
        <x:v>152.4261811714796</x:v>
      </x:c>
      <x:c r="N55" s="21" t="n">
        <x:f>IF(C55="source",'情景参数模板'!$D$12,IF(H55="echelon",'情景参数模板'!$D$13,'情景参数模板'!$D$14))</x:f>
        <x:v>0.49</x:v>
      </x:c>
      <x:c r="O55" s="21" t="n">
        <x:f>IF(C55="source",'情景参数模板'!$D$18,IF(H55="echelon",'情景参数模板'!$D$19,'情景参数模板'!$D$20))</x:f>
        <x:v>150</x:v>
      </x:c>
      <x:c r="P55" s="17" t="n">
        <x:f>IF(M55&lt;=O55,1,0)</x:f>
        <x:v>0</x:v>
      </x:c>
      <x:c r="Q55" s="17" t="str">
        <x:v>D-road proxy; B-coordinates</x:v>
      </x:c>
    </x:row>
    <x:row r="56">
      <x:c r="A56" s="17" t="str">
        <x:v>A0052</x:v>
      </x:c>
      <x:c r="B56" s="17" t="str">
        <x:v>GD03</x:v>
      </x:c>
      <x:c r="C56" s="17" t="str">
        <x:v>source</x:v>
      </x:c>
      <x:c r="D56" s="17" t="str">
        <x:v>珠海</x:v>
      </x:c>
      <x:c r="E56" s="24" t="n">
        <x:v>113.5721327</x:v>
      </x:c>
      <x:c r="F56" s="24" t="n">
        <x:v>22.273734</x:v>
      </x:c>
      <x:c r="G56" s="17" t="str">
        <x:v>C10</x:v>
      </x:c>
      <x:c r="H56" s="17" t="str">
        <x:v>collection</x:v>
      </x:c>
      <x:c r="I56" s="17" t="str">
        <x:v>汕尾虚拟回收/检测中心</x:v>
      </x:c>
      <x:c r="J56" s="24" t="n">
        <x:v>115.5099937</x:v>
      </x:c>
      <x:c r="K56" s="24" t="n">
        <x:v>23.0123639</x:v>
      </x:c>
      <x:c r="L56" s="21" t="n">
        <x:f>6371*ACOS(MIN(1,COS(F56*PI()/180)*COS(K56*PI()/180)*COS((J56-E56)*PI()/180)+SIN(F56*PI()/180)*SIN(K56*PI()/180)))</x:f>
        <x:v>215.16056931228954</x:v>
      </x:c>
      <x:c r="M56" s="21" t="n">
        <x:f>L56*'情景参数模板'!$D$31</x:f>
        <x:v>258.19268317474746</x:v>
      </x:c>
      <x:c r="N56" s="21" t="n">
        <x:f>IF(C56="source",'情景参数模板'!$D$12,IF(H56="echelon",'情景参数模板'!$D$13,'情景参数模板'!$D$14))</x:f>
        <x:v>0.49</x:v>
      </x:c>
      <x:c r="O56" s="21" t="n">
        <x:f>IF(C56="source",'情景参数模板'!$D$18,IF(H56="echelon",'情景参数模板'!$D$19,'情景参数模板'!$D$20))</x:f>
        <x:v>150</x:v>
      </x:c>
      <x:c r="P56" s="17" t="n">
        <x:f>IF(M56&lt;=O56,1,0)</x:f>
        <x:v>0</x:v>
      </x:c>
      <x:c r="Q56" s="17" t="str">
        <x:v>D-road proxy; B-coordinates</x:v>
      </x:c>
    </x:row>
    <x:row r="57">
      <x:c r="A57" s="17" t="str">
        <x:v>A0053</x:v>
      </x:c>
      <x:c r="B57" s="17" t="str">
        <x:v>GD03</x:v>
      </x:c>
      <x:c r="C57" s="17" t="str">
        <x:v>source</x:v>
      </x:c>
      <x:c r="D57" s="17" t="str">
        <x:v>珠海</x:v>
      </x:c>
      <x:c r="E57" s="24" t="n">
        <x:v>113.5721327</x:v>
      </x:c>
      <x:c r="F57" s="24" t="n">
        <x:v>22.273734</x:v>
      </x:c>
      <x:c r="G57" s="17" t="str">
        <x:v>C11</x:v>
      </x:c>
      <x:c r="H57" s="17" t="str">
        <x:v>collection</x:v>
      </x:c>
      <x:c r="I57" s="17" t="str">
        <x:v>东莞虚拟回收/检测中心</x:v>
      </x:c>
      <x:c r="J57" s="24" t="n">
        <x:v>113.7452332</x:v>
      </x:c>
      <x:c r="K57" s="24" t="n">
        <x:v>23.0183568</x:v>
      </x:c>
      <x:c r="L57" s="21" t="n">
        <x:f>6371*ACOS(MIN(1,COS(F57*PI()/180)*COS(K57*PI()/180)*COS((J57-E57)*PI()/180)+SIN(F57*PI()/180)*SIN(K57*PI()/180)))</x:f>
        <x:v>84.68237310278309</x:v>
      </x:c>
      <x:c r="M57" s="21" t="n">
        <x:f>L57*'情景参数模板'!$D$31</x:f>
        <x:v>101.6188477233397</x:v>
      </x:c>
      <x:c r="N57" s="21" t="n">
        <x:f>IF(C57="source",'情景参数模板'!$D$12,IF(H57="echelon",'情景参数模板'!$D$13,'情景参数模板'!$D$14))</x:f>
        <x:v>0.49</x:v>
      </x:c>
      <x:c r="O57" s="21" t="n">
        <x:f>IF(C57="source",'情景参数模板'!$D$18,IF(H57="echelon",'情景参数模板'!$D$19,'情景参数模板'!$D$20))</x:f>
        <x:v>150</x:v>
      </x:c>
      <x:c r="P57" s="17" t="n">
        <x:f>IF(M57&lt;=O57,1,0)</x:f>
        <x:v>1</x:v>
      </x:c>
      <x:c r="Q57" s="17" t="str">
        <x:v>D-road proxy; B-coordinates</x:v>
      </x:c>
    </x:row>
    <x:row r="58">
      <x:c r="A58" s="17" t="str">
        <x:v>A0054</x:v>
      </x:c>
      <x:c r="B58" s="17" t="str">
        <x:v>GD03</x:v>
      </x:c>
      <x:c r="C58" s="17" t="str">
        <x:v>source</x:v>
      </x:c>
      <x:c r="D58" s="17" t="str">
        <x:v>珠海</x:v>
      </x:c>
      <x:c r="E58" s="24" t="n">
        <x:v>113.5721327</x:v>
      </x:c>
      <x:c r="F58" s="24" t="n">
        <x:v>22.273734</x:v>
      </x:c>
      <x:c r="G58" s="17" t="str">
        <x:v>C12</x:v>
      </x:c>
      <x:c r="H58" s="17" t="str">
        <x:v>collection</x:v>
      </x:c>
      <x:c r="I58" s="17" t="str">
        <x:v>中山虚拟回收/检测中心</x:v>
      </x:c>
      <x:c r="J58" s="24" t="n">
        <x:v>113.3872302</x:v>
      </x:c>
      <x:c r="K58" s="24" t="n">
        <x:v>22.5197073</x:v>
      </x:c>
      <x:c r="L58" s="21" t="n">
        <x:f>6371*ACOS(MIN(1,COS(F58*PI()/180)*COS(K58*PI()/180)*COS((J58-E58)*PI()/180)+SIN(F58*PI()/180)*SIN(K58*PI()/180)))</x:f>
        <x:v>33.308100641100665</x:v>
      </x:c>
      <x:c r="M58" s="21" t="n">
        <x:f>L58*'情景参数模板'!$D$31</x:f>
        <x:v>39.969720769320794</x:v>
      </x:c>
      <x:c r="N58" s="21" t="n">
        <x:f>IF(C58="source",'情景参数模板'!$D$12,IF(H58="echelon",'情景参数模板'!$D$13,'情景参数模板'!$D$14))</x:f>
        <x:v>0.49</x:v>
      </x:c>
      <x:c r="O58" s="21" t="n">
        <x:f>IF(C58="source",'情景参数模板'!$D$18,IF(H58="echelon",'情景参数模板'!$D$19,'情景参数模板'!$D$20))</x:f>
        <x:v>150</x:v>
      </x:c>
      <x:c r="P58" s="17" t="n">
        <x:f>IF(M58&lt;=O58,1,0)</x:f>
        <x:v>1</x:v>
      </x:c>
      <x:c r="Q58" s="17" t="str">
        <x:v>D-road proxy; B-coordinates</x:v>
      </x:c>
    </x:row>
    <x:row r="59">
      <x:c r="A59" s="17" t="str">
        <x:v>A0055</x:v>
      </x:c>
      <x:c r="B59" s="17" t="str">
        <x:v>GD03</x:v>
      </x:c>
      <x:c r="C59" s="17" t="str">
        <x:v>source</x:v>
      </x:c>
      <x:c r="D59" s="17" t="str">
        <x:v>珠海</x:v>
      </x:c>
      <x:c r="E59" s="24" t="n">
        <x:v>113.5721327</x:v>
      </x:c>
      <x:c r="F59" s="24" t="n">
        <x:v>22.273734</x:v>
      </x:c>
      <x:c r="G59" s="17" t="str">
        <x:v>C13</x:v>
      </x:c>
      <x:c r="H59" s="17" t="str">
        <x:v>collection</x:v>
      </x:c>
      <x:c r="I59" s="17" t="str">
        <x:v>江门虚拟回收/检测中心</x:v>
      </x:c>
      <x:c r="J59" s="24" t="n">
        <x:v>113.0761073</x:v>
      </x:c>
      <x:c r="K59" s="24" t="n">
        <x:v>22.5816619</x:v>
      </x:c>
      <x:c r="L59" s="21" t="n">
        <x:f>6371*ACOS(MIN(1,COS(F59*PI()/180)*COS(K59*PI()/180)*COS((J59-E59)*PI()/180)+SIN(F59*PI()/180)*SIN(K59*PI()/180)))</x:f>
        <x:v>61.4141569491265</x:v>
      </x:c>
      <x:c r="M59" s="21" t="n">
        <x:f>L59*'情景参数模板'!$D$31</x:f>
        <x:v>73.6969883389518</x:v>
      </x:c>
      <x:c r="N59" s="21" t="n">
        <x:f>IF(C59="source",'情景参数模板'!$D$12,IF(H59="echelon",'情景参数模板'!$D$13,'情景参数模板'!$D$14))</x:f>
        <x:v>0.49</x:v>
      </x:c>
      <x:c r="O59" s="21" t="n">
        <x:f>IF(C59="source",'情景参数模板'!$D$18,IF(H59="echelon",'情景参数模板'!$D$19,'情景参数模板'!$D$20))</x:f>
        <x:v>150</x:v>
      </x:c>
      <x:c r="P59" s="17" t="n">
        <x:f>IF(M59&lt;=O59,1,0)</x:f>
        <x:v>1</x:v>
      </x:c>
      <x:c r="Q59" s="17" t="str">
        <x:v>D-road proxy; B-coordinates</x:v>
      </x:c>
    </x:row>
    <x:row r="60">
      <x:c r="A60" s="17" t="str">
        <x:v>A0056</x:v>
      </x:c>
      <x:c r="B60" s="17" t="str">
        <x:v>GD03</x:v>
      </x:c>
      <x:c r="C60" s="17" t="str">
        <x:v>source</x:v>
      </x:c>
      <x:c r="D60" s="17" t="str">
        <x:v>珠海</x:v>
      </x:c>
      <x:c r="E60" s="24" t="n">
        <x:v>113.5721327</x:v>
      </x:c>
      <x:c r="F60" s="24" t="n">
        <x:v>22.273734</x:v>
      </x:c>
      <x:c r="G60" s="17" t="str">
        <x:v>C14</x:v>
      </x:c>
      <x:c r="H60" s="17" t="str">
        <x:v>collection</x:v>
      </x:c>
      <x:c r="I60" s="17" t="str">
        <x:v>阳江虚拟回收/检测中心</x:v>
      </x:c>
      <x:c r="J60" s="24" t="n">
        <x:v>111.7831393</x:v>
      </x:c>
      <x:c r="K60" s="24" t="n">
        <x:v>22.0958223</x:v>
      </x:c>
      <x:c r="L60" s="21" t="n">
        <x:f>6371*ACOS(MIN(1,COS(F60*PI()/180)*COS(K60*PI()/180)*COS((J60-E60)*PI()/180)+SIN(F60*PI()/180)*SIN(K60*PI()/180)))</x:f>
        <x:v>185.25871984739948</x:v>
      </x:c>
      <x:c r="M60" s="21" t="n">
        <x:f>L60*'情景参数模板'!$D$31</x:f>
        <x:v>222.31046381687938</x:v>
      </x:c>
      <x:c r="N60" s="21" t="n">
        <x:f>IF(C60="source",'情景参数模板'!$D$12,IF(H60="echelon",'情景参数模板'!$D$13,'情景参数模板'!$D$14))</x:f>
        <x:v>0.49</x:v>
      </x:c>
      <x:c r="O60" s="21" t="n">
        <x:f>IF(C60="source",'情景参数模板'!$D$18,IF(H60="echelon",'情景参数模板'!$D$19,'情景参数模板'!$D$20))</x:f>
        <x:v>150</x:v>
      </x:c>
      <x:c r="P60" s="17" t="n">
        <x:f>IF(M60&lt;=O60,1,0)</x:f>
        <x:v>0</x:v>
      </x:c>
      <x:c r="Q60" s="17" t="str">
        <x:v>D-road proxy; B-coordinates</x:v>
      </x:c>
    </x:row>
    <x:row r="61">
      <x:c r="A61" s="17" t="str">
        <x:v>A0057</x:v>
      </x:c>
      <x:c r="B61" s="17" t="str">
        <x:v>GD03</x:v>
      </x:c>
      <x:c r="C61" s="17" t="str">
        <x:v>source</x:v>
      </x:c>
      <x:c r="D61" s="17" t="str">
        <x:v>珠海</x:v>
      </x:c>
      <x:c r="E61" s="24" t="n">
        <x:v>113.5721327</x:v>
      </x:c>
      <x:c r="F61" s="24" t="n">
        <x:v>22.273734</x:v>
      </x:c>
      <x:c r="G61" s="17" t="str">
        <x:v>C15</x:v>
      </x:c>
      <x:c r="H61" s="17" t="str">
        <x:v>collection</x:v>
      </x:c>
      <x:c r="I61" s="17" t="str">
        <x:v>湛江虚拟回收/检测中心</x:v>
      </x:c>
      <x:c r="J61" s="24" t="n">
        <x:v>110.3548318</x:v>
      </x:c>
      <x:c r="K61" s="24" t="n">
        <x:v>21.2737079</x:v>
      </x:c>
      <x:c r="L61" s="21" t="n">
        <x:f>6371*ACOS(MIN(1,COS(F61*PI()/180)*COS(K61*PI()/180)*COS((J61-E61)*PI()/180)+SIN(F61*PI()/180)*SIN(K61*PI()/180)))</x:f>
        <x:v>350.328255137951</x:v>
      </x:c>
      <x:c r="M61" s="21" t="n">
        <x:f>L61*'情景参数模板'!$D$31</x:f>
        <x:v>420.3939061655412</x:v>
      </x:c>
      <x:c r="N61" s="21" t="n">
        <x:f>IF(C61="source",'情景参数模板'!$D$12,IF(H61="echelon",'情景参数模板'!$D$13,'情景参数模板'!$D$14))</x:f>
        <x:v>0.49</x:v>
      </x:c>
      <x:c r="O61" s="21" t="n">
        <x:f>IF(C61="source",'情景参数模板'!$D$18,IF(H61="echelon",'情景参数模板'!$D$19,'情景参数模板'!$D$20))</x:f>
        <x:v>150</x:v>
      </x:c>
      <x:c r="P61" s="17" t="n">
        <x:f>IF(M61&lt;=O61,1,0)</x:f>
        <x:v>0</x:v>
      </x:c>
      <x:c r="Q61" s="17" t="str">
        <x:v>D-road proxy; B-coordinates</x:v>
      </x:c>
    </x:row>
    <x:row r="62">
      <x:c r="A62" s="17" t="str">
        <x:v>A0058</x:v>
      </x:c>
      <x:c r="B62" s="17" t="str">
        <x:v>GD03</x:v>
      </x:c>
      <x:c r="C62" s="17" t="str">
        <x:v>source</x:v>
      </x:c>
      <x:c r="D62" s="17" t="str">
        <x:v>珠海</x:v>
      </x:c>
      <x:c r="E62" s="24" t="n">
        <x:v>113.5721327</x:v>
      </x:c>
      <x:c r="F62" s="24" t="n">
        <x:v>22.273734</x:v>
      </x:c>
      <x:c r="G62" s="17" t="str">
        <x:v>C16</x:v>
      </x:c>
      <x:c r="H62" s="17" t="str">
        <x:v>collection</x:v>
      </x:c>
      <x:c r="I62" s="17" t="str">
        <x:v>茂名虚拟回收/检测中心</x:v>
      </x:c>
      <x:c r="J62" s="24" t="n">
        <x:v>110.9209511</x:v>
      </x:c>
      <x:c r="K62" s="24" t="n">
        <x:v>21.6656961</x:v>
      </x:c>
      <x:c r="L62" s="21" t="n">
        <x:f>6371*ACOS(MIN(1,COS(F62*PI()/180)*COS(K62*PI()/180)*COS((J62-E62)*PI()/180)+SIN(F62*PI()/180)*SIN(K62*PI()/180)))</x:f>
        <x:v>281.6212285375003</x:v>
      </x:c>
      <x:c r="M62" s="21" t="n">
        <x:f>L62*'情景参数模板'!$D$31</x:f>
        <x:v>337.94547424500036</x:v>
      </x:c>
      <x:c r="N62" s="21" t="n">
        <x:f>IF(C62="source",'情景参数模板'!$D$12,IF(H62="echelon",'情景参数模板'!$D$13,'情景参数模板'!$D$14))</x:f>
        <x:v>0.49</x:v>
      </x:c>
      <x:c r="O62" s="21" t="n">
        <x:f>IF(C62="source",'情景参数模板'!$D$18,IF(H62="echelon",'情景参数模板'!$D$19,'情景参数模板'!$D$20))</x:f>
        <x:v>150</x:v>
      </x:c>
      <x:c r="P62" s="17" t="n">
        <x:f>IF(M62&lt;=O62,1,0)</x:f>
        <x:v>0</x:v>
      </x:c>
      <x:c r="Q62" s="17" t="str">
        <x:v>D-road proxy; B-coordinates</x:v>
      </x:c>
    </x:row>
    <x:row r="63">
      <x:c r="A63" s="17" t="str">
        <x:v>A0059</x:v>
      </x:c>
      <x:c r="B63" s="17" t="str">
        <x:v>GD03</x:v>
      </x:c>
      <x:c r="C63" s="17" t="str">
        <x:v>source</x:v>
      </x:c>
      <x:c r="D63" s="17" t="str">
        <x:v>珠海</x:v>
      </x:c>
      <x:c r="E63" s="24" t="n">
        <x:v>113.5721327</x:v>
      </x:c>
      <x:c r="F63" s="24" t="n">
        <x:v>22.273734</x:v>
      </x:c>
      <x:c r="G63" s="17" t="str">
        <x:v>C17</x:v>
      </x:c>
      <x:c r="H63" s="17" t="str">
        <x:v>collection</x:v>
      </x:c>
      <x:c r="I63" s="17" t="str">
        <x:v>肇庆虚拟回收/检测中心</x:v>
      </x:c>
      <x:c r="J63" s="24" t="n">
        <x:v>112.4603629</x:v>
      </x:c>
      <x:c r="K63" s="24" t="n">
        <x:v>23.0501661</x:v>
      </x:c>
      <x:c r="L63" s="21" t="n">
        <x:f>6371*ACOS(MIN(1,COS(F63*PI()/180)*COS(K63*PI()/180)*COS((J63-E63)*PI()/180)+SIN(F63*PI()/180)*SIN(K63*PI()/180)))</x:f>
        <x:v>143.0642477152054</x:v>
      </x:c>
      <x:c r="M63" s="21" t="n">
        <x:f>L63*'情景参数模板'!$D$31</x:f>
        <x:v>171.67709725824648</x:v>
      </x:c>
      <x:c r="N63" s="21" t="n">
        <x:f>IF(C63="source",'情景参数模板'!$D$12,IF(H63="echelon",'情景参数模板'!$D$13,'情景参数模板'!$D$14))</x:f>
        <x:v>0.49</x:v>
      </x:c>
      <x:c r="O63" s="21" t="n">
        <x:f>IF(C63="source",'情景参数模板'!$D$18,IF(H63="echelon",'情景参数模板'!$D$19,'情景参数模板'!$D$20))</x:f>
        <x:v>150</x:v>
      </x:c>
      <x:c r="P63" s="17" t="n">
        <x:f>IF(M63&lt;=O63,1,0)</x:f>
        <x:v>0</x:v>
      </x:c>
      <x:c r="Q63" s="17" t="str">
        <x:v>D-road proxy; B-coordinates</x:v>
      </x:c>
    </x:row>
    <x:row r="64">
      <x:c r="A64" s="17" t="str">
        <x:v>A0060</x:v>
      </x:c>
      <x:c r="B64" s="17" t="str">
        <x:v>GD03</x:v>
      </x:c>
      <x:c r="C64" s="17" t="str">
        <x:v>source</x:v>
      </x:c>
      <x:c r="D64" s="17" t="str">
        <x:v>珠海</x:v>
      </x:c>
      <x:c r="E64" s="24" t="n">
        <x:v>113.5721327</x:v>
      </x:c>
      <x:c r="F64" s="24" t="n">
        <x:v>22.273734</x:v>
      </x:c>
      <x:c r="G64" s="17" t="str">
        <x:v>C18</x:v>
      </x:c>
      <x:c r="H64" s="17" t="str">
        <x:v>collection</x:v>
      </x:c>
      <x:c r="I64" s="17" t="str">
        <x:v>清远虚拟回收/检测中心</x:v>
      </x:c>
      <x:c r="J64" s="24" t="n">
        <x:v>113.0505994</x:v>
      </x:c>
      <x:c r="K64" s="24" t="n">
        <x:v>23.6832984</x:v>
      </x:c>
      <x:c r="L64" s="21" t="n">
        <x:f>6371*ACOS(MIN(1,COS(F64*PI()/180)*COS(K64*PI()/180)*COS((J64-E64)*PI()/180)+SIN(F64*PI()/180)*SIN(K64*PI()/180)))</x:f>
        <x:v>165.57958735422196</x:v>
      </x:c>
      <x:c r="M64" s="21" t="n">
        <x:f>L64*'情景参数模板'!$D$31</x:f>
        <x:v>198.69550482506634</x:v>
      </x:c>
      <x:c r="N64" s="21" t="n">
        <x:f>IF(C64="source",'情景参数模板'!$D$12,IF(H64="echelon",'情景参数模板'!$D$13,'情景参数模板'!$D$14))</x:f>
        <x:v>0.49</x:v>
      </x:c>
      <x:c r="O64" s="21" t="n">
        <x:f>IF(C64="source",'情景参数模板'!$D$18,IF(H64="echelon",'情景参数模板'!$D$19,'情景参数模板'!$D$20))</x:f>
        <x:v>150</x:v>
      </x:c>
      <x:c r="P64" s="17" t="n">
        <x:f>IF(M64&lt;=O64,1,0)</x:f>
        <x:v>0</x:v>
      </x:c>
      <x:c r="Q64" s="17" t="str">
        <x:v>D-road proxy; B-coordinates</x:v>
      </x:c>
    </x:row>
    <x:row r="65">
      <x:c r="A65" s="17" t="str">
        <x:v>A0061</x:v>
      </x:c>
      <x:c r="B65" s="17" t="str">
        <x:v>GD03</x:v>
      </x:c>
      <x:c r="C65" s="17" t="str">
        <x:v>source</x:v>
      </x:c>
      <x:c r="D65" s="17" t="str">
        <x:v>珠海</x:v>
      </x:c>
      <x:c r="E65" s="24" t="n">
        <x:v>113.5721327</x:v>
      </x:c>
      <x:c r="F65" s="24" t="n">
        <x:v>22.273734</x:v>
      </x:c>
      <x:c r="G65" s="17" t="str">
        <x:v>C19</x:v>
      </x:c>
      <x:c r="H65" s="17" t="str">
        <x:v>collection</x:v>
      </x:c>
      <x:c r="I65" s="17" t="str">
        <x:v>潮州虚拟回收/检测中心</x:v>
      </x:c>
      <x:c r="J65" s="24" t="n">
        <x:v>116.6204223</x:v>
      </x:c>
      <x:c r="K65" s="24" t="n">
        <x:v>23.656593</x:v>
      </x:c>
      <x:c r="L65" s="21" t="n">
        <x:f>6371*ACOS(MIN(1,COS(F65*PI()/180)*COS(K65*PI()/180)*COS((J65-E65)*PI()/180)+SIN(F65*PI()/180)*SIN(K65*PI()/180)))</x:f>
        <x:v>347.89853925176067</x:v>
      </x:c>
      <x:c r="M65" s="21" t="n">
        <x:f>L65*'情景参数模板'!$D$31</x:f>
        <x:v>417.4782471021128</x:v>
      </x:c>
      <x:c r="N65" s="21" t="n">
        <x:f>IF(C65="source",'情景参数模板'!$D$12,IF(H65="echelon",'情景参数模板'!$D$13,'情景参数模板'!$D$14))</x:f>
        <x:v>0.49</x:v>
      </x:c>
      <x:c r="O65" s="21" t="n">
        <x:f>IF(C65="source",'情景参数模板'!$D$18,IF(H65="echelon",'情景参数模板'!$D$19,'情景参数模板'!$D$20))</x:f>
        <x:v>150</x:v>
      </x:c>
      <x:c r="P65" s="17" t="n">
        <x:f>IF(M65&lt;=O65,1,0)</x:f>
        <x:v>0</x:v>
      </x:c>
      <x:c r="Q65" s="17" t="str">
        <x:v>D-road proxy; B-coordinates</x:v>
      </x:c>
    </x:row>
    <x:row r="66">
      <x:c r="A66" s="17" t="str">
        <x:v>A0062</x:v>
      </x:c>
      <x:c r="B66" s="17" t="str">
        <x:v>GD03</x:v>
      </x:c>
      <x:c r="C66" s="17" t="str">
        <x:v>source</x:v>
      </x:c>
      <x:c r="D66" s="17" t="str">
        <x:v>珠海</x:v>
      </x:c>
      <x:c r="E66" s="24" t="n">
        <x:v>113.5721327</x:v>
      </x:c>
      <x:c r="F66" s="24" t="n">
        <x:v>22.273734</x:v>
      </x:c>
      <x:c r="G66" s="17" t="str">
        <x:v>C20</x:v>
      </x:c>
      <x:c r="H66" s="17" t="str">
        <x:v>collection</x:v>
      </x:c>
      <x:c r="I66" s="17" t="str">
        <x:v>揭阳虚拟回收/检测中心</x:v>
      </x:c>
      <x:c r="J66" s="24" t="n">
        <x:v>116.3680354</x:v>
      </x:c>
      <x:c r="K66" s="24" t="n">
        <x:v>23.553156</x:v>
      </x:c>
      <x:c r="L66" s="21" t="n">
        <x:f>6371*ACOS(MIN(1,COS(F66*PI()/180)*COS(K66*PI()/180)*COS((J66-E66)*PI()/180)+SIN(F66*PI()/180)*SIN(K66*PI()/180)))</x:f>
        <x:v>319.7393294978697</x:v>
      </x:c>
      <x:c r="M66" s="21" t="n">
        <x:f>L66*'情景参数模板'!$D$31</x:f>
        <x:v>383.6871953974436</x:v>
      </x:c>
      <x:c r="N66" s="21" t="n">
        <x:f>IF(C66="source",'情景参数模板'!$D$12,IF(H66="echelon",'情景参数模板'!$D$13,'情景参数模板'!$D$14))</x:f>
        <x:v>0.49</x:v>
      </x:c>
      <x:c r="O66" s="21" t="n">
        <x:f>IF(C66="source",'情景参数模板'!$D$18,IF(H66="echelon",'情景参数模板'!$D$19,'情景参数模板'!$D$20))</x:f>
        <x:v>150</x:v>
      </x:c>
      <x:c r="P66" s="17" t="n">
        <x:f>IF(M66&lt;=O66,1,0)</x:f>
        <x:v>0</x:v>
      </x:c>
      <x:c r="Q66" s="17" t="str">
        <x:v>D-road proxy; B-coordinates</x:v>
      </x:c>
    </x:row>
    <x:row r="67">
      <x:c r="A67" s="17" t="str">
        <x:v>A0063</x:v>
      </x:c>
      <x:c r="B67" s="17" t="str">
        <x:v>GD03</x:v>
      </x:c>
      <x:c r="C67" s="17" t="str">
        <x:v>source</x:v>
      </x:c>
      <x:c r="D67" s="17" t="str">
        <x:v>珠海</x:v>
      </x:c>
      <x:c r="E67" s="24" t="n">
        <x:v>113.5721327</x:v>
      </x:c>
      <x:c r="F67" s="24" t="n">
        <x:v>22.273734</x:v>
      </x:c>
      <x:c r="G67" s="17" t="str">
        <x:v>C21</x:v>
      </x:c>
      <x:c r="H67" s="17" t="str">
        <x:v>collection</x:v>
      </x:c>
      <x:c r="I67" s="17" t="str">
        <x:v>云浮虚拟回收/检测中心</x:v>
      </x:c>
      <x:c r="J67" s="24" t="n">
        <x:v>111.8078586</x:v>
      </x:c>
      <x:c r="K67" s="24" t="n">
        <x:v>22.8546663</x:v>
      </x:c>
      <x:c r="L67" s="21" t="n">
        <x:f>6371*ACOS(MIN(1,COS(F67*PI()/180)*COS(K67*PI()/180)*COS((J67-E67)*PI()/180)+SIN(F67*PI()/180)*SIN(K67*PI()/180)))</x:f>
        <x:v>192.33097216709288</x:v>
      </x:c>
      <x:c r="M67" s="21" t="n">
        <x:f>L67*'情景参数模板'!$D$31</x:f>
        <x:v>230.79716660051145</x:v>
      </x:c>
      <x:c r="N67" s="21" t="n">
        <x:f>IF(C67="source",'情景参数模板'!$D$12,IF(H67="echelon",'情景参数模板'!$D$13,'情景参数模板'!$D$14))</x:f>
        <x:v>0.49</x:v>
      </x:c>
      <x:c r="O67" s="21" t="n">
        <x:f>IF(C67="source",'情景参数模板'!$D$18,IF(H67="echelon",'情景参数模板'!$D$19,'情景参数模板'!$D$20))</x:f>
        <x:v>150</x:v>
      </x:c>
      <x:c r="P67" s="17" t="n">
        <x:f>IF(M67&lt;=O67,1,0)</x:f>
        <x:v>0</x:v>
      </x:c>
      <x:c r="Q67" s="17" t="str">
        <x:v>D-road proxy; B-coordinates</x:v>
      </x:c>
    </x:row>
    <x:row r="68">
      <x:c r="A68" s="17" t="str">
        <x:v>A0064</x:v>
      </x:c>
      <x:c r="B68" s="17" t="str">
        <x:v>GD04</x:v>
      </x:c>
      <x:c r="C68" s="17" t="str">
        <x:v>source</x:v>
      </x:c>
      <x:c r="D68" s="17" t="str">
        <x:v>汕头</x:v>
      </x:c>
      <x:c r="E68" s="24" t="n">
        <x:v>116.6775856</x:v>
      </x:c>
      <x:c r="F68" s="24" t="n">
        <x:v>23.3563921</x:v>
      </x:c>
      <x:c r="G68" s="17" t="str">
        <x:v>C01</x:v>
      </x:c>
      <x:c r="H68" s="17" t="str">
        <x:v>collection</x:v>
      </x:c>
      <x:c r="I68" s="17" t="str">
        <x:v>广州虚拟回收/检测中心</x:v>
      </x:c>
      <x:c r="J68" s="24" t="n">
        <x:v>113.2589581</x:v>
      </x:c>
      <x:c r="K68" s="24" t="n">
        <x:v>23.1288429</x:v>
      </x:c>
      <x:c r="L68" s="21" t="n">
        <x:f>6371*ACOS(MIN(1,COS(F68*PI()/180)*COS(K68*PI()/180)*COS((J68-E68)*PI()/180)+SIN(F68*PI()/180)*SIN(K68*PI()/180)))</x:f>
        <x:v>350.1899949540084</x:v>
      </x:c>
      <x:c r="M68" s="21" t="n">
        <x:f>L68*'情景参数模板'!$D$31</x:f>
        <x:v>420.22799394481007</x:v>
      </x:c>
      <x:c r="N68" s="21" t="n">
        <x:f>IF(C68="source",'情景参数模板'!$D$12,IF(H68="echelon",'情景参数模板'!$D$13,'情景参数模板'!$D$14))</x:f>
        <x:v>0.49</x:v>
      </x:c>
      <x:c r="O68" s="21" t="n">
        <x:f>IF(C68="source",'情景参数模板'!$D$18,IF(H68="echelon",'情景参数模板'!$D$19,'情景参数模板'!$D$20))</x:f>
        <x:v>150</x:v>
      </x:c>
      <x:c r="P68" s="17" t="n">
        <x:f>IF(M68&lt;=O68,1,0)</x:f>
        <x:v>0</x:v>
      </x:c>
      <x:c r="Q68" s="17" t="str">
        <x:v>D-road proxy; B-coordinates</x:v>
      </x:c>
    </x:row>
    <x:row r="69">
      <x:c r="A69" s="17" t="str">
        <x:v>A0065</x:v>
      </x:c>
      <x:c r="B69" s="17" t="str">
        <x:v>GD04</x:v>
      </x:c>
      <x:c r="C69" s="17" t="str">
        <x:v>source</x:v>
      </x:c>
      <x:c r="D69" s="17" t="str">
        <x:v>汕头</x:v>
      </x:c>
      <x:c r="E69" s="24" t="n">
        <x:v>116.6775856</x:v>
      </x:c>
      <x:c r="F69" s="24" t="n">
        <x:v>23.3563921</x:v>
      </x:c>
      <x:c r="G69" s="17" t="str">
        <x:v>C02</x:v>
      </x:c>
      <x:c r="H69" s="17" t="str">
        <x:v>collection</x:v>
      </x:c>
      <x:c r="I69" s="17" t="str">
        <x:v>深圳虚拟回收/检测中心</x:v>
      </x:c>
      <x:c r="J69" s="24" t="n">
        <x:v>114.0545429</x:v>
      </x:c>
      <x:c r="K69" s="24" t="n">
        <x:v>22.5445741</x:v>
      </x:c>
      <x:c r="L69" s="21" t="n">
        <x:f>6371*ACOS(MIN(1,COS(F69*PI()/180)*COS(K69*PI()/180)*COS((J69-E69)*PI()/180)+SIN(F69*PI()/180)*SIN(K69*PI()/180)))</x:f>
        <x:v>283.33857381725</x:v>
      </x:c>
      <x:c r="M69" s="21" t="n">
        <x:f>L69*'情景参数模板'!$D$31</x:f>
        <x:v>340.00628858069996</x:v>
      </x:c>
      <x:c r="N69" s="21" t="n">
        <x:f>IF(C69="source",'情景参数模板'!$D$12,IF(H69="echelon",'情景参数模板'!$D$13,'情景参数模板'!$D$14))</x:f>
        <x:v>0.49</x:v>
      </x:c>
      <x:c r="O69" s="21" t="n">
        <x:f>IF(C69="source",'情景参数模板'!$D$18,IF(H69="echelon",'情景参数模板'!$D$19,'情景参数模板'!$D$20))</x:f>
        <x:v>150</x:v>
      </x:c>
      <x:c r="P69" s="17" t="n">
        <x:f>IF(M69&lt;=O69,1,0)</x:f>
        <x:v>0</x:v>
      </x:c>
      <x:c r="Q69" s="17" t="str">
        <x:v>D-road proxy; B-coordinates</x:v>
      </x:c>
    </x:row>
    <x:row r="70">
      <x:c r="A70" s="17" t="str">
        <x:v>A0066</x:v>
      </x:c>
      <x:c r="B70" s="17" t="str">
        <x:v>GD04</x:v>
      </x:c>
      <x:c r="C70" s="17" t="str">
        <x:v>source</x:v>
      </x:c>
      <x:c r="D70" s="17" t="str">
        <x:v>汕头</x:v>
      </x:c>
      <x:c r="E70" s="24" t="n">
        <x:v>116.6775856</x:v>
      </x:c>
      <x:c r="F70" s="24" t="n">
        <x:v>23.3563921</x:v>
      </x:c>
      <x:c r="G70" s="17" t="str">
        <x:v>C03</x:v>
      </x:c>
      <x:c r="H70" s="17" t="str">
        <x:v>collection</x:v>
      </x:c>
      <x:c r="I70" s="17" t="str">
        <x:v>珠海虚拟回收/检测中心</x:v>
      </x:c>
      <x:c r="J70" s="24" t="n">
        <x:v>113.5721327</x:v>
      </x:c>
      <x:c r="K70" s="24" t="n">
        <x:v>22.273734</x:v>
      </x:c>
      <x:c r="L70" s="21" t="n">
        <x:f>6371*ACOS(MIN(1,COS(F70*PI()/180)*COS(K70*PI()/180)*COS((J70-E70)*PI()/180)+SIN(F70*PI()/180)*SIN(K70*PI()/180)))</x:f>
        <x:v>340.2873692564277</x:v>
      </x:c>
      <x:c r="M70" s="21" t="n">
        <x:f>L70*'情景参数模板'!$D$31</x:f>
        <x:v>408.34484310771325</x:v>
      </x:c>
      <x:c r="N70" s="21" t="n">
        <x:f>IF(C70="source",'情景参数模板'!$D$12,IF(H70="echelon",'情景参数模板'!$D$13,'情景参数模板'!$D$14))</x:f>
        <x:v>0.49</x:v>
      </x:c>
      <x:c r="O70" s="21" t="n">
        <x:f>IF(C70="source",'情景参数模板'!$D$18,IF(H70="echelon",'情景参数模板'!$D$19,'情景参数模板'!$D$20))</x:f>
        <x:v>150</x:v>
      </x:c>
      <x:c r="P70" s="17" t="n">
        <x:f>IF(M70&lt;=O70,1,0)</x:f>
        <x:v>0</x:v>
      </x:c>
      <x:c r="Q70" s="17" t="str">
        <x:v>D-road proxy; B-coordinates</x:v>
      </x:c>
    </x:row>
    <x:row r="71">
      <x:c r="A71" s="17" t="str">
        <x:v>A0067</x:v>
      </x:c>
      <x:c r="B71" s="17" t="str">
        <x:v>GD04</x:v>
      </x:c>
      <x:c r="C71" s="17" t="str">
        <x:v>source</x:v>
      </x:c>
      <x:c r="D71" s="17" t="str">
        <x:v>汕头</x:v>
      </x:c>
      <x:c r="E71" s="24" t="n">
        <x:v>116.6775856</x:v>
      </x:c>
      <x:c r="F71" s="24" t="n">
        <x:v>23.3563921</x:v>
      </x:c>
      <x:c r="G71" s="17" t="str">
        <x:v>C04</x:v>
      </x:c>
      <x:c r="H71" s="17" t="str">
        <x:v>collection</x:v>
      </x:c>
      <x:c r="I71" s="17" t="str">
        <x:v>汕头虚拟回收/检测中心</x:v>
      </x:c>
      <x:c r="J71" s="24" t="n">
        <x:v>116.6775856</x:v>
      </x:c>
      <x:c r="K71" s="24" t="n">
        <x:v>23.3563921</x:v>
      </x:c>
      <x:c r="L71" s="21" t="n">
        <x:f>6371*ACOS(MIN(1,COS(F71*PI()/180)*COS(K71*PI()/180)*COS((J71-E71)*PI()/180)+SIN(F71*PI()/180)*SIN(K71*PI()/180)))</x:f>
        <x:v>0</x:v>
      </x:c>
      <x:c r="M71" s="21" t="n">
        <x:f>L71*'情景参数模板'!$D$31</x:f>
        <x:v>0</x:v>
      </x:c>
      <x:c r="N71" s="21" t="n">
        <x:f>IF(C71="source",'情景参数模板'!$D$12,IF(H71="echelon",'情景参数模板'!$D$13,'情景参数模板'!$D$14))</x:f>
        <x:v>0.49</x:v>
      </x:c>
      <x:c r="O71" s="21" t="n">
        <x:f>IF(C71="source",'情景参数模板'!$D$18,IF(H71="echelon",'情景参数模板'!$D$19,'情景参数模板'!$D$20))</x:f>
        <x:v>150</x:v>
      </x:c>
      <x:c r="P71" s="17" t="n">
        <x:f>IF(M71&lt;=O71,1,0)</x:f>
        <x:v>1</x:v>
      </x:c>
      <x:c r="Q71" s="17" t="str">
        <x:v>D-road proxy; B-coordinates</x:v>
      </x:c>
    </x:row>
    <x:row r="72">
      <x:c r="A72" s="17" t="str">
        <x:v>A0068</x:v>
      </x:c>
      <x:c r="B72" s="17" t="str">
        <x:v>GD04</x:v>
      </x:c>
      <x:c r="C72" s="17" t="str">
        <x:v>source</x:v>
      </x:c>
      <x:c r="D72" s="17" t="str">
        <x:v>汕头</x:v>
      </x:c>
      <x:c r="E72" s="24" t="n">
        <x:v>116.6775856</x:v>
      </x:c>
      <x:c r="F72" s="24" t="n">
        <x:v>23.3563921</x:v>
      </x:c>
      <x:c r="G72" s="17" t="str">
        <x:v>C05</x:v>
      </x:c>
      <x:c r="H72" s="17" t="str">
        <x:v>collection</x:v>
      </x:c>
      <x:c r="I72" s="17" t="str">
        <x:v>佛山虚拟回收/检测中心</x:v>
      </x:c>
      <x:c r="J72" s="24" t="n">
        <x:v>113.1159558</x:v>
      </x:c>
      <x:c r="K72" s="24" t="n">
        <x:v>23.0239788</x:v>
      </x:c>
      <x:c r="L72" s="21" t="n">
        <x:f>6371*ACOS(MIN(1,COS(F72*PI()/180)*COS(K72*PI()/180)*COS((J72-E72)*PI()/180)+SIN(F72*PI()/180)*SIN(K72*PI()/180)))</x:f>
        <x:v>365.8985033160558</x:v>
      </x:c>
      <x:c r="M72" s="21" t="n">
        <x:f>L72*'情景参数模板'!$D$31</x:f>
        <x:v>439.0782039792669</x:v>
      </x:c>
      <x:c r="N72" s="21" t="n">
        <x:f>IF(C72="source",'情景参数模板'!$D$12,IF(H72="echelon",'情景参数模板'!$D$13,'情景参数模板'!$D$14))</x:f>
        <x:v>0.49</x:v>
      </x:c>
      <x:c r="O72" s="21" t="n">
        <x:f>IF(C72="source",'情景参数模板'!$D$18,IF(H72="echelon",'情景参数模板'!$D$19,'情景参数模板'!$D$20))</x:f>
        <x:v>150</x:v>
      </x:c>
      <x:c r="P72" s="17" t="n">
        <x:f>IF(M72&lt;=O72,1,0)</x:f>
        <x:v>0</x:v>
      </x:c>
      <x:c r="Q72" s="17" t="str">
        <x:v>D-road proxy; B-coordinates</x:v>
      </x:c>
    </x:row>
    <x:row r="73">
      <x:c r="A73" s="17" t="str">
        <x:v>A0069</x:v>
      </x:c>
      <x:c r="B73" s="17" t="str">
        <x:v>GD04</x:v>
      </x:c>
      <x:c r="C73" s="17" t="str">
        <x:v>source</x:v>
      </x:c>
      <x:c r="D73" s="17" t="str">
        <x:v>汕头</x:v>
      </x:c>
      <x:c r="E73" s="24" t="n">
        <x:v>116.6775856</x:v>
      </x:c>
      <x:c r="F73" s="24" t="n">
        <x:v>23.3563921</x:v>
      </x:c>
      <x:c r="G73" s="17" t="str">
        <x:v>C06</x:v>
      </x:c>
      <x:c r="H73" s="17" t="str">
        <x:v>collection</x:v>
      </x:c>
      <x:c r="I73" s="17" t="str">
        <x:v>韶关虚拟回收/检测中心</x:v>
      </x:c>
      <x:c r="J73" s="24" t="n">
        <x:v>113.8155263</x:v>
      </x:c>
      <x:c r="K73" s="24" t="n">
        <x:v>24.8309489</x:v>
      </x:c>
      <x:c r="L73" s="21" t="n">
        <x:f>6371*ACOS(MIN(1,COS(F73*PI()/180)*COS(K73*PI()/180)*COS((J73-E73)*PI()/180)+SIN(F73*PI()/180)*SIN(K73*PI()/180)))</x:f>
        <x:v>333.5802590119702</x:v>
      </x:c>
      <x:c r="M73" s="21" t="n">
        <x:f>L73*'情景参数模板'!$D$31</x:f>
        <x:v>400.29631081436423</x:v>
      </x:c>
      <x:c r="N73" s="21" t="n">
        <x:f>IF(C73="source",'情景参数模板'!$D$12,IF(H73="echelon",'情景参数模板'!$D$13,'情景参数模板'!$D$14))</x:f>
        <x:v>0.49</x:v>
      </x:c>
      <x:c r="O73" s="21" t="n">
        <x:f>IF(C73="source",'情景参数模板'!$D$18,IF(H73="echelon",'情景参数模板'!$D$19,'情景参数模板'!$D$20))</x:f>
        <x:v>150</x:v>
      </x:c>
      <x:c r="P73" s="17" t="n">
        <x:f>IF(M73&lt;=O73,1,0)</x:f>
        <x:v>0</x:v>
      </x:c>
      <x:c r="Q73" s="17" t="str">
        <x:v>D-road proxy; B-coordinates</x:v>
      </x:c>
    </x:row>
    <x:row r="74">
      <x:c r="A74" s="17" t="str">
        <x:v>A0070</x:v>
      </x:c>
      <x:c r="B74" s="17" t="str">
        <x:v>GD04</x:v>
      </x:c>
      <x:c r="C74" s="17" t="str">
        <x:v>source</x:v>
      </x:c>
      <x:c r="D74" s="17" t="str">
        <x:v>汕头</x:v>
      </x:c>
      <x:c r="E74" s="24" t="n">
        <x:v>116.6775856</x:v>
      </x:c>
      <x:c r="F74" s="24" t="n">
        <x:v>23.3563921</x:v>
      </x:c>
      <x:c r="G74" s="17" t="str">
        <x:v>C07</x:v>
      </x:c>
      <x:c r="H74" s="17" t="str">
        <x:v>collection</x:v>
      </x:c>
      <x:c r="I74" s="17" t="str">
        <x:v>河源虚拟回收/检测中心</x:v>
      </x:c>
      <x:c r="J74" s="24" t="n">
        <x:v>115.0577538</x:v>
      </x:c>
      <x:c r="K74" s="24" t="n">
        <x:v>24.1014769</x:v>
      </x:c>
      <x:c r="L74" s="21" t="n">
        <x:f>6371*ACOS(MIN(1,COS(F74*PI()/180)*COS(K74*PI()/180)*COS((J74-E74)*PI()/180)+SIN(F74*PI()/180)*SIN(K74*PI()/180)))</x:f>
        <x:v>184.53141025973926</x:v>
      </x:c>
      <x:c r="M74" s="21" t="n">
        <x:f>L74*'情景参数模板'!$D$31</x:f>
        <x:v>221.4376923116871</x:v>
      </x:c>
      <x:c r="N74" s="21" t="n">
        <x:f>IF(C74="source",'情景参数模板'!$D$12,IF(H74="echelon",'情景参数模板'!$D$13,'情景参数模板'!$D$14))</x:f>
        <x:v>0.49</x:v>
      </x:c>
      <x:c r="O74" s="21" t="n">
        <x:f>IF(C74="source",'情景参数模板'!$D$18,IF(H74="echelon",'情景参数模板'!$D$19,'情景参数模板'!$D$20))</x:f>
        <x:v>150</x:v>
      </x:c>
      <x:c r="P74" s="17" t="n">
        <x:f>IF(M74&lt;=O74,1,0)</x:f>
        <x:v>0</x:v>
      </x:c>
      <x:c r="Q74" s="17" t="str">
        <x:v>D-road proxy; B-coordinates</x:v>
      </x:c>
    </x:row>
    <x:row r="75">
      <x:c r="A75" s="17" t="str">
        <x:v>A0071</x:v>
      </x:c>
      <x:c r="B75" s="17" t="str">
        <x:v>GD04</x:v>
      </x:c>
      <x:c r="C75" s="17" t="str">
        <x:v>source</x:v>
      </x:c>
      <x:c r="D75" s="17" t="str">
        <x:v>汕头</x:v>
      </x:c>
      <x:c r="E75" s="24" t="n">
        <x:v>116.6775856</x:v>
      </x:c>
      <x:c r="F75" s="24" t="n">
        <x:v>23.3563921</x:v>
      </x:c>
      <x:c r="G75" s="17" t="str">
        <x:v>C08</x:v>
      </x:c>
      <x:c r="H75" s="17" t="str">
        <x:v>collection</x:v>
      </x:c>
      <x:c r="I75" s="17" t="str">
        <x:v>梅州虚拟回收/检测中心</x:v>
      </x:c>
      <x:c r="J75" s="24" t="n">
        <x:v>116.1171428</x:v>
      </x:c>
      <x:c r="K75" s="24" t="n">
        <x:v>24.2918414</x:v>
      </x:c>
      <x:c r="L75" s="21" t="n">
        <x:f>6371*ACOS(MIN(1,COS(F75*PI()/180)*COS(K75*PI()/180)*COS((J75-E75)*PI()/180)+SIN(F75*PI()/180)*SIN(K75*PI()/180)))</x:f>
        <x:v>118.61450484712725</x:v>
      </x:c>
      <x:c r="M75" s="21" t="n">
        <x:f>L75*'情景参数模板'!$D$31</x:f>
        <x:v>142.3374058165527</x:v>
      </x:c>
      <x:c r="N75" s="21" t="n">
        <x:f>IF(C75="source",'情景参数模板'!$D$12,IF(H75="echelon",'情景参数模板'!$D$13,'情景参数模板'!$D$14))</x:f>
        <x:v>0.49</x:v>
      </x:c>
      <x:c r="O75" s="21" t="n">
        <x:f>IF(C75="source",'情景参数模板'!$D$18,IF(H75="echelon",'情景参数模板'!$D$19,'情景参数模板'!$D$20))</x:f>
        <x:v>150</x:v>
      </x:c>
      <x:c r="P75" s="17" t="n">
        <x:f>IF(M75&lt;=O75,1,0)</x:f>
        <x:v>1</x:v>
      </x:c>
      <x:c r="Q75" s="17" t="str">
        <x:v>D-road proxy; B-coordinates</x:v>
      </x:c>
    </x:row>
    <x:row r="76">
      <x:c r="A76" s="17" t="str">
        <x:v>A0072</x:v>
      </x:c>
      <x:c r="B76" s="17" t="str">
        <x:v>GD04</x:v>
      </x:c>
      <x:c r="C76" s="17" t="str">
        <x:v>source</x:v>
      </x:c>
      <x:c r="D76" s="17" t="str">
        <x:v>汕头</x:v>
      </x:c>
      <x:c r="E76" s="24" t="n">
        <x:v>116.6775856</x:v>
      </x:c>
      <x:c r="F76" s="24" t="n">
        <x:v>23.3563921</x:v>
      </x:c>
      <x:c r="G76" s="17" t="str">
        <x:v>C09</x:v>
      </x:c>
      <x:c r="H76" s="17" t="str">
        <x:v>collection</x:v>
      </x:c>
      <x:c r="I76" s="17" t="str">
        <x:v>惠州虚拟回收/检测中心</x:v>
      </x:c>
      <x:c r="J76" s="24" t="n">
        <x:v>114.4127007</x:v>
      </x:c>
      <x:c r="K76" s="24" t="n">
        <x:v>23.1125153</x:v>
      </x:c>
      <x:c r="L76" s="21" t="n">
        <x:f>6371*ACOS(MIN(1,COS(F76*PI()/180)*COS(K76*PI()/180)*COS((J76-E76)*PI()/180)+SIN(F76*PI()/180)*SIN(K76*PI()/180)))</x:f>
        <x:v>232.99958546699187</x:v>
      </x:c>
      <x:c r="M76" s="21" t="n">
        <x:f>L76*'情景参数模板'!$D$31</x:f>
        <x:v>279.59950256039025</x:v>
      </x:c>
      <x:c r="N76" s="21" t="n">
        <x:f>IF(C76="source",'情景参数模板'!$D$12,IF(H76="echelon",'情景参数模板'!$D$13,'情景参数模板'!$D$14))</x:f>
        <x:v>0.49</x:v>
      </x:c>
      <x:c r="O76" s="21" t="n">
        <x:f>IF(C76="source",'情景参数模板'!$D$18,IF(H76="echelon",'情景参数模板'!$D$19,'情景参数模板'!$D$20))</x:f>
        <x:v>150</x:v>
      </x:c>
      <x:c r="P76" s="17" t="n">
        <x:f>IF(M76&lt;=O76,1,0)</x:f>
        <x:v>0</x:v>
      </x:c>
      <x:c r="Q76" s="17" t="str">
        <x:v>D-road proxy; B-coordinates</x:v>
      </x:c>
    </x:row>
    <x:row r="77">
      <x:c r="A77" s="17" t="str">
        <x:v>A0073</x:v>
      </x:c>
      <x:c r="B77" s="17" t="str">
        <x:v>GD04</x:v>
      </x:c>
      <x:c r="C77" s="17" t="str">
        <x:v>source</x:v>
      </x:c>
      <x:c r="D77" s="17" t="str">
        <x:v>汕头</x:v>
      </x:c>
      <x:c r="E77" s="24" t="n">
        <x:v>116.6775856</x:v>
      </x:c>
      <x:c r="F77" s="24" t="n">
        <x:v>23.3563921</x:v>
      </x:c>
      <x:c r="G77" s="17" t="str">
        <x:v>C10</x:v>
      </x:c>
      <x:c r="H77" s="17" t="str">
        <x:v>collection</x:v>
      </x:c>
      <x:c r="I77" s="17" t="str">
        <x:v>汕尾虚拟回收/检测中心</x:v>
      </x:c>
      <x:c r="J77" s="24" t="n">
        <x:v>115.5099937</x:v>
      </x:c>
      <x:c r="K77" s="24" t="n">
        <x:v>23.0123639</x:v>
      </x:c>
      <x:c r="L77" s="21" t="n">
        <x:f>6371*ACOS(MIN(1,COS(F77*PI()/180)*COS(K77*PI()/180)*COS((J77-E77)*PI()/180)+SIN(F77*PI()/180)*SIN(K77*PI()/180)))</x:f>
        <x:v>125.32598093140014</x:v>
      </x:c>
      <x:c r="M77" s="21" t="n">
        <x:f>L77*'情景参数模板'!$D$31</x:f>
        <x:v>150.39117711768017</x:v>
      </x:c>
      <x:c r="N77" s="21" t="n">
        <x:f>IF(C77="source",'情景参数模板'!$D$12,IF(H77="echelon",'情景参数模板'!$D$13,'情景参数模板'!$D$14))</x:f>
        <x:v>0.49</x:v>
      </x:c>
      <x:c r="O77" s="21" t="n">
        <x:f>IF(C77="source",'情景参数模板'!$D$18,IF(H77="echelon",'情景参数模板'!$D$19,'情景参数模板'!$D$20))</x:f>
        <x:v>150</x:v>
      </x:c>
      <x:c r="P77" s="17" t="n">
        <x:f>IF(M77&lt;=O77,1,0)</x:f>
        <x:v>0</x:v>
      </x:c>
      <x:c r="Q77" s="17" t="str">
        <x:v>D-road proxy; B-coordinates</x:v>
      </x:c>
    </x:row>
    <x:row r="78">
      <x:c r="A78" s="17" t="str">
        <x:v>A0074</x:v>
      </x:c>
      <x:c r="B78" s="17" t="str">
        <x:v>GD04</x:v>
      </x:c>
      <x:c r="C78" s="17" t="str">
        <x:v>source</x:v>
      </x:c>
      <x:c r="D78" s="17" t="str">
        <x:v>汕头</x:v>
      </x:c>
      <x:c r="E78" s="24" t="n">
        <x:v>116.6775856</x:v>
      </x:c>
      <x:c r="F78" s="24" t="n">
        <x:v>23.3563921</x:v>
      </x:c>
      <x:c r="G78" s="17" t="str">
        <x:v>C11</x:v>
      </x:c>
      <x:c r="H78" s="17" t="str">
        <x:v>collection</x:v>
      </x:c>
      <x:c r="I78" s="17" t="str">
        <x:v>东莞虚拟回收/检测中心</x:v>
      </x:c>
      <x:c r="J78" s="24" t="n">
        <x:v>113.7452332</x:v>
      </x:c>
      <x:c r="K78" s="24" t="n">
        <x:v>23.0183568</x:v>
      </x:c>
      <x:c r="L78" s="21" t="n">
        <x:f>6371*ACOS(MIN(1,COS(F78*PI()/180)*COS(K78*PI()/180)*COS((J78-E78)*PI()/180)+SIN(F78*PI()/180)*SIN(K78*PI()/180)))</x:f>
        <x:v>302.0660678063366</x:v>
      </x:c>
      <x:c r="M78" s="21" t="n">
        <x:f>L78*'情景参数模板'!$D$31</x:f>
        <x:v>362.4792813676039</x:v>
      </x:c>
      <x:c r="N78" s="21" t="n">
        <x:f>IF(C78="source",'情景参数模板'!$D$12,IF(H78="echelon",'情景参数模板'!$D$13,'情景参数模板'!$D$14))</x:f>
        <x:v>0.49</x:v>
      </x:c>
      <x:c r="O78" s="21" t="n">
        <x:f>IF(C78="source",'情景参数模板'!$D$18,IF(H78="echelon",'情景参数模板'!$D$19,'情景参数模板'!$D$20))</x:f>
        <x:v>150</x:v>
      </x:c>
      <x:c r="P78" s="17" t="n">
        <x:f>IF(M78&lt;=O78,1,0)</x:f>
        <x:v>0</x:v>
      </x:c>
      <x:c r="Q78" s="17" t="str">
        <x:v>D-road proxy; B-coordinates</x:v>
      </x:c>
    </x:row>
    <x:row r="79">
      <x:c r="A79" s="17" t="str">
        <x:v>A0075</x:v>
      </x:c>
      <x:c r="B79" s="17" t="str">
        <x:v>GD04</x:v>
      </x:c>
      <x:c r="C79" s="17" t="str">
        <x:v>source</x:v>
      </x:c>
      <x:c r="D79" s="17" t="str">
        <x:v>汕头</x:v>
      </x:c>
      <x:c r="E79" s="24" t="n">
        <x:v>116.6775856</x:v>
      </x:c>
      <x:c r="F79" s="24" t="n">
        <x:v>23.3563921</x:v>
      </x:c>
      <x:c r="G79" s="17" t="str">
        <x:v>C12</x:v>
      </x:c>
      <x:c r="H79" s="17" t="str">
        <x:v>collection</x:v>
      </x:c>
      <x:c r="I79" s="17" t="str">
        <x:v>中山虚拟回收/检测中心</x:v>
      </x:c>
      <x:c r="J79" s="24" t="n">
        <x:v>113.3872302</x:v>
      </x:c>
      <x:c r="K79" s="24" t="n">
        <x:v>22.5197073</x:v>
      </x:c>
      <x:c r="L79" s="21" t="n">
        <x:f>6371*ACOS(MIN(1,COS(F79*PI()/180)*COS(K79*PI()/180)*COS((J79-E79)*PI()/180)+SIN(F79*PI()/180)*SIN(K79*PI()/180)))</x:f>
        <x:v>349.537434266799</x:v>
      </x:c>
      <x:c r="M79" s="21" t="n">
        <x:f>L79*'情景参数模板'!$D$31</x:f>
        <x:v>419.44492112015877</x:v>
      </x:c>
      <x:c r="N79" s="21" t="n">
        <x:f>IF(C79="source",'情景参数模板'!$D$12,IF(H79="echelon",'情景参数模板'!$D$13,'情景参数模板'!$D$14))</x:f>
        <x:v>0.49</x:v>
      </x:c>
      <x:c r="O79" s="21" t="n">
        <x:f>IF(C79="source",'情景参数模板'!$D$18,IF(H79="echelon",'情景参数模板'!$D$19,'情景参数模板'!$D$20))</x:f>
        <x:v>150</x:v>
      </x:c>
      <x:c r="P79" s="17" t="n">
        <x:f>IF(M79&lt;=O79,1,0)</x:f>
        <x:v>0</x:v>
      </x:c>
      <x:c r="Q79" s="17" t="str">
        <x:v>D-road proxy; B-coordinates</x:v>
      </x:c>
    </x:row>
    <x:row r="80">
      <x:c r="A80" s="17" t="str">
        <x:v>A0076</x:v>
      </x:c>
      <x:c r="B80" s="17" t="str">
        <x:v>GD04</x:v>
      </x:c>
      <x:c r="C80" s="17" t="str">
        <x:v>source</x:v>
      </x:c>
      <x:c r="D80" s="17" t="str">
        <x:v>汕头</x:v>
      </x:c>
      <x:c r="E80" s="24" t="n">
        <x:v>116.6775856</x:v>
      </x:c>
      <x:c r="F80" s="24" t="n">
        <x:v>23.3563921</x:v>
      </x:c>
      <x:c r="G80" s="17" t="str">
        <x:v>C13</x:v>
      </x:c>
      <x:c r="H80" s="17" t="str">
        <x:v>collection</x:v>
      </x:c>
      <x:c r="I80" s="17" t="str">
        <x:v>江门虚拟回收/检测中心</x:v>
      </x:c>
      <x:c r="J80" s="24" t="n">
        <x:v>113.0761073</x:v>
      </x:c>
      <x:c r="K80" s="24" t="n">
        <x:v>22.5816619</x:v>
      </x:c>
      <x:c r="L80" s="21" t="n">
        <x:f>6371*ACOS(MIN(1,COS(F80*PI()/180)*COS(K80*PI()/180)*COS((J80-E80)*PI()/180)+SIN(F80*PI()/180)*SIN(K80*PI()/180)))</x:f>
        <x:v>378.6321234404451</x:v>
      </x:c>
      <x:c r="M80" s="21" t="n">
        <x:f>L80*'情景参数模板'!$D$31</x:f>
        <x:v>454.35854812853415</x:v>
      </x:c>
      <x:c r="N80" s="21" t="n">
        <x:f>IF(C80="source",'情景参数模板'!$D$12,IF(H80="echelon",'情景参数模板'!$D$13,'情景参数模板'!$D$14))</x:f>
        <x:v>0.49</x:v>
      </x:c>
      <x:c r="O80" s="21" t="n">
        <x:f>IF(C80="source",'情景参数模板'!$D$18,IF(H80="echelon",'情景参数模板'!$D$19,'情景参数模板'!$D$20))</x:f>
        <x:v>150</x:v>
      </x:c>
      <x:c r="P80" s="17" t="n">
        <x:f>IF(M80&lt;=O80,1,0)</x:f>
        <x:v>0</x:v>
      </x:c>
      <x:c r="Q80" s="17" t="str">
        <x:v>D-road proxy; B-coordinates</x:v>
      </x:c>
    </x:row>
    <x:row r="81">
      <x:c r="A81" s="17" t="str">
        <x:v>A0077</x:v>
      </x:c>
      <x:c r="B81" s="17" t="str">
        <x:v>GD04</x:v>
      </x:c>
      <x:c r="C81" s="17" t="str">
        <x:v>source</x:v>
      </x:c>
      <x:c r="D81" s="17" t="str">
        <x:v>汕头</x:v>
      </x:c>
      <x:c r="E81" s="24" t="n">
        <x:v>116.6775856</x:v>
      </x:c>
      <x:c r="F81" s="24" t="n">
        <x:v>23.3563921</x:v>
      </x:c>
      <x:c r="G81" s="17" t="str">
        <x:v>C14</x:v>
      </x:c>
      <x:c r="H81" s="17" t="str">
        <x:v>collection</x:v>
      </x:c>
      <x:c r="I81" s="17" t="str">
        <x:v>阳江虚拟回收/检测中心</x:v>
      </x:c>
      <x:c r="J81" s="24" t="n">
        <x:v>111.7831393</x:v>
      </x:c>
      <x:c r="K81" s="24" t="n">
        <x:v>22.0958223</x:v>
      </x:c>
      <x:c r="L81" s="21" t="n">
        <x:f>6371*ACOS(MIN(1,COS(F81*PI()/180)*COS(K81*PI()/180)*COS((J81-E81)*PI()/180)+SIN(F81*PI()/180)*SIN(K81*PI()/180)))</x:f>
        <x:v>521.1497268263299</x:v>
      </x:c>
      <x:c r="M81" s="21" t="n">
        <x:f>L81*'情景参数模板'!$D$31</x:f>
        <x:v>625.3796721915959</x:v>
      </x:c>
      <x:c r="N81" s="21" t="n">
        <x:f>IF(C81="source",'情景参数模板'!$D$12,IF(H81="echelon",'情景参数模板'!$D$13,'情景参数模板'!$D$14))</x:f>
        <x:v>0.49</x:v>
      </x:c>
      <x:c r="O81" s="21" t="n">
        <x:f>IF(C81="source",'情景参数模板'!$D$18,IF(H81="echelon",'情景参数模板'!$D$19,'情景参数模板'!$D$20))</x:f>
        <x:v>150</x:v>
      </x:c>
      <x:c r="P81" s="17" t="n">
        <x:f>IF(M81&lt;=O81,1,0)</x:f>
        <x:v>0</x:v>
      </x:c>
      <x:c r="Q81" s="17" t="str">
        <x:v>D-road proxy; B-coordinates</x:v>
      </x:c>
    </x:row>
    <x:row r="82">
      <x:c r="A82" s="17" t="str">
        <x:v>A0078</x:v>
      </x:c>
      <x:c r="B82" s="17" t="str">
        <x:v>GD04</x:v>
      </x:c>
      <x:c r="C82" s="17" t="str">
        <x:v>source</x:v>
      </x:c>
      <x:c r="D82" s="17" t="str">
        <x:v>汕头</x:v>
      </x:c>
      <x:c r="E82" s="24" t="n">
        <x:v>116.6775856</x:v>
      </x:c>
      <x:c r="F82" s="24" t="n">
        <x:v>23.3563921</x:v>
      </x:c>
      <x:c r="G82" s="17" t="str">
        <x:v>C15</x:v>
      </x:c>
      <x:c r="H82" s="17" t="str">
        <x:v>collection</x:v>
      </x:c>
      <x:c r="I82" s="17" t="str">
        <x:v>湛江虚拟回收/检测中心</x:v>
      </x:c>
      <x:c r="J82" s="24" t="n">
        <x:v>110.3548318</x:v>
      </x:c>
      <x:c r="K82" s="24" t="n">
        <x:v>21.2737079</x:v>
      </x:c>
      <x:c r="L82" s="21" t="n">
        <x:f>6371*ACOS(MIN(1,COS(F82*PI()/180)*COS(K82*PI()/180)*COS((J82-E82)*PI()/180)+SIN(F82*PI()/180)*SIN(K82*PI()/180)))</x:f>
        <x:v>690.3094605041547</x:v>
      </x:c>
      <x:c r="M82" s="21" t="n">
        <x:f>L82*'情景参数模板'!$D$31</x:f>
        <x:v>828.3713526049856</x:v>
      </x:c>
      <x:c r="N82" s="21" t="n">
        <x:f>IF(C82="source",'情景参数模板'!$D$12,IF(H82="echelon",'情景参数模板'!$D$13,'情景参数模板'!$D$14))</x:f>
        <x:v>0.49</x:v>
      </x:c>
      <x:c r="O82" s="21" t="n">
        <x:f>IF(C82="source",'情景参数模板'!$D$18,IF(H82="echelon",'情景参数模板'!$D$19,'情景参数模板'!$D$20))</x:f>
        <x:v>150</x:v>
      </x:c>
      <x:c r="P82" s="17" t="n">
        <x:f>IF(M82&lt;=O82,1,0)</x:f>
        <x:v>0</x:v>
      </x:c>
      <x:c r="Q82" s="17" t="str">
        <x:v>D-road proxy; B-coordinates</x:v>
      </x:c>
    </x:row>
    <x:row r="83">
      <x:c r="A83" s="17" t="str">
        <x:v>A0079</x:v>
      </x:c>
      <x:c r="B83" s="17" t="str">
        <x:v>GD04</x:v>
      </x:c>
      <x:c r="C83" s="17" t="str">
        <x:v>source</x:v>
      </x:c>
      <x:c r="D83" s="17" t="str">
        <x:v>汕头</x:v>
      </x:c>
      <x:c r="E83" s="24" t="n">
        <x:v>116.6775856</x:v>
      </x:c>
      <x:c r="F83" s="24" t="n">
        <x:v>23.3563921</x:v>
      </x:c>
      <x:c r="G83" s="17" t="str">
        <x:v>C16</x:v>
      </x:c>
      <x:c r="H83" s="17" t="str">
        <x:v>collection</x:v>
      </x:c>
      <x:c r="I83" s="17" t="str">
        <x:v>茂名虚拟回收/检测中心</x:v>
      </x:c>
      <x:c r="J83" s="24" t="n">
        <x:v>110.9209511</x:v>
      </x:c>
      <x:c r="K83" s="24" t="n">
        <x:v>21.6656961</x:v>
      </x:c>
      <x:c r="L83" s="21" t="n">
        <x:f>6371*ACOS(MIN(1,COS(F83*PI()/180)*COS(K83*PI()/180)*COS((J83-E83)*PI()/180)+SIN(F83*PI()/180)*SIN(K83*PI()/180)))</x:f>
        <x:v>620.4348566157764</x:v>
      </x:c>
      <x:c r="M83" s="21" t="n">
        <x:f>L83*'情景参数模板'!$D$31</x:f>
        <x:v>744.5218279389317</x:v>
      </x:c>
      <x:c r="N83" s="21" t="n">
        <x:f>IF(C83="source",'情景参数模板'!$D$12,IF(H83="echelon",'情景参数模板'!$D$13,'情景参数模板'!$D$14))</x:f>
        <x:v>0.49</x:v>
      </x:c>
      <x:c r="O83" s="21" t="n">
        <x:f>IF(C83="source",'情景参数模板'!$D$18,IF(H83="echelon",'情景参数模板'!$D$19,'情景参数模板'!$D$20))</x:f>
        <x:v>150</x:v>
      </x:c>
      <x:c r="P83" s="17" t="n">
        <x:f>IF(M83&lt;=O83,1,0)</x:f>
        <x:v>0</x:v>
      </x:c>
      <x:c r="Q83" s="17" t="str">
        <x:v>D-road proxy; B-coordinates</x:v>
      </x:c>
    </x:row>
    <x:row r="84">
      <x:c r="A84" s="17" t="str">
        <x:v>A0080</x:v>
      </x:c>
      <x:c r="B84" s="17" t="str">
        <x:v>GD04</x:v>
      </x:c>
      <x:c r="C84" s="17" t="str">
        <x:v>source</x:v>
      </x:c>
      <x:c r="D84" s="17" t="str">
        <x:v>汕头</x:v>
      </x:c>
      <x:c r="E84" s="24" t="n">
        <x:v>116.6775856</x:v>
      </x:c>
      <x:c r="F84" s="24" t="n">
        <x:v>23.3563921</x:v>
      </x:c>
      <x:c r="G84" s="17" t="str">
        <x:v>C17</x:v>
      </x:c>
      <x:c r="H84" s="17" t="str">
        <x:v>collection</x:v>
      </x:c>
      <x:c r="I84" s="17" t="str">
        <x:v>肇庆虚拟回收/检测中心</x:v>
      </x:c>
      <x:c r="J84" s="24" t="n">
        <x:v>112.4603629</x:v>
      </x:c>
      <x:c r="K84" s="24" t="n">
        <x:v>23.0501661</x:v>
      </x:c>
      <x:c r="L84" s="21" t="n">
        <x:f>6371*ACOS(MIN(1,COS(F84*PI()/180)*COS(K84*PI()/180)*COS((J84-E84)*PI()/180)+SIN(F84*PI()/180)*SIN(K84*PI()/180)))</x:f>
        <x:v>432.3301436322801</x:v>
      </x:c>
      <x:c r="M84" s="21" t="n">
        <x:f>L84*'情景参数模板'!$D$31</x:f>
        <x:v>518.7961723587362</x:v>
      </x:c>
      <x:c r="N84" s="21" t="n">
        <x:f>IF(C84="source",'情景参数模板'!$D$12,IF(H84="echelon",'情景参数模板'!$D$13,'情景参数模板'!$D$14))</x:f>
        <x:v>0.49</x:v>
      </x:c>
      <x:c r="O84" s="21" t="n">
        <x:f>IF(C84="source",'情景参数模板'!$D$18,IF(H84="echelon",'情景参数模板'!$D$19,'情景参数模板'!$D$20))</x:f>
        <x:v>150</x:v>
      </x:c>
      <x:c r="P84" s="17" t="n">
        <x:f>IF(M84&lt;=O84,1,0)</x:f>
        <x:v>0</x:v>
      </x:c>
      <x:c r="Q84" s="17" t="str">
        <x:v>D-road proxy; B-coordinates</x:v>
      </x:c>
    </x:row>
    <x:row r="85">
      <x:c r="A85" s="17" t="str">
        <x:v>A0081</x:v>
      </x:c>
      <x:c r="B85" s="17" t="str">
        <x:v>GD04</x:v>
      </x:c>
      <x:c r="C85" s="17" t="str">
        <x:v>source</x:v>
      </x:c>
      <x:c r="D85" s="17" t="str">
        <x:v>汕头</x:v>
      </x:c>
      <x:c r="E85" s="24" t="n">
        <x:v>116.6775856</x:v>
      </x:c>
      <x:c r="F85" s="24" t="n">
        <x:v>23.3563921</x:v>
      </x:c>
      <x:c r="G85" s="17" t="str">
        <x:v>C18</x:v>
      </x:c>
      <x:c r="H85" s="17" t="str">
        <x:v>collection</x:v>
      </x:c>
      <x:c r="I85" s="17" t="str">
        <x:v>清远虚拟回收/检测中心</x:v>
      </x:c>
      <x:c r="J85" s="24" t="n">
        <x:v>113.0505994</x:v>
      </x:c>
      <x:c r="K85" s="24" t="n">
        <x:v>23.6832984</x:v>
      </x:c>
      <x:c r="L85" s="21" t="n">
        <x:f>6371*ACOS(MIN(1,COS(F85*PI()/180)*COS(K85*PI()/180)*COS((J85-E85)*PI()/180)+SIN(F85*PI()/180)*SIN(K85*PI()/180)))</x:f>
        <x:v>371.5685810407413</x:v>
      </x:c>
      <x:c r="M85" s="21" t="n">
        <x:f>L85*'情景参数模板'!$D$31</x:f>
        <x:v>445.8822972488896</x:v>
      </x:c>
      <x:c r="N85" s="21" t="n">
        <x:f>IF(C85="source",'情景参数模板'!$D$12,IF(H85="echelon",'情景参数模板'!$D$13,'情景参数模板'!$D$14))</x:f>
        <x:v>0.49</x:v>
      </x:c>
      <x:c r="O85" s="21" t="n">
        <x:f>IF(C85="source",'情景参数模板'!$D$18,IF(H85="echelon",'情景参数模板'!$D$19,'情景参数模板'!$D$20))</x:f>
        <x:v>150</x:v>
      </x:c>
      <x:c r="P85" s="17" t="n">
        <x:f>IF(M85&lt;=O85,1,0)</x:f>
        <x:v>0</x:v>
      </x:c>
      <x:c r="Q85" s="17" t="str">
        <x:v>D-road proxy; B-coordinates</x:v>
      </x:c>
    </x:row>
    <x:row r="86">
      <x:c r="A86" s="17" t="str">
        <x:v>A0082</x:v>
      </x:c>
      <x:c r="B86" s="17" t="str">
        <x:v>GD04</x:v>
      </x:c>
      <x:c r="C86" s="17" t="str">
        <x:v>source</x:v>
      </x:c>
      <x:c r="D86" s="17" t="str">
        <x:v>汕头</x:v>
      </x:c>
      <x:c r="E86" s="24" t="n">
        <x:v>116.6775856</x:v>
      </x:c>
      <x:c r="F86" s="24" t="n">
        <x:v>23.3563921</x:v>
      </x:c>
      <x:c r="G86" s="17" t="str">
        <x:v>C19</x:v>
      </x:c>
      <x:c r="H86" s="17" t="str">
        <x:v>collection</x:v>
      </x:c>
      <x:c r="I86" s="17" t="str">
        <x:v>潮州虚拟回收/检测中心</x:v>
      </x:c>
      <x:c r="J86" s="24" t="n">
        <x:v>116.6204223</x:v>
      </x:c>
      <x:c r="K86" s="24" t="n">
        <x:v>23.656593</x:v>
      </x:c>
      <x:c r="L86" s="21" t="n">
        <x:f>6371*ACOS(MIN(1,COS(F86*PI()/180)*COS(K86*PI()/180)*COS((J86-E86)*PI()/180)+SIN(F86*PI()/180)*SIN(K86*PI()/180)))</x:f>
        <x:v>33.88589168759266</x:v>
      </x:c>
      <x:c r="M86" s="21" t="n">
        <x:f>L86*'情景参数模板'!$D$31</x:f>
        <x:v>40.66307002511119</x:v>
      </x:c>
      <x:c r="N86" s="21" t="n">
        <x:f>IF(C86="source",'情景参数模板'!$D$12,IF(H86="echelon",'情景参数模板'!$D$13,'情景参数模板'!$D$14))</x:f>
        <x:v>0.49</x:v>
      </x:c>
      <x:c r="O86" s="21" t="n">
        <x:f>IF(C86="source",'情景参数模板'!$D$18,IF(H86="echelon",'情景参数模板'!$D$19,'情景参数模板'!$D$20))</x:f>
        <x:v>150</x:v>
      </x:c>
      <x:c r="P86" s="17" t="n">
        <x:f>IF(M86&lt;=O86,1,0)</x:f>
        <x:v>1</x:v>
      </x:c>
      <x:c r="Q86" s="17" t="str">
        <x:v>D-road proxy; B-coordinates</x:v>
      </x:c>
    </x:row>
    <x:row r="87">
      <x:c r="A87" s="17" t="str">
        <x:v>A0083</x:v>
      </x:c>
      <x:c r="B87" s="17" t="str">
        <x:v>GD04</x:v>
      </x:c>
      <x:c r="C87" s="17" t="str">
        <x:v>source</x:v>
      </x:c>
      <x:c r="D87" s="17" t="str">
        <x:v>汕头</x:v>
      </x:c>
      <x:c r="E87" s="24" t="n">
        <x:v>116.6775856</x:v>
      </x:c>
      <x:c r="F87" s="24" t="n">
        <x:v>23.3563921</x:v>
      </x:c>
      <x:c r="G87" s="17" t="str">
        <x:v>C20</x:v>
      </x:c>
      <x:c r="H87" s="17" t="str">
        <x:v>collection</x:v>
      </x:c>
      <x:c r="I87" s="17" t="str">
        <x:v>揭阳虚拟回收/检测中心</x:v>
      </x:c>
      <x:c r="J87" s="24" t="n">
        <x:v>116.3680354</x:v>
      </x:c>
      <x:c r="K87" s="24" t="n">
        <x:v>23.553156</x:v>
      </x:c>
      <x:c r="L87" s="21" t="n">
        <x:f>6371*ACOS(MIN(1,COS(F87*PI()/180)*COS(K87*PI()/180)*COS((J87-E87)*PI()/180)+SIN(F87*PI()/180)*SIN(K87*PI()/180)))</x:f>
        <x:v>38.41568432658492</x:v>
      </x:c>
      <x:c r="M87" s="21" t="n">
        <x:f>L87*'情景参数模板'!$D$31</x:f>
        <x:v>46.098821191901905</x:v>
      </x:c>
      <x:c r="N87" s="21" t="n">
        <x:f>IF(C87="source",'情景参数模板'!$D$12,IF(H87="echelon",'情景参数模板'!$D$13,'情景参数模板'!$D$14))</x:f>
        <x:v>0.49</x:v>
      </x:c>
      <x:c r="O87" s="21" t="n">
        <x:f>IF(C87="source",'情景参数模板'!$D$18,IF(H87="echelon",'情景参数模板'!$D$19,'情景参数模板'!$D$20))</x:f>
        <x:v>150</x:v>
      </x:c>
      <x:c r="P87" s="17" t="n">
        <x:f>IF(M87&lt;=O87,1,0)</x:f>
        <x:v>1</x:v>
      </x:c>
      <x:c r="Q87" s="17" t="str">
        <x:v>D-road proxy; B-coordinates</x:v>
      </x:c>
    </x:row>
    <x:row r="88">
      <x:c r="A88" s="17" t="str">
        <x:v>A0084</x:v>
      </x:c>
      <x:c r="B88" s="17" t="str">
        <x:v>GD04</x:v>
      </x:c>
      <x:c r="C88" s="17" t="str">
        <x:v>source</x:v>
      </x:c>
      <x:c r="D88" s="17" t="str">
        <x:v>汕头</x:v>
      </x:c>
      <x:c r="E88" s="24" t="n">
        <x:v>116.6775856</x:v>
      </x:c>
      <x:c r="F88" s="24" t="n">
        <x:v>23.3563921</x:v>
      </x:c>
      <x:c r="G88" s="17" t="str">
        <x:v>C21</x:v>
      </x:c>
      <x:c r="H88" s="17" t="str">
        <x:v>collection</x:v>
      </x:c>
      <x:c r="I88" s="17" t="str">
        <x:v>云浮虚拟回收/检测中心</x:v>
      </x:c>
      <x:c r="J88" s="24" t="n">
        <x:v>111.8078586</x:v>
      </x:c>
      <x:c r="K88" s="24" t="n">
        <x:v>22.8546663</x:v>
      </x:c>
      <x:c r="L88" s="21" t="n">
        <x:f>6371*ACOS(MIN(1,COS(F88*PI()/180)*COS(K88*PI()/180)*COS((J88-E88)*PI()/180)+SIN(F88*PI()/180)*SIN(K88*PI()/180)))</x:f>
        <x:v>501.14214106027384</x:v>
      </x:c>
      <x:c r="M88" s="21" t="n">
        <x:f>L88*'情景参数模板'!$D$31</x:f>
        <x:v>601.3705692723286</x:v>
      </x:c>
      <x:c r="N88" s="21" t="n">
        <x:f>IF(C88="source",'情景参数模板'!$D$12,IF(H88="echelon",'情景参数模板'!$D$13,'情景参数模板'!$D$14))</x:f>
        <x:v>0.49</x:v>
      </x:c>
      <x:c r="O88" s="21" t="n">
        <x:f>IF(C88="source",'情景参数模板'!$D$18,IF(H88="echelon",'情景参数模板'!$D$19,'情景参数模板'!$D$20))</x:f>
        <x:v>150</x:v>
      </x:c>
      <x:c r="P88" s="17" t="n">
        <x:f>IF(M88&lt;=O88,1,0)</x:f>
        <x:v>0</x:v>
      </x:c>
      <x:c r="Q88" s="17" t="str">
        <x:v>D-road proxy; B-coordinates</x:v>
      </x:c>
    </x:row>
    <x:row r="89">
      <x:c r="A89" s="17" t="str">
        <x:v>A0085</x:v>
      </x:c>
      <x:c r="B89" s="17" t="str">
        <x:v>GD05</x:v>
      </x:c>
      <x:c r="C89" s="17" t="str">
        <x:v>source</x:v>
      </x:c>
      <x:c r="D89" s="17" t="str">
        <x:v>佛山</x:v>
      </x:c>
      <x:c r="E89" s="24" t="n">
        <x:v>113.1159558</x:v>
      </x:c>
      <x:c r="F89" s="24" t="n">
        <x:v>23.0239788</x:v>
      </x:c>
      <x:c r="G89" s="17" t="str">
        <x:v>C01</x:v>
      </x:c>
      <x:c r="H89" s="17" t="str">
        <x:v>collection</x:v>
      </x:c>
      <x:c r="I89" s="17" t="str">
        <x:v>广州虚拟回收/检测中心</x:v>
      </x:c>
      <x:c r="J89" s="24" t="n">
        <x:v>113.2589581</x:v>
      </x:c>
      <x:c r="K89" s="24" t="n">
        <x:v>23.1288429</x:v>
      </x:c>
      <x:c r="L89" s="21" t="n">
        <x:f>6371*ACOS(MIN(1,COS(F89*PI()/180)*COS(K89*PI()/180)*COS((J89-E89)*PI()/180)+SIN(F89*PI()/180)*SIN(K89*PI()/180)))</x:f>
        <x:v>18.707342512999915</x:v>
      </x:c>
      <x:c r="M89" s="21" t="n">
        <x:f>L89*'情景参数模板'!$D$31</x:f>
        <x:v>22.448811015599897</x:v>
      </x:c>
      <x:c r="N89" s="21" t="n">
        <x:f>IF(C89="source",'情景参数模板'!$D$12,IF(H89="echelon",'情景参数模板'!$D$13,'情景参数模板'!$D$14))</x:f>
        <x:v>0.49</x:v>
      </x:c>
      <x:c r="O89" s="21" t="n">
        <x:f>IF(C89="source",'情景参数模板'!$D$18,IF(H89="echelon",'情景参数模板'!$D$19,'情景参数模板'!$D$20))</x:f>
        <x:v>150</x:v>
      </x:c>
      <x:c r="P89" s="17" t="n">
        <x:f>IF(M89&lt;=O89,1,0)</x:f>
        <x:v>1</x:v>
      </x:c>
      <x:c r="Q89" s="17" t="str">
        <x:v>D-road proxy; B-coordinates</x:v>
      </x:c>
    </x:row>
    <x:row r="90">
      <x:c r="A90" s="17" t="str">
        <x:v>A0086</x:v>
      </x:c>
      <x:c r="B90" s="17" t="str">
        <x:v>GD05</x:v>
      </x:c>
      <x:c r="C90" s="17" t="str">
        <x:v>source</x:v>
      </x:c>
      <x:c r="D90" s="17" t="str">
        <x:v>佛山</x:v>
      </x:c>
      <x:c r="E90" s="24" t="n">
        <x:v>113.1159558</x:v>
      </x:c>
      <x:c r="F90" s="24" t="n">
        <x:v>23.0239788</x:v>
      </x:c>
      <x:c r="G90" s="17" t="str">
        <x:v>C02</x:v>
      </x:c>
      <x:c r="H90" s="17" t="str">
        <x:v>collection</x:v>
      </x:c>
      <x:c r="I90" s="17" t="str">
        <x:v>深圳虚拟回收/检测中心</x:v>
      </x:c>
      <x:c r="J90" s="24" t="n">
        <x:v>114.0545429</x:v>
      </x:c>
      <x:c r="K90" s="24" t="n">
        <x:v>22.5445741</x:v>
      </x:c>
      <x:c r="L90" s="21" t="n">
        <x:f>6371*ACOS(MIN(1,COS(F90*PI()/180)*COS(K90*PI()/180)*COS((J90-E90)*PI()/180)+SIN(F90*PI()/180)*SIN(K90*PI()/180)))</x:f>
        <x:v>110.00140131744698</x:v>
      </x:c>
      <x:c r="M90" s="21" t="n">
        <x:f>L90*'情景参数模板'!$D$31</x:f>
        <x:v>132.00168158093638</x:v>
      </x:c>
      <x:c r="N90" s="21" t="n">
        <x:f>IF(C90="source",'情景参数模板'!$D$12,IF(H90="echelon",'情景参数模板'!$D$13,'情景参数模板'!$D$14))</x:f>
        <x:v>0.49</x:v>
      </x:c>
      <x:c r="O90" s="21" t="n">
        <x:f>IF(C90="source",'情景参数模板'!$D$18,IF(H90="echelon",'情景参数模板'!$D$19,'情景参数模板'!$D$20))</x:f>
        <x:v>150</x:v>
      </x:c>
      <x:c r="P90" s="17" t="n">
        <x:f>IF(M90&lt;=O90,1,0)</x:f>
        <x:v>1</x:v>
      </x:c>
      <x:c r="Q90" s="17" t="str">
        <x:v>D-road proxy; B-coordinates</x:v>
      </x:c>
    </x:row>
    <x:row r="91">
      <x:c r="A91" s="17" t="str">
        <x:v>A0087</x:v>
      </x:c>
      <x:c r="B91" s="17" t="str">
        <x:v>GD05</x:v>
      </x:c>
      <x:c r="C91" s="17" t="str">
        <x:v>source</x:v>
      </x:c>
      <x:c r="D91" s="17" t="str">
        <x:v>佛山</x:v>
      </x:c>
      <x:c r="E91" s="24" t="n">
        <x:v>113.1159558</x:v>
      </x:c>
      <x:c r="F91" s="24" t="n">
        <x:v>23.0239788</x:v>
      </x:c>
      <x:c r="G91" s="17" t="str">
        <x:v>C03</x:v>
      </x:c>
      <x:c r="H91" s="17" t="str">
        <x:v>collection</x:v>
      </x:c>
      <x:c r="I91" s="17" t="str">
        <x:v>珠海虚拟回收/检测中心</x:v>
      </x:c>
      <x:c r="J91" s="24" t="n">
        <x:v>113.5721327</x:v>
      </x:c>
      <x:c r="K91" s="24" t="n">
        <x:v>22.273734</x:v>
      </x:c>
      <x:c r="L91" s="21" t="n">
        <x:f>6371*ACOS(MIN(1,COS(F91*PI()/180)*COS(K91*PI()/180)*COS((J91-E91)*PI()/180)+SIN(F91*PI()/180)*SIN(K91*PI()/180)))</x:f>
        <x:v>95.6600972197494</x:v>
      </x:c>
      <x:c r="M91" s="21" t="n">
        <x:f>L91*'情景参数模板'!$D$31</x:f>
        <x:v>114.79211666369928</x:v>
      </x:c>
      <x:c r="N91" s="21" t="n">
        <x:f>IF(C91="source",'情景参数模板'!$D$12,IF(H91="echelon",'情景参数模板'!$D$13,'情景参数模板'!$D$14))</x:f>
        <x:v>0.49</x:v>
      </x:c>
      <x:c r="O91" s="21" t="n">
        <x:f>IF(C91="source",'情景参数模板'!$D$18,IF(H91="echelon",'情景参数模板'!$D$19,'情景参数模板'!$D$20))</x:f>
        <x:v>150</x:v>
      </x:c>
      <x:c r="P91" s="17" t="n">
        <x:f>IF(M91&lt;=O91,1,0)</x:f>
        <x:v>1</x:v>
      </x:c>
      <x:c r="Q91" s="17" t="str">
        <x:v>D-road proxy; B-coordinates</x:v>
      </x:c>
    </x:row>
    <x:row r="92">
      <x:c r="A92" s="17" t="str">
        <x:v>A0088</x:v>
      </x:c>
      <x:c r="B92" s="17" t="str">
        <x:v>GD05</x:v>
      </x:c>
      <x:c r="C92" s="17" t="str">
        <x:v>source</x:v>
      </x:c>
      <x:c r="D92" s="17" t="str">
        <x:v>佛山</x:v>
      </x:c>
      <x:c r="E92" s="24" t="n">
        <x:v>113.1159558</x:v>
      </x:c>
      <x:c r="F92" s="24" t="n">
        <x:v>23.0239788</x:v>
      </x:c>
      <x:c r="G92" s="17" t="str">
        <x:v>C04</x:v>
      </x:c>
      <x:c r="H92" s="17" t="str">
        <x:v>collection</x:v>
      </x:c>
      <x:c r="I92" s="17" t="str">
        <x:v>汕头虚拟回收/检测中心</x:v>
      </x:c>
      <x:c r="J92" s="24" t="n">
        <x:v>116.6775856</x:v>
      </x:c>
      <x:c r="K92" s="24" t="n">
        <x:v>23.3563921</x:v>
      </x:c>
      <x:c r="L92" s="21" t="n">
        <x:f>6371*ACOS(MIN(1,COS(F92*PI()/180)*COS(K92*PI()/180)*COS((J92-E92)*PI()/180)+SIN(F92*PI()/180)*SIN(K92*PI()/180)))</x:f>
        <x:v>365.8985033160558</x:v>
      </x:c>
      <x:c r="M92" s="21" t="n">
        <x:f>L92*'情景参数模板'!$D$31</x:f>
        <x:v>439.0782039792669</x:v>
      </x:c>
      <x:c r="N92" s="21" t="n">
        <x:f>IF(C92="source",'情景参数模板'!$D$12,IF(H92="echelon",'情景参数模板'!$D$13,'情景参数模板'!$D$14))</x:f>
        <x:v>0.49</x:v>
      </x:c>
      <x:c r="O92" s="21" t="n">
        <x:f>IF(C92="source",'情景参数模板'!$D$18,IF(H92="echelon",'情景参数模板'!$D$19,'情景参数模板'!$D$20))</x:f>
        <x:v>150</x:v>
      </x:c>
      <x:c r="P92" s="17" t="n">
        <x:f>IF(M92&lt;=O92,1,0)</x:f>
        <x:v>0</x:v>
      </x:c>
      <x:c r="Q92" s="17" t="str">
        <x:v>D-road proxy; B-coordinates</x:v>
      </x:c>
    </x:row>
    <x:row r="93">
      <x:c r="A93" s="17" t="str">
        <x:v>A0089</x:v>
      </x:c>
      <x:c r="B93" s="17" t="str">
        <x:v>GD05</x:v>
      </x:c>
      <x:c r="C93" s="17" t="str">
        <x:v>source</x:v>
      </x:c>
      <x:c r="D93" s="17" t="str">
        <x:v>佛山</x:v>
      </x:c>
      <x:c r="E93" s="24" t="n">
        <x:v>113.1159558</x:v>
      </x:c>
      <x:c r="F93" s="24" t="n">
        <x:v>23.0239788</x:v>
      </x:c>
      <x:c r="G93" s="17" t="str">
        <x:v>C05</x:v>
      </x:c>
      <x:c r="H93" s="17" t="str">
        <x:v>collection</x:v>
      </x:c>
      <x:c r="I93" s="17" t="str">
        <x:v>佛山虚拟回收/检测中心</x:v>
      </x:c>
      <x:c r="J93" s="24" t="n">
        <x:v>113.1159558</x:v>
      </x:c>
      <x:c r="K93" s="24" t="n">
        <x:v>23.0239788</x:v>
      </x:c>
      <x:c r="L93" s="21" t="n">
        <x:f>6371*ACOS(MIN(1,COS(F93*PI()/180)*COS(K93*PI()/180)*COS((J93-E93)*PI()/180)+SIN(F93*PI()/180)*SIN(K93*PI()/180)))</x:f>
        <x:v>0</x:v>
      </x:c>
      <x:c r="M93" s="21" t="n">
        <x:f>L93*'情景参数模板'!$D$31</x:f>
        <x:v>0</x:v>
      </x:c>
      <x:c r="N93" s="21" t="n">
        <x:f>IF(C93="source",'情景参数模板'!$D$12,IF(H93="echelon",'情景参数模板'!$D$13,'情景参数模板'!$D$14))</x:f>
        <x:v>0.49</x:v>
      </x:c>
      <x:c r="O93" s="21" t="n">
        <x:f>IF(C93="source",'情景参数模板'!$D$18,IF(H93="echelon",'情景参数模板'!$D$19,'情景参数模板'!$D$20))</x:f>
        <x:v>150</x:v>
      </x:c>
      <x:c r="P93" s="17" t="n">
        <x:f>IF(M93&lt;=O93,1,0)</x:f>
        <x:v>1</x:v>
      </x:c>
      <x:c r="Q93" s="17" t="str">
        <x:v>D-road proxy; B-coordinates</x:v>
      </x:c>
    </x:row>
    <x:row r="94">
      <x:c r="A94" s="17" t="str">
        <x:v>A0090</x:v>
      </x:c>
      <x:c r="B94" s="17" t="str">
        <x:v>GD05</x:v>
      </x:c>
      <x:c r="C94" s="17" t="str">
        <x:v>source</x:v>
      </x:c>
      <x:c r="D94" s="17" t="str">
        <x:v>佛山</x:v>
      </x:c>
      <x:c r="E94" s="24" t="n">
        <x:v>113.1159558</x:v>
      </x:c>
      <x:c r="F94" s="24" t="n">
        <x:v>23.0239788</x:v>
      </x:c>
      <x:c r="G94" s="17" t="str">
        <x:v>C06</x:v>
      </x:c>
      <x:c r="H94" s="17" t="str">
        <x:v>collection</x:v>
      </x:c>
      <x:c r="I94" s="17" t="str">
        <x:v>韶关虚拟回收/检测中心</x:v>
      </x:c>
      <x:c r="J94" s="24" t="n">
        <x:v>113.8155263</x:v>
      </x:c>
      <x:c r="K94" s="24" t="n">
        <x:v>24.8309489</x:v>
      </x:c>
      <x:c r="L94" s="21" t="n">
        <x:f>6371*ACOS(MIN(1,COS(F94*PI()/180)*COS(K94*PI()/180)*COS((J94-E94)*PI()/180)+SIN(F94*PI()/180)*SIN(K94*PI()/180)))</x:f>
        <x:v>213.1343512095063</x:v>
      </x:c>
      <x:c r="M94" s="21" t="n">
        <x:f>L94*'情景参数模板'!$D$31</x:f>
        <x:v>255.76122145140755</x:v>
      </x:c>
      <x:c r="N94" s="21" t="n">
        <x:f>IF(C94="source",'情景参数模板'!$D$12,IF(H94="echelon",'情景参数模板'!$D$13,'情景参数模板'!$D$14))</x:f>
        <x:v>0.49</x:v>
      </x:c>
      <x:c r="O94" s="21" t="n">
        <x:f>IF(C94="source",'情景参数模板'!$D$18,IF(H94="echelon",'情景参数模板'!$D$19,'情景参数模板'!$D$20))</x:f>
        <x:v>150</x:v>
      </x:c>
      <x:c r="P94" s="17" t="n">
        <x:f>IF(M94&lt;=O94,1,0)</x:f>
        <x:v>0</x:v>
      </x:c>
      <x:c r="Q94" s="17" t="str">
        <x:v>D-road proxy; B-coordinates</x:v>
      </x:c>
    </x:row>
    <x:row r="95">
      <x:c r="A95" s="17" t="str">
        <x:v>A0091</x:v>
      </x:c>
      <x:c r="B95" s="17" t="str">
        <x:v>GD05</x:v>
      </x:c>
      <x:c r="C95" s="17" t="str">
        <x:v>source</x:v>
      </x:c>
      <x:c r="D95" s="17" t="str">
        <x:v>佛山</x:v>
      </x:c>
      <x:c r="E95" s="24" t="n">
        <x:v>113.1159558</x:v>
      </x:c>
      <x:c r="F95" s="24" t="n">
        <x:v>23.0239788</x:v>
      </x:c>
      <x:c r="G95" s="17" t="str">
        <x:v>C07</x:v>
      </x:c>
      <x:c r="H95" s="17" t="str">
        <x:v>collection</x:v>
      </x:c>
      <x:c r="I95" s="17" t="str">
        <x:v>河源虚拟回收/检测中心</x:v>
      </x:c>
      <x:c r="J95" s="24" t="n">
        <x:v>115.0577538</x:v>
      </x:c>
      <x:c r="K95" s="24" t="n">
        <x:v>24.1014769</x:v>
      </x:c>
      <x:c r="L95" s="21" t="n">
        <x:f>6371*ACOS(MIN(1,COS(F95*PI()/180)*COS(K95*PI()/180)*COS((J95-E95)*PI()/180)+SIN(F95*PI()/180)*SIN(K95*PI()/180)))</x:f>
        <x:v>231.3506353661428</x:v>
      </x:c>
      <x:c r="M95" s="21" t="n">
        <x:f>L95*'情景参数模板'!$D$31</x:f>
        <x:v>277.62076243937133</x:v>
      </x:c>
      <x:c r="N95" s="21" t="n">
        <x:f>IF(C95="source",'情景参数模板'!$D$12,IF(H95="echelon",'情景参数模板'!$D$13,'情景参数模板'!$D$14))</x:f>
        <x:v>0.49</x:v>
      </x:c>
      <x:c r="O95" s="21" t="n">
        <x:f>IF(C95="source",'情景参数模板'!$D$18,IF(H95="echelon",'情景参数模板'!$D$19,'情景参数模板'!$D$20))</x:f>
        <x:v>150</x:v>
      </x:c>
      <x:c r="P95" s="17" t="n">
        <x:f>IF(M95&lt;=O95,1,0)</x:f>
        <x:v>0</x:v>
      </x:c>
      <x:c r="Q95" s="17" t="str">
        <x:v>D-road proxy; B-coordinates</x:v>
      </x:c>
    </x:row>
    <x:row r="96">
      <x:c r="A96" s="17" t="str">
        <x:v>A0092</x:v>
      </x:c>
      <x:c r="B96" s="17" t="str">
        <x:v>GD05</x:v>
      </x:c>
      <x:c r="C96" s="17" t="str">
        <x:v>source</x:v>
      </x:c>
      <x:c r="D96" s="17" t="str">
        <x:v>佛山</x:v>
      </x:c>
      <x:c r="E96" s="24" t="n">
        <x:v>113.1159558</x:v>
      </x:c>
      <x:c r="F96" s="24" t="n">
        <x:v>23.0239788</x:v>
      </x:c>
      <x:c r="G96" s="17" t="str">
        <x:v>C08</x:v>
      </x:c>
      <x:c r="H96" s="17" t="str">
        <x:v>collection</x:v>
      </x:c>
      <x:c r="I96" s="17" t="str">
        <x:v>梅州虚拟回收/检测中心</x:v>
      </x:c>
      <x:c r="J96" s="24" t="n">
        <x:v>116.1171428</x:v>
      </x:c>
      <x:c r="K96" s="24" t="n">
        <x:v>24.2918414</x:v>
      </x:c>
      <x:c r="L96" s="21" t="n">
        <x:f>6371*ACOS(MIN(1,COS(F96*PI()/180)*COS(K96*PI()/180)*COS((J96-E96)*PI()/180)+SIN(F96*PI()/180)*SIN(K96*PI()/180)))</x:f>
        <x:v>336.6010751478147</x:v>
      </x:c>
      <x:c r="M96" s="21" t="n">
        <x:f>L96*'情景参数模板'!$D$31</x:f>
        <x:v>403.9212901773776</x:v>
      </x:c>
      <x:c r="N96" s="21" t="n">
        <x:f>IF(C96="source",'情景参数模板'!$D$12,IF(H96="echelon",'情景参数模板'!$D$13,'情景参数模板'!$D$14))</x:f>
        <x:v>0.49</x:v>
      </x:c>
      <x:c r="O96" s="21" t="n">
        <x:f>IF(C96="source",'情景参数模板'!$D$18,IF(H96="echelon",'情景参数模板'!$D$19,'情景参数模板'!$D$20))</x:f>
        <x:v>150</x:v>
      </x:c>
      <x:c r="P96" s="17" t="n">
        <x:f>IF(M96&lt;=O96,1,0)</x:f>
        <x:v>0</x:v>
      </x:c>
      <x:c r="Q96" s="17" t="str">
        <x:v>D-road proxy; B-coordinates</x:v>
      </x:c>
    </x:row>
    <x:row r="97">
      <x:c r="A97" s="17" t="str">
        <x:v>A0093</x:v>
      </x:c>
      <x:c r="B97" s="17" t="str">
        <x:v>GD05</x:v>
      </x:c>
      <x:c r="C97" s="17" t="str">
        <x:v>source</x:v>
      </x:c>
      <x:c r="D97" s="17" t="str">
        <x:v>佛山</x:v>
      </x:c>
      <x:c r="E97" s="24" t="n">
        <x:v>113.1159558</x:v>
      </x:c>
      <x:c r="F97" s="24" t="n">
        <x:v>23.0239788</x:v>
      </x:c>
      <x:c r="G97" s="17" t="str">
        <x:v>C09</x:v>
      </x:c>
      <x:c r="H97" s="17" t="str">
        <x:v>collection</x:v>
      </x:c>
      <x:c r="I97" s="17" t="str">
        <x:v>惠州虚拟回收/检测中心</x:v>
      </x:c>
      <x:c r="J97" s="24" t="n">
        <x:v>114.4127007</x:v>
      </x:c>
      <x:c r="K97" s="24" t="n">
        <x:v>23.1125153</x:v>
      </x:c>
      <x:c r="L97" s="21" t="n">
        <x:f>6371*ACOS(MIN(1,COS(F97*PI()/180)*COS(K97*PI()/180)*COS((J97-E97)*PI()/180)+SIN(F97*PI()/180)*SIN(K97*PI()/180)))</x:f>
        <x:v>133.0260660496842</x:v>
      </x:c>
      <x:c r="M97" s="21" t="n">
        <x:f>L97*'情景参数模板'!$D$31</x:f>
        <x:v>159.63127925962104</x:v>
      </x:c>
      <x:c r="N97" s="21" t="n">
        <x:f>IF(C97="source",'情景参数模板'!$D$12,IF(H97="echelon",'情景参数模板'!$D$13,'情景参数模板'!$D$14))</x:f>
        <x:v>0.49</x:v>
      </x:c>
      <x:c r="O97" s="21" t="n">
        <x:f>IF(C97="source",'情景参数模板'!$D$18,IF(H97="echelon",'情景参数模板'!$D$19,'情景参数模板'!$D$20))</x:f>
        <x:v>150</x:v>
      </x:c>
      <x:c r="P97" s="17" t="n">
        <x:f>IF(M97&lt;=O97,1,0)</x:f>
        <x:v>0</x:v>
      </x:c>
      <x:c r="Q97" s="17" t="str">
        <x:v>D-road proxy; B-coordinates</x:v>
      </x:c>
    </x:row>
    <x:row r="98">
      <x:c r="A98" s="17" t="str">
        <x:v>A0094</x:v>
      </x:c>
      <x:c r="B98" s="17" t="str">
        <x:v>GD05</x:v>
      </x:c>
      <x:c r="C98" s="17" t="str">
        <x:v>source</x:v>
      </x:c>
      <x:c r="D98" s="17" t="str">
        <x:v>佛山</x:v>
      </x:c>
      <x:c r="E98" s="24" t="n">
        <x:v>113.1159558</x:v>
      </x:c>
      <x:c r="F98" s="24" t="n">
        <x:v>23.0239788</x:v>
      </x:c>
      <x:c r="G98" s="17" t="str">
        <x:v>C10</x:v>
      </x:c>
      <x:c r="H98" s="17" t="str">
        <x:v>collection</x:v>
      </x:c>
      <x:c r="I98" s="17" t="str">
        <x:v>汕尾虚拟回收/检测中心</x:v>
      </x:c>
      <x:c r="J98" s="24" t="n">
        <x:v>115.5099937</x:v>
      </x:c>
      <x:c r="K98" s="24" t="n">
        <x:v>23.0123639</x:v>
      </x:c>
      <x:c r="L98" s="21" t="n">
        <x:f>6371*ACOS(MIN(1,COS(F98*PI()/180)*COS(K98*PI()/180)*COS((J98-E98)*PI()/180)+SIN(F98*PI()/180)*SIN(K98*PI()/180)))</x:f>
        <x:v>245.01055089313536</x:v>
      </x:c>
      <x:c r="M98" s="21" t="n">
        <x:f>L98*'情景参数模板'!$D$31</x:f>
        <x:v>294.0126610717624</x:v>
      </x:c>
      <x:c r="N98" s="21" t="n">
        <x:f>IF(C98="source",'情景参数模板'!$D$12,IF(H98="echelon",'情景参数模板'!$D$13,'情景参数模板'!$D$14))</x:f>
        <x:v>0.49</x:v>
      </x:c>
      <x:c r="O98" s="21" t="n">
        <x:f>IF(C98="source",'情景参数模板'!$D$18,IF(H98="echelon",'情景参数模板'!$D$19,'情景参数模板'!$D$20))</x:f>
        <x:v>150</x:v>
      </x:c>
      <x:c r="P98" s="17" t="n">
        <x:f>IF(M98&lt;=O98,1,0)</x:f>
        <x:v>0</x:v>
      </x:c>
      <x:c r="Q98" s="17" t="str">
        <x:v>D-road proxy; B-coordinates</x:v>
      </x:c>
    </x:row>
    <x:row r="99">
      <x:c r="A99" s="17" t="str">
        <x:v>A0095</x:v>
      </x:c>
      <x:c r="B99" s="17" t="str">
        <x:v>GD05</x:v>
      </x:c>
      <x:c r="C99" s="17" t="str">
        <x:v>source</x:v>
      </x:c>
      <x:c r="D99" s="17" t="str">
        <x:v>佛山</x:v>
      </x:c>
      <x:c r="E99" s="24" t="n">
        <x:v>113.1159558</x:v>
      </x:c>
      <x:c r="F99" s="24" t="n">
        <x:v>23.0239788</x:v>
      </x:c>
      <x:c r="G99" s="17" t="str">
        <x:v>C11</x:v>
      </x:c>
      <x:c r="H99" s="17" t="str">
        <x:v>collection</x:v>
      </x:c>
      <x:c r="I99" s="17" t="str">
        <x:v>东莞虚拟回收/检测中心</x:v>
      </x:c>
      <x:c r="J99" s="24" t="n">
        <x:v>113.7452332</x:v>
      </x:c>
      <x:c r="K99" s="24" t="n">
        <x:v>23.0183568</x:v>
      </x:c>
      <x:c r="L99" s="21" t="n">
        <x:f>6371*ACOS(MIN(1,COS(F99*PI()/180)*COS(K99*PI()/180)*COS((J99-E99)*PI()/180)+SIN(F99*PI()/180)*SIN(K99*PI()/180)))</x:f>
        <x:v>64.40286310353615</x:v>
      </x:c>
      <x:c r="M99" s="21" t="n">
        <x:f>L99*'情景参数模板'!$D$31</x:f>
        <x:v>77.28343572424338</x:v>
      </x:c>
      <x:c r="N99" s="21" t="n">
        <x:f>IF(C99="source",'情景参数模板'!$D$12,IF(H99="echelon",'情景参数模板'!$D$13,'情景参数模板'!$D$14))</x:f>
        <x:v>0.49</x:v>
      </x:c>
      <x:c r="O99" s="21" t="n">
        <x:f>IF(C99="source",'情景参数模板'!$D$18,IF(H99="echelon",'情景参数模板'!$D$19,'情景参数模板'!$D$20))</x:f>
        <x:v>150</x:v>
      </x:c>
      <x:c r="P99" s="17" t="n">
        <x:f>IF(M99&lt;=O99,1,0)</x:f>
        <x:v>1</x:v>
      </x:c>
      <x:c r="Q99" s="17" t="str">
        <x:v>D-road proxy; B-coordinates</x:v>
      </x:c>
    </x:row>
    <x:row r="100">
      <x:c r="A100" s="17" t="str">
        <x:v>A0096</x:v>
      </x:c>
      <x:c r="B100" s="17" t="str">
        <x:v>GD05</x:v>
      </x:c>
      <x:c r="C100" s="17" t="str">
        <x:v>source</x:v>
      </x:c>
      <x:c r="D100" s="17" t="str">
        <x:v>佛山</x:v>
      </x:c>
      <x:c r="E100" s="24" t="n">
        <x:v>113.1159558</x:v>
      </x:c>
      <x:c r="F100" s="24" t="n">
        <x:v>23.0239788</x:v>
      </x:c>
      <x:c r="G100" s="17" t="str">
        <x:v>C12</x:v>
      </x:c>
      <x:c r="H100" s="17" t="str">
        <x:v>collection</x:v>
      </x:c>
      <x:c r="I100" s="17" t="str">
        <x:v>中山虚拟回收/检测中心</x:v>
      </x:c>
      <x:c r="J100" s="24" t="n">
        <x:v>113.3872302</x:v>
      </x:c>
      <x:c r="K100" s="24" t="n">
        <x:v>22.5197073</x:v>
      </x:c>
      <x:c r="L100" s="21" t="n">
        <x:f>6371*ACOS(MIN(1,COS(F100*PI()/180)*COS(K100*PI()/180)*COS((J100-E100)*PI()/180)+SIN(F100*PI()/180)*SIN(K100*PI()/180)))</x:f>
        <x:v>62.59137427718621</x:v>
      </x:c>
      <x:c r="M100" s="21" t="n">
        <x:f>L100*'情景参数模板'!$D$31</x:f>
        <x:v>75.10964913262345</x:v>
      </x:c>
      <x:c r="N100" s="21" t="n">
        <x:f>IF(C100="source",'情景参数模板'!$D$12,IF(H100="echelon",'情景参数模板'!$D$13,'情景参数模板'!$D$14))</x:f>
        <x:v>0.49</x:v>
      </x:c>
      <x:c r="O100" s="21" t="n">
        <x:f>IF(C100="source",'情景参数模板'!$D$18,IF(H100="echelon",'情景参数模板'!$D$19,'情景参数模板'!$D$20))</x:f>
        <x:v>150</x:v>
      </x:c>
      <x:c r="P100" s="17" t="n">
        <x:f>IF(M100&lt;=O100,1,0)</x:f>
        <x:v>1</x:v>
      </x:c>
      <x:c r="Q100" s="17" t="str">
        <x:v>D-road proxy; B-coordinates</x:v>
      </x:c>
    </x:row>
    <x:row r="101">
      <x:c r="A101" s="17" t="str">
        <x:v>A0097</x:v>
      </x:c>
      <x:c r="B101" s="17" t="str">
        <x:v>GD05</x:v>
      </x:c>
      <x:c r="C101" s="17" t="str">
        <x:v>source</x:v>
      </x:c>
      <x:c r="D101" s="17" t="str">
        <x:v>佛山</x:v>
      </x:c>
      <x:c r="E101" s="24" t="n">
        <x:v>113.1159558</x:v>
      </x:c>
      <x:c r="F101" s="24" t="n">
        <x:v>23.0239788</x:v>
      </x:c>
      <x:c r="G101" s="17" t="str">
        <x:v>C13</x:v>
      </x:c>
      <x:c r="H101" s="17" t="str">
        <x:v>collection</x:v>
      </x:c>
      <x:c r="I101" s="17" t="str">
        <x:v>江门虚拟回收/检测中心</x:v>
      </x:c>
      <x:c r="J101" s="24" t="n">
        <x:v>113.0761073</x:v>
      </x:c>
      <x:c r="K101" s="24" t="n">
        <x:v>22.5816619</x:v>
      </x:c>
      <x:c r="L101" s="21" t="n">
        <x:f>6371*ACOS(MIN(1,COS(F101*PI()/180)*COS(K101*PI()/180)*COS((J101-E101)*PI()/180)+SIN(F101*PI()/180)*SIN(K101*PI()/180)))</x:f>
        <x:v>49.35271597324547</x:v>
      </x:c>
      <x:c r="M101" s="21" t="n">
        <x:f>L101*'情景参数模板'!$D$31</x:f>
        <x:v>59.22325916789457</x:v>
      </x:c>
      <x:c r="N101" s="21" t="n">
        <x:f>IF(C101="source",'情景参数模板'!$D$12,IF(H101="echelon",'情景参数模板'!$D$13,'情景参数模板'!$D$14))</x:f>
        <x:v>0.49</x:v>
      </x:c>
      <x:c r="O101" s="21" t="n">
        <x:f>IF(C101="source",'情景参数模板'!$D$18,IF(H101="echelon",'情景参数模板'!$D$19,'情景参数模板'!$D$20))</x:f>
        <x:v>150</x:v>
      </x:c>
      <x:c r="P101" s="17" t="n">
        <x:f>IF(M101&lt;=O101,1,0)</x:f>
        <x:v>1</x:v>
      </x:c>
      <x:c r="Q101" s="17" t="str">
        <x:v>D-road proxy; B-coordinates</x:v>
      </x:c>
    </x:row>
    <x:row r="102">
      <x:c r="A102" s="17" t="str">
        <x:v>A0098</x:v>
      </x:c>
      <x:c r="B102" s="17" t="str">
        <x:v>GD05</x:v>
      </x:c>
      <x:c r="C102" s="17" t="str">
        <x:v>source</x:v>
      </x:c>
      <x:c r="D102" s="17" t="str">
        <x:v>佛山</x:v>
      </x:c>
      <x:c r="E102" s="24" t="n">
        <x:v>113.1159558</x:v>
      </x:c>
      <x:c r="F102" s="24" t="n">
        <x:v>23.0239788</x:v>
      </x:c>
      <x:c r="G102" s="17" t="str">
        <x:v>C14</x:v>
      </x:c>
      <x:c r="H102" s="17" t="str">
        <x:v>collection</x:v>
      </x:c>
      <x:c r="I102" s="17" t="str">
        <x:v>阳江虚拟回收/检测中心</x:v>
      </x:c>
      <x:c r="J102" s="24" t="n">
        <x:v>111.7831393</x:v>
      </x:c>
      <x:c r="K102" s="24" t="n">
        <x:v>22.0958223</x:v>
      </x:c>
      <x:c r="L102" s="21" t="n">
        <x:f>6371*ACOS(MIN(1,COS(F102*PI()/180)*COS(K102*PI()/180)*COS((J102-E102)*PI()/180)+SIN(F102*PI()/180)*SIN(K102*PI()/180)))</x:f>
        <x:v>171.41164681318705</x:v>
      </x:c>
      <x:c r="M102" s="21" t="n">
        <x:f>L102*'情景参数模板'!$D$31</x:f>
        <x:v>205.69397617582445</x:v>
      </x:c>
      <x:c r="N102" s="21" t="n">
        <x:f>IF(C102="source",'情景参数模板'!$D$12,IF(H102="echelon",'情景参数模板'!$D$13,'情景参数模板'!$D$14))</x:f>
        <x:v>0.49</x:v>
      </x:c>
      <x:c r="O102" s="21" t="n">
        <x:f>IF(C102="source",'情景参数模板'!$D$18,IF(H102="echelon",'情景参数模板'!$D$19,'情景参数模板'!$D$20))</x:f>
        <x:v>150</x:v>
      </x:c>
      <x:c r="P102" s="17" t="n">
        <x:f>IF(M102&lt;=O102,1,0)</x:f>
        <x:v>0</x:v>
      </x:c>
      <x:c r="Q102" s="17" t="str">
        <x:v>D-road proxy; B-coordinates</x:v>
      </x:c>
    </x:row>
    <x:row r="103">
      <x:c r="A103" s="17" t="str">
        <x:v>A0099</x:v>
      </x:c>
      <x:c r="B103" s="17" t="str">
        <x:v>GD05</x:v>
      </x:c>
      <x:c r="C103" s="17" t="str">
        <x:v>source</x:v>
      </x:c>
      <x:c r="D103" s="17" t="str">
        <x:v>佛山</x:v>
      </x:c>
      <x:c r="E103" s="24" t="n">
        <x:v>113.1159558</x:v>
      </x:c>
      <x:c r="F103" s="24" t="n">
        <x:v>23.0239788</x:v>
      </x:c>
      <x:c r="G103" s="17" t="str">
        <x:v>C15</x:v>
      </x:c>
      <x:c r="H103" s="17" t="str">
        <x:v>collection</x:v>
      </x:c>
      <x:c r="I103" s="17" t="str">
        <x:v>湛江虚拟回收/检测中心</x:v>
      </x:c>
      <x:c r="J103" s="24" t="n">
        <x:v>110.3548318</x:v>
      </x:c>
      <x:c r="K103" s="24" t="n">
        <x:v>21.2737079</x:v>
      </x:c>
      <x:c r="L103" s="21" t="n">
        <x:f>6371*ACOS(MIN(1,COS(F103*PI()/180)*COS(K103*PI()/180)*COS((J103-E103)*PI()/180)+SIN(F103*PI()/180)*SIN(K103*PI()/180)))</x:f>
        <x:v>344.5727569641422</x:v>
      </x:c>
      <x:c r="M103" s="21" t="n">
        <x:f>L103*'情景参数模板'!$D$31</x:f>
        <x:v>413.4873083569706</x:v>
      </x:c>
      <x:c r="N103" s="21" t="n">
        <x:f>IF(C103="source",'情景参数模板'!$D$12,IF(H103="echelon",'情景参数模板'!$D$13,'情景参数模板'!$D$14))</x:f>
        <x:v>0.49</x:v>
      </x:c>
      <x:c r="O103" s="21" t="n">
        <x:f>IF(C103="source",'情景参数模板'!$D$18,IF(H103="echelon",'情景参数模板'!$D$19,'情景参数模板'!$D$20))</x:f>
        <x:v>150</x:v>
      </x:c>
      <x:c r="P103" s="17" t="n">
        <x:f>IF(M103&lt;=O103,1,0)</x:f>
        <x:v>0</x:v>
      </x:c>
      <x:c r="Q103" s="17" t="str">
        <x:v>D-road proxy; B-coordinates</x:v>
      </x:c>
    </x:row>
    <x:row r="104">
      <x:c r="A104" s="17" t="str">
        <x:v>A0100</x:v>
      </x:c>
      <x:c r="B104" s="17" t="str">
        <x:v>GD05</x:v>
      </x:c>
      <x:c r="C104" s="17" t="str">
        <x:v>source</x:v>
      </x:c>
      <x:c r="D104" s="17" t="str">
        <x:v>佛山</x:v>
      </x:c>
      <x:c r="E104" s="24" t="n">
        <x:v>113.1159558</x:v>
      </x:c>
      <x:c r="F104" s="24" t="n">
        <x:v>23.0239788</x:v>
      </x:c>
      <x:c r="G104" s="17" t="str">
        <x:v>C16</x:v>
      </x:c>
      <x:c r="H104" s="17" t="str">
        <x:v>collection</x:v>
      </x:c>
      <x:c r="I104" s="17" t="str">
        <x:v>茂名虚拟回收/检测中心</x:v>
      </x:c>
      <x:c r="J104" s="24" t="n">
        <x:v>110.9209511</x:v>
      </x:c>
      <x:c r="K104" s="24" t="n">
        <x:v>21.6656961</x:v>
      </x:c>
      <x:c r="L104" s="21" t="n">
        <x:f>6371*ACOS(MIN(1,COS(F104*PI()/180)*COS(K104*PI()/180)*COS((J104-E104)*PI()/180)+SIN(F104*PI()/180)*SIN(K104*PI()/180)))</x:f>
        <x:v>271.60321814176973</x:v>
      </x:c>
      <x:c r="M104" s="21" t="n">
        <x:f>L104*'情景参数模板'!$D$31</x:f>
        <x:v>325.92386177012366</x:v>
      </x:c>
      <x:c r="N104" s="21" t="n">
        <x:f>IF(C104="source",'情景参数模板'!$D$12,IF(H104="echelon",'情景参数模板'!$D$13,'情景参数模板'!$D$14))</x:f>
        <x:v>0.49</x:v>
      </x:c>
      <x:c r="O104" s="21" t="n">
        <x:f>IF(C104="source",'情景参数模板'!$D$18,IF(H104="echelon",'情景参数模板'!$D$19,'情景参数模板'!$D$20))</x:f>
        <x:v>150</x:v>
      </x:c>
      <x:c r="P104" s="17" t="n">
        <x:f>IF(M104&lt;=O104,1,0)</x:f>
        <x:v>0</x:v>
      </x:c>
      <x:c r="Q104" s="17" t="str">
        <x:v>D-road proxy; B-coordinates</x:v>
      </x:c>
    </x:row>
    <x:row r="105">
      <x:c r="A105" s="17" t="str">
        <x:v>A0101</x:v>
      </x:c>
      <x:c r="B105" s="17" t="str">
        <x:v>GD05</x:v>
      </x:c>
      <x:c r="C105" s="17" t="str">
        <x:v>source</x:v>
      </x:c>
      <x:c r="D105" s="17" t="str">
        <x:v>佛山</x:v>
      </x:c>
      <x:c r="E105" s="24" t="n">
        <x:v>113.1159558</x:v>
      </x:c>
      <x:c r="F105" s="24" t="n">
        <x:v>23.0239788</x:v>
      </x:c>
      <x:c r="G105" s="17" t="str">
        <x:v>C17</x:v>
      </x:c>
      <x:c r="H105" s="17" t="str">
        <x:v>collection</x:v>
      </x:c>
      <x:c r="I105" s="17" t="str">
        <x:v>肇庆虚拟回收/检测中心</x:v>
      </x:c>
      <x:c r="J105" s="24" t="n">
        <x:v>112.4603629</x:v>
      </x:c>
      <x:c r="K105" s="24" t="n">
        <x:v>23.0501661</x:v>
      </x:c>
      <x:c r="L105" s="21" t="n">
        <x:f>6371*ACOS(MIN(1,COS(F105*PI()/180)*COS(K105*PI()/180)*COS((J105-E105)*PI()/180)+SIN(F105*PI()/180)*SIN(K105*PI()/180)))</x:f>
        <x:v>67.14818534262002</x:v>
      </x:c>
      <x:c r="M105" s="21" t="n">
        <x:f>L105*'情景参数模板'!$D$31</x:f>
        <x:v>80.57782241114403</x:v>
      </x:c>
      <x:c r="N105" s="21" t="n">
        <x:f>IF(C105="source",'情景参数模板'!$D$12,IF(H105="echelon",'情景参数模板'!$D$13,'情景参数模板'!$D$14))</x:f>
        <x:v>0.49</x:v>
      </x:c>
      <x:c r="O105" s="21" t="n">
        <x:f>IF(C105="source",'情景参数模板'!$D$18,IF(H105="echelon",'情景参数模板'!$D$19,'情景参数模板'!$D$20))</x:f>
        <x:v>150</x:v>
      </x:c>
      <x:c r="P105" s="17" t="n">
        <x:f>IF(M105&lt;=O105,1,0)</x:f>
        <x:v>1</x:v>
      </x:c>
      <x:c r="Q105" s="17" t="str">
        <x:v>D-road proxy; B-coordinates</x:v>
      </x:c>
    </x:row>
    <x:row r="106">
      <x:c r="A106" s="17" t="str">
        <x:v>A0102</x:v>
      </x:c>
      <x:c r="B106" s="17" t="str">
        <x:v>GD05</x:v>
      </x:c>
      <x:c r="C106" s="17" t="str">
        <x:v>source</x:v>
      </x:c>
      <x:c r="D106" s="17" t="str">
        <x:v>佛山</x:v>
      </x:c>
      <x:c r="E106" s="24" t="n">
        <x:v>113.1159558</x:v>
      </x:c>
      <x:c r="F106" s="24" t="n">
        <x:v>23.0239788</x:v>
      </x:c>
      <x:c r="G106" s="17" t="str">
        <x:v>C18</x:v>
      </x:c>
      <x:c r="H106" s="17" t="str">
        <x:v>collection</x:v>
      </x:c>
      <x:c r="I106" s="17" t="str">
        <x:v>清远虚拟回收/检测中心</x:v>
      </x:c>
      <x:c r="J106" s="24" t="n">
        <x:v>113.0505994</x:v>
      </x:c>
      <x:c r="K106" s="24" t="n">
        <x:v>23.6832984</x:v>
      </x:c>
      <x:c r="L106" s="21" t="n">
        <x:f>6371*ACOS(MIN(1,COS(F106*PI()/180)*COS(K106*PI()/180)*COS((J106-E106)*PI()/180)+SIN(F106*PI()/180)*SIN(K106*PI()/180)))</x:f>
        <x:v>73.61595665399058</x:v>
      </x:c>
      <x:c r="M106" s="21" t="n">
        <x:f>L106*'情景参数模板'!$D$31</x:f>
        <x:v>88.3391479847887</x:v>
      </x:c>
      <x:c r="N106" s="21" t="n">
        <x:f>IF(C106="source",'情景参数模板'!$D$12,IF(H106="echelon",'情景参数模板'!$D$13,'情景参数模板'!$D$14))</x:f>
        <x:v>0.49</x:v>
      </x:c>
      <x:c r="O106" s="21" t="n">
        <x:f>IF(C106="source",'情景参数模板'!$D$18,IF(H106="echelon",'情景参数模板'!$D$19,'情景参数模板'!$D$20))</x:f>
        <x:v>150</x:v>
      </x:c>
      <x:c r="P106" s="17" t="n">
        <x:f>IF(M106&lt;=O106,1,0)</x:f>
        <x:v>1</x:v>
      </x:c>
      <x:c r="Q106" s="17" t="str">
        <x:v>D-road proxy; B-coordinates</x:v>
      </x:c>
    </x:row>
    <x:row r="107">
      <x:c r="A107" s="17" t="str">
        <x:v>A0103</x:v>
      </x:c>
      <x:c r="B107" s="17" t="str">
        <x:v>GD05</x:v>
      </x:c>
      <x:c r="C107" s="17" t="str">
        <x:v>source</x:v>
      </x:c>
      <x:c r="D107" s="17" t="str">
        <x:v>佛山</x:v>
      </x:c>
      <x:c r="E107" s="24" t="n">
        <x:v>113.1159558</x:v>
      </x:c>
      <x:c r="F107" s="24" t="n">
        <x:v>23.0239788</x:v>
      </x:c>
      <x:c r="G107" s="17" t="str">
        <x:v>C19</x:v>
      </x:c>
      <x:c r="H107" s="17" t="str">
        <x:v>collection</x:v>
      </x:c>
      <x:c r="I107" s="17" t="str">
        <x:v>潮州虚拟回收/检测中心</x:v>
      </x:c>
      <x:c r="J107" s="24" t="n">
        <x:v>116.6204223</x:v>
      </x:c>
      <x:c r="K107" s="24" t="n">
        <x:v>23.656593</x:v>
      </x:c>
      <x:c r="L107" s="21" t="n">
        <x:f>6371*ACOS(MIN(1,COS(F107*PI()/180)*COS(K107*PI()/180)*COS((J107-E107)*PI()/180)+SIN(F107*PI()/180)*SIN(K107*PI()/180)))</x:f>
        <x:v>364.62871927074957</x:v>
      </x:c>
      <x:c r="M107" s="21" t="n">
        <x:f>L107*'情景参数模板'!$D$31</x:f>
        <x:v>437.5544631248995</x:v>
      </x:c>
      <x:c r="N107" s="21" t="n">
        <x:f>IF(C107="source",'情景参数模板'!$D$12,IF(H107="echelon",'情景参数模板'!$D$13,'情景参数模板'!$D$14))</x:f>
        <x:v>0.49</x:v>
      </x:c>
      <x:c r="O107" s="21" t="n">
        <x:f>IF(C107="source",'情景参数模板'!$D$18,IF(H107="echelon",'情景参数模板'!$D$19,'情景参数模板'!$D$20))</x:f>
        <x:v>150</x:v>
      </x:c>
      <x:c r="P107" s="17" t="n">
        <x:f>IF(M107&lt;=O107,1,0)</x:f>
        <x:v>0</x:v>
      </x:c>
      <x:c r="Q107" s="17" t="str">
        <x:v>D-road proxy; B-coordinates</x:v>
      </x:c>
    </x:row>
    <x:row r="108">
      <x:c r="A108" s="17" t="str">
        <x:v>A0104</x:v>
      </x:c>
      <x:c r="B108" s="17" t="str">
        <x:v>GD05</x:v>
      </x:c>
      <x:c r="C108" s="17" t="str">
        <x:v>source</x:v>
      </x:c>
      <x:c r="D108" s="17" t="str">
        <x:v>佛山</x:v>
      </x:c>
      <x:c r="E108" s="24" t="n">
        <x:v>113.1159558</x:v>
      </x:c>
      <x:c r="F108" s="24" t="n">
        <x:v>23.0239788</x:v>
      </x:c>
      <x:c r="G108" s="17" t="str">
        <x:v>C20</x:v>
      </x:c>
      <x:c r="H108" s="17" t="str">
        <x:v>collection</x:v>
      </x:c>
      <x:c r="I108" s="17" t="str">
        <x:v>揭阳虚拟回收/检测中心</x:v>
      </x:c>
      <x:c r="J108" s="24" t="n">
        <x:v>116.3680354</x:v>
      </x:c>
      <x:c r="K108" s="24" t="n">
        <x:v>23.553156</x:v>
      </x:c>
      <x:c r="L108" s="21" t="n">
        <x:f>6371*ACOS(MIN(1,COS(F108*PI()/180)*COS(K108*PI()/180)*COS((J108-E108)*PI()/180)+SIN(F108*PI()/180)*SIN(K108*PI()/180)))</x:f>
        <x:v>337.31536533239324</x:v>
      </x:c>
      <x:c r="M108" s="21" t="n">
        <x:f>L108*'情景参数模板'!$D$31</x:f>
        <x:v>404.77843839887186</x:v>
      </x:c>
      <x:c r="N108" s="21" t="n">
        <x:f>IF(C108="source",'情景参数模板'!$D$12,IF(H108="echelon",'情景参数模板'!$D$13,'情景参数模板'!$D$14))</x:f>
        <x:v>0.49</x:v>
      </x:c>
      <x:c r="O108" s="21" t="n">
        <x:f>IF(C108="source",'情景参数模板'!$D$18,IF(H108="echelon",'情景参数模板'!$D$19,'情景参数模板'!$D$20))</x:f>
        <x:v>150</x:v>
      </x:c>
      <x:c r="P108" s="17" t="n">
        <x:f>IF(M108&lt;=O108,1,0)</x:f>
        <x:v>0</x:v>
      </x:c>
      <x:c r="Q108" s="17" t="str">
        <x:v>D-road proxy; B-coordinates</x:v>
      </x:c>
    </x:row>
    <x:row r="109">
      <x:c r="A109" s="17" t="str">
        <x:v>A0105</x:v>
      </x:c>
      <x:c r="B109" s="17" t="str">
        <x:v>GD05</x:v>
      </x:c>
      <x:c r="C109" s="17" t="str">
        <x:v>source</x:v>
      </x:c>
      <x:c r="D109" s="17" t="str">
        <x:v>佛山</x:v>
      </x:c>
      <x:c r="E109" s="24" t="n">
        <x:v>113.1159558</x:v>
      </x:c>
      <x:c r="F109" s="24" t="n">
        <x:v>23.0239788</x:v>
      </x:c>
      <x:c r="G109" s="17" t="str">
        <x:v>C21</x:v>
      </x:c>
      <x:c r="H109" s="17" t="str">
        <x:v>collection</x:v>
      </x:c>
      <x:c r="I109" s="17" t="str">
        <x:v>云浮虚拟回收/检测中心</x:v>
      </x:c>
      <x:c r="J109" s="24" t="n">
        <x:v>111.8078586</x:v>
      </x:c>
      <x:c r="K109" s="24" t="n">
        <x:v>22.8546663</x:v>
      </x:c>
      <x:c r="L109" s="21" t="n">
        <x:f>6371*ACOS(MIN(1,COS(F109*PI()/180)*COS(K109*PI()/180)*COS((J109-E109)*PI()/180)+SIN(F109*PI()/180)*SIN(K109*PI()/180)))</x:f>
        <x:v>135.2670709074438</x:v>
      </x:c>
      <x:c r="M109" s="21" t="n">
        <x:f>L109*'情景参数模板'!$D$31</x:f>
        <x:v>162.32048508893257</x:v>
      </x:c>
      <x:c r="N109" s="21" t="n">
        <x:f>IF(C109="source",'情景参数模板'!$D$12,IF(H109="echelon",'情景参数模板'!$D$13,'情景参数模板'!$D$14))</x:f>
        <x:v>0.49</x:v>
      </x:c>
      <x:c r="O109" s="21" t="n">
        <x:f>IF(C109="source",'情景参数模板'!$D$18,IF(H109="echelon",'情景参数模板'!$D$19,'情景参数模板'!$D$20))</x:f>
        <x:v>150</x:v>
      </x:c>
      <x:c r="P109" s="17" t="n">
        <x:f>IF(M109&lt;=O109,1,0)</x:f>
        <x:v>0</x:v>
      </x:c>
      <x:c r="Q109" s="17" t="str">
        <x:v>D-road proxy; B-coordinates</x:v>
      </x:c>
    </x:row>
    <x:row r="110">
      <x:c r="A110" s="17" t="str">
        <x:v>A0106</x:v>
      </x:c>
      <x:c r="B110" s="17" t="str">
        <x:v>GD06</x:v>
      </x:c>
      <x:c r="C110" s="17" t="str">
        <x:v>source</x:v>
      </x:c>
      <x:c r="D110" s="17" t="str">
        <x:v>韶关</x:v>
      </x:c>
      <x:c r="E110" s="24" t="n">
        <x:v>113.8155263</x:v>
      </x:c>
      <x:c r="F110" s="24" t="n">
        <x:v>24.8309489</x:v>
      </x:c>
      <x:c r="G110" s="17" t="str">
        <x:v>C01</x:v>
      </x:c>
      <x:c r="H110" s="17" t="str">
        <x:v>collection</x:v>
      </x:c>
      <x:c r="I110" s="17" t="str">
        <x:v>广州虚拟回收/检测中心</x:v>
      </x:c>
      <x:c r="J110" s="24" t="n">
        <x:v>113.2589581</x:v>
      </x:c>
      <x:c r="K110" s="24" t="n">
        <x:v>23.1288429</x:v>
      </x:c>
      <x:c r="L110" s="21" t="n">
        <x:f>6371*ACOS(MIN(1,COS(F110*PI()/180)*COS(K110*PI()/180)*COS((J110-E110)*PI()/180)+SIN(F110*PI()/180)*SIN(K110*PI()/180)))</x:f>
        <x:v>197.53104116353575</x:v>
      </x:c>
      <x:c r="M110" s="21" t="n">
        <x:f>L110*'情景参数模板'!$D$31</x:f>
        <x:v>237.03724939624288</x:v>
      </x:c>
      <x:c r="N110" s="21" t="n">
        <x:f>IF(C110="source",'情景参数模板'!$D$12,IF(H110="echelon",'情景参数模板'!$D$13,'情景参数模板'!$D$14))</x:f>
        <x:v>0.49</x:v>
      </x:c>
      <x:c r="O110" s="21" t="n">
        <x:f>IF(C110="source",'情景参数模板'!$D$18,IF(H110="echelon",'情景参数模板'!$D$19,'情景参数模板'!$D$20))</x:f>
        <x:v>150</x:v>
      </x:c>
      <x:c r="P110" s="17" t="n">
        <x:f>IF(M110&lt;=O110,1,0)</x:f>
        <x:v>0</x:v>
      </x:c>
      <x:c r="Q110" s="17" t="str">
        <x:v>D-road proxy; B-coordinates</x:v>
      </x:c>
    </x:row>
    <x:row r="111">
      <x:c r="A111" s="17" t="str">
        <x:v>A0107</x:v>
      </x:c>
      <x:c r="B111" s="17" t="str">
        <x:v>GD06</x:v>
      </x:c>
      <x:c r="C111" s="17" t="str">
        <x:v>source</x:v>
      </x:c>
      <x:c r="D111" s="17" t="str">
        <x:v>韶关</x:v>
      </x:c>
      <x:c r="E111" s="24" t="n">
        <x:v>113.8155263</x:v>
      </x:c>
      <x:c r="F111" s="24" t="n">
        <x:v>24.8309489</x:v>
      </x:c>
      <x:c r="G111" s="17" t="str">
        <x:v>C02</x:v>
      </x:c>
      <x:c r="H111" s="17" t="str">
        <x:v>collection</x:v>
      </x:c>
      <x:c r="I111" s="17" t="str">
        <x:v>深圳虚拟回收/检测中心</x:v>
      </x:c>
      <x:c r="J111" s="24" t="n">
        <x:v>114.0545429</x:v>
      </x:c>
      <x:c r="K111" s="24" t="n">
        <x:v>22.5445741</x:v>
      </x:c>
      <x:c r="L111" s="21" t="n">
        <x:f>6371*ACOS(MIN(1,COS(F111*PI()/180)*COS(K111*PI()/180)*COS((J111-E111)*PI()/180)+SIN(F111*PI()/180)*SIN(K111*PI()/180)))</x:f>
        <x:v>255.39535166591816</x:v>
      </x:c>
      <x:c r="M111" s="21" t="n">
        <x:f>L111*'情景参数模板'!$D$31</x:f>
        <x:v>306.47442199910176</x:v>
      </x:c>
      <x:c r="N111" s="21" t="n">
        <x:f>IF(C111="source",'情景参数模板'!$D$12,IF(H111="echelon",'情景参数模板'!$D$13,'情景参数模板'!$D$14))</x:f>
        <x:v>0.49</x:v>
      </x:c>
      <x:c r="O111" s="21" t="n">
        <x:f>IF(C111="source",'情景参数模板'!$D$18,IF(H111="echelon",'情景参数模板'!$D$19,'情景参数模板'!$D$20))</x:f>
        <x:v>150</x:v>
      </x:c>
      <x:c r="P111" s="17" t="n">
        <x:f>IF(M111&lt;=O111,1,0)</x:f>
        <x:v>0</x:v>
      </x:c>
      <x:c r="Q111" s="17" t="str">
        <x:v>D-road proxy; B-coordinates</x:v>
      </x:c>
    </x:row>
    <x:row r="112">
      <x:c r="A112" s="17" t="str">
        <x:v>A0108</x:v>
      </x:c>
      <x:c r="B112" s="17" t="str">
        <x:v>GD06</x:v>
      </x:c>
      <x:c r="C112" s="17" t="str">
        <x:v>source</x:v>
      </x:c>
      <x:c r="D112" s="17" t="str">
        <x:v>韶关</x:v>
      </x:c>
      <x:c r="E112" s="24" t="n">
        <x:v>113.8155263</x:v>
      </x:c>
      <x:c r="F112" s="24" t="n">
        <x:v>24.8309489</x:v>
      </x:c>
      <x:c r="G112" s="17" t="str">
        <x:v>C03</x:v>
      </x:c>
      <x:c r="H112" s="17" t="str">
        <x:v>collection</x:v>
      </x:c>
      <x:c r="I112" s="17" t="str">
        <x:v>珠海虚拟回收/检测中心</x:v>
      </x:c>
      <x:c r="J112" s="24" t="n">
        <x:v>113.5721327</x:v>
      </x:c>
      <x:c r="K112" s="24" t="n">
        <x:v>22.273734</x:v>
      </x:c>
      <x:c r="L112" s="21" t="n">
        <x:f>6371*ACOS(MIN(1,COS(F112*PI()/180)*COS(K112*PI()/180)*COS((J112-E112)*PI()/180)+SIN(F112*PI()/180)*SIN(K112*PI()/180)))</x:f>
        <x:v>285.4293111538577</x:v>
      </x:c>
      <x:c r="M112" s="21" t="n">
        <x:f>L112*'情景参数模板'!$D$31</x:f>
        <x:v>342.51517338462924</x:v>
      </x:c>
      <x:c r="N112" s="21" t="n">
        <x:f>IF(C112="source",'情景参数模板'!$D$12,IF(H112="echelon",'情景参数模板'!$D$13,'情景参数模板'!$D$14))</x:f>
        <x:v>0.49</x:v>
      </x:c>
      <x:c r="O112" s="21" t="n">
        <x:f>IF(C112="source",'情景参数模板'!$D$18,IF(H112="echelon",'情景参数模板'!$D$19,'情景参数模板'!$D$20))</x:f>
        <x:v>150</x:v>
      </x:c>
      <x:c r="P112" s="17" t="n">
        <x:f>IF(M112&lt;=O112,1,0)</x:f>
        <x:v>0</x:v>
      </x:c>
      <x:c r="Q112" s="17" t="str">
        <x:v>D-road proxy; B-coordinates</x:v>
      </x:c>
    </x:row>
    <x:row r="113">
      <x:c r="A113" s="17" t="str">
        <x:v>A0109</x:v>
      </x:c>
      <x:c r="B113" s="17" t="str">
        <x:v>GD06</x:v>
      </x:c>
      <x:c r="C113" s="17" t="str">
        <x:v>source</x:v>
      </x:c>
      <x:c r="D113" s="17" t="str">
        <x:v>韶关</x:v>
      </x:c>
      <x:c r="E113" s="24" t="n">
        <x:v>113.8155263</x:v>
      </x:c>
      <x:c r="F113" s="24" t="n">
        <x:v>24.8309489</x:v>
      </x:c>
      <x:c r="G113" s="17" t="str">
        <x:v>C04</x:v>
      </x:c>
      <x:c r="H113" s="17" t="str">
        <x:v>collection</x:v>
      </x:c>
      <x:c r="I113" s="17" t="str">
        <x:v>汕头虚拟回收/检测中心</x:v>
      </x:c>
      <x:c r="J113" s="24" t="n">
        <x:v>116.6775856</x:v>
      </x:c>
      <x:c r="K113" s="24" t="n">
        <x:v>23.3563921</x:v>
      </x:c>
      <x:c r="L113" s="21" t="n">
        <x:f>6371*ACOS(MIN(1,COS(F113*PI()/180)*COS(K113*PI()/180)*COS((J113-E113)*PI()/180)+SIN(F113*PI()/180)*SIN(K113*PI()/180)))</x:f>
        <x:v>333.5802590119702</x:v>
      </x:c>
      <x:c r="M113" s="21" t="n">
        <x:f>L113*'情景参数模板'!$D$31</x:f>
        <x:v>400.29631081436423</x:v>
      </x:c>
      <x:c r="N113" s="21" t="n">
        <x:f>IF(C113="source",'情景参数模板'!$D$12,IF(H113="echelon",'情景参数模板'!$D$13,'情景参数模板'!$D$14))</x:f>
        <x:v>0.49</x:v>
      </x:c>
      <x:c r="O113" s="21" t="n">
        <x:f>IF(C113="source",'情景参数模板'!$D$18,IF(H113="echelon",'情景参数模板'!$D$19,'情景参数模板'!$D$20))</x:f>
        <x:v>150</x:v>
      </x:c>
      <x:c r="P113" s="17" t="n">
        <x:f>IF(M113&lt;=O113,1,0)</x:f>
        <x:v>0</x:v>
      </x:c>
      <x:c r="Q113" s="17" t="str">
        <x:v>D-road proxy; B-coordinates</x:v>
      </x:c>
    </x:row>
    <x:row r="114">
      <x:c r="A114" s="17" t="str">
        <x:v>A0110</x:v>
      </x:c>
      <x:c r="B114" s="17" t="str">
        <x:v>GD06</x:v>
      </x:c>
      <x:c r="C114" s="17" t="str">
        <x:v>source</x:v>
      </x:c>
      <x:c r="D114" s="17" t="str">
        <x:v>韶关</x:v>
      </x:c>
      <x:c r="E114" s="24" t="n">
        <x:v>113.8155263</x:v>
      </x:c>
      <x:c r="F114" s="24" t="n">
        <x:v>24.8309489</x:v>
      </x:c>
      <x:c r="G114" s="17" t="str">
        <x:v>C05</x:v>
      </x:c>
      <x:c r="H114" s="17" t="str">
        <x:v>collection</x:v>
      </x:c>
      <x:c r="I114" s="17" t="str">
        <x:v>佛山虚拟回收/检测中心</x:v>
      </x:c>
      <x:c r="J114" s="24" t="n">
        <x:v>113.1159558</x:v>
      </x:c>
      <x:c r="K114" s="24" t="n">
        <x:v>23.0239788</x:v>
      </x:c>
      <x:c r="L114" s="21" t="n">
        <x:f>6371*ACOS(MIN(1,COS(F114*PI()/180)*COS(K114*PI()/180)*COS((J114-E114)*PI()/180)+SIN(F114*PI()/180)*SIN(K114*PI()/180)))</x:f>
        <x:v>213.1343512095063</x:v>
      </x:c>
      <x:c r="M114" s="21" t="n">
        <x:f>L114*'情景参数模板'!$D$31</x:f>
        <x:v>255.76122145140755</x:v>
      </x:c>
      <x:c r="N114" s="21" t="n">
        <x:f>IF(C114="source",'情景参数模板'!$D$12,IF(H114="echelon",'情景参数模板'!$D$13,'情景参数模板'!$D$14))</x:f>
        <x:v>0.49</x:v>
      </x:c>
      <x:c r="O114" s="21" t="n">
        <x:f>IF(C114="source",'情景参数模板'!$D$18,IF(H114="echelon",'情景参数模板'!$D$19,'情景参数模板'!$D$20))</x:f>
        <x:v>150</x:v>
      </x:c>
      <x:c r="P114" s="17" t="n">
        <x:f>IF(M114&lt;=O114,1,0)</x:f>
        <x:v>0</x:v>
      </x:c>
      <x:c r="Q114" s="17" t="str">
        <x:v>D-road proxy; B-coordinates</x:v>
      </x:c>
    </x:row>
    <x:row r="115">
      <x:c r="A115" s="17" t="str">
        <x:v>A0111</x:v>
      </x:c>
      <x:c r="B115" s="17" t="str">
        <x:v>GD06</x:v>
      </x:c>
      <x:c r="C115" s="17" t="str">
        <x:v>source</x:v>
      </x:c>
      <x:c r="D115" s="17" t="str">
        <x:v>韶关</x:v>
      </x:c>
      <x:c r="E115" s="24" t="n">
        <x:v>113.8155263</x:v>
      </x:c>
      <x:c r="F115" s="24" t="n">
        <x:v>24.8309489</x:v>
      </x:c>
      <x:c r="G115" s="17" t="str">
        <x:v>C06</x:v>
      </x:c>
      <x:c r="H115" s="17" t="str">
        <x:v>collection</x:v>
      </x:c>
      <x:c r="I115" s="17" t="str">
        <x:v>韶关虚拟回收/检测中心</x:v>
      </x:c>
      <x:c r="J115" s="24" t="n">
        <x:v>113.8155263</x:v>
      </x:c>
      <x:c r="K115" s="24" t="n">
        <x:v>24.8309489</x:v>
      </x:c>
      <x:c r="L115" s="21" t="n">
        <x:f>6371*ACOS(MIN(1,COS(F115*PI()/180)*COS(K115*PI()/180)*COS((J115-E115)*PI()/180)+SIN(F115*PI()/180)*SIN(K115*PI()/180)))</x:f>
        <x:v>0</x:v>
      </x:c>
      <x:c r="M115" s="21" t="n">
        <x:f>L115*'情景参数模板'!$D$31</x:f>
        <x:v>0</x:v>
      </x:c>
      <x:c r="N115" s="21" t="n">
        <x:f>IF(C115="source",'情景参数模板'!$D$12,IF(H115="echelon",'情景参数模板'!$D$13,'情景参数模板'!$D$14))</x:f>
        <x:v>0.49</x:v>
      </x:c>
      <x:c r="O115" s="21" t="n">
        <x:f>IF(C115="source",'情景参数模板'!$D$18,IF(H115="echelon",'情景参数模板'!$D$19,'情景参数模板'!$D$20))</x:f>
        <x:v>150</x:v>
      </x:c>
      <x:c r="P115" s="17" t="n">
        <x:f>IF(M115&lt;=O115,1,0)</x:f>
        <x:v>1</x:v>
      </x:c>
      <x:c r="Q115" s="17" t="str">
        <x:v>D-road proxy; B-coordinates</x:v>
      </x:c>
    </x:row>
    <x:row r="116">
      <x:c r="A116" s="17" t="str">
        <x:v>A0112</x:v>
      </x:c>
      <x:c r="B116" s="17" t="str">
        <x:v>GD06</x:v>
      </x:c>
      <x:c r="C116" s="17" t="str">
        <x:v>source</x:v>
      </x:c>
      <x:c r="D116" s="17" t="str">
        <x:v>韶关</x:v>
      </x:c>
      <x:c r="E116" s="24" t="n">
        <x:v>113.8155263</x:v>
      </x:c>
      <x:c r="F116" s="24" t="n">
        <x:v>24.8309489</x:v>
      </x:c>
      <x:c r="G116" s="17" t="str">
        <x:v>C07</x:v>
      </x:c>
      <x:c r="H116" s="17" t="str">
        <x:v>collection</x:v>
      </x:c>
      <x:c r="I116" s="17" t="str">
        <x:v>河源虚拟回收/检测中心</x:v>
      </x:c>
      <x:c r="J116" s="24" t="n">
        <x:v>115.0577538</x:v>
      </x:c>
      <x:c r="K116" s="24" t="n">
        <x:v>24.1014769</x:v>
      </x:c>
      <x:c r="L116" s="21" t="n">
        <x:f>6371*ACOS(MIN(1,COS(F116*PI()/180)*COS(K116*PI()/180)*COS((J116-E116)*PI()/180)+SIN(F116*PI()/180)*SIN(K116*PI()/180)))</x:f>
        <x:v>149.6196110292933</x:v>
      </x:c>
      <x:c r="M116" s="21" t="n">
        <x:f>L116*'情景参数模板'!$D$31</x:f>
        <x:v>179.54353323515195</x:v>
      </x:c>
      <x:c r="N116" s="21" t="n">
        <x:f>IF(C116="source",'情景参数模板'!$D$12,IF(H116="echelon",'情景参数模板'!$D$13,'情景参数模板'!$D$14))</x:f>
        <x:v>0.49</x:v>
      </x:c>
      <x:c r="O116" s="21" t="n">
        <x:f>IF(C116="source",'情景参数模板'!$D$18,IF(H116="echelon",'情景参数模板'!$D$19,'情景参数模板'!$D$20))</x:f>
        <x:v>150</x:v>
      </x:c>
      <x:c r="P116" s="17" t="n">
        <x:f>IF(M116&lt;=O116,1,0)</x:f>
        <x:v>0</x:v>
      </x:c>
      <x:c r="Q116" s="17" t="str">
        <x:v>D-road proxy; B-coordinates</x:v>
      </x:c>
    </x:row>
    <x:row r="117">
      <x:c r="A117" s="17" t="str">
        <x:v>A0113</x:v>
      </x:c>
      <x:c r="B117" s="17" t="str">
        <x:v>GD06</x:v>
      </x:c>
      <x:c r="C117" s="17" t="str">
        <x:v>source</x:v>
      </x:c>
      <x:c r="D117" s="17" t="str">
        <x:v>韶关</x:v>
      </x:c>
      <x:c r="E117" s="24" t="n">
        <x:v>113.8155263</x:v>
      </x:c>
      <x:c r="F117" s="24" t="n">
        <x:v>24.8309489</x:v>
      </x:c>
      <x:c r="G117" s="17" t="str">
        <x:v>C08</x:v>
      </x:c>
      <x:c r="H117" s="17" t="str">
        <x:v>collection</x:v>
      </x:c>
      <x:c r="I117" s="17" t="str">
        <x:v>梅州虚拟回收/检测中心</x:v>
      </x:c>
      <x:c r="J117" s="24" t="n">
        <x:v>116.1171428</x:v>
      </x:c>
      <x:c r="K117" s="24" t="n">
        <x:v>24.2918414</x:v>
      </x:c>
      <x:c r="L117" s="21" t="n">
        <x:f>6371*ACOS(MIN(1,COS(F117*PI()/180)*COS(K117*PI()/180)*COS((J117-E117)*PI()/180)+SIN(F117*PI()/180)*SIN(K117*PI()/180)))</x:f>
        <x:v>240.36191880067403</x:v>
      </x:c>
      <x:c r="M117" s="21" t="n">
        <x:f>L117*'情景参数模板'!$D$31</x:f>
        <x:v>288.4343025608088</x:v>
      </x:c>
      <x:c r="N117" s="21" t="n">
        <x:f>IF(C117="source",'情景参数模板'!$D$12,IF(H117="echelon",'情景参数模板'!$D$13,'情景参数模板'!$D$14))</x:f>
        <x:v>0.49</x:v>
      </x:c>
      <x:c r="O117" s="21" t="n">
        <x:f>IF(C117="source",'情景参数模板'!$D$18,IF(H117="echelon",'情景参数模板'!$D$19,'情景参数模板'!$D$20))</x:f>
        <x:v>150</x:v>
      </x:c>
      <x:c r="P117" s="17" t="n">
        <x:f>IF(M117&lt;=O117,1,0)</x:f>
        <x:v>0</x:v>
      </x:c>
      <x:c r="Q117" s="17" t="str">
        <x:v>D-road proxy; B-coordinates</x:v>
      </x:c>
    </x:row>
    <x:row r="118">
      <x:c r="A118" s="17" t="str">
        <x:v>A0114</x:v>
      </x:c>
      <x:c r="B118" s="17" t="str">
        <x:v>GD06</x:v>
      </x:c>
      <x:c r="C118" s="17" t="str">
        <x:v>source</x:v>
      </x:c>
      <x:c r="D118" s="17" t="str">
        <x:v>韶关</x:v>
      </x:c>
      <x:c r="E118" s="24" t="n">
        <x:v>113.8155263</x:v>
      </x:c>
      <x:c r="F118" s="24" t="n">
        <x:v>24.8309489</x:v>
      </x:c>
      <x:c r="G118" s="17" t="str">
        <x:v>C09</x:v>
      </x:c>
      <x:c r="H118" s="17" t="str">
        <x:v>collection</x:v>
      </x:c>
      <x:c r="I118" s="17" t="str">
        <x:v>惠州虚拟回收/检测中心</x:v>
      </x:c>
      <x:c r="J118" s="24" t="n">
        <x:v>114.4127007</x:v>
      </x:c>
      <x:c r="K118" s="24" t="n">
        <x:v>23.1125153</x:v>
      </x:c>
      <x:c r="L118" s="21" t="n">
        <x:f>6371*ACOS(MIN(1,COS(F118*PI()/180)*COS(K118*PI()/180)*COS((J118-E118)*PI()/180)+SIN(F118*PI()/180)*SIN(K118*PI()/180)))</x:f>
        <x:v>200.4819895915133</x:v>
      </x:c>
      <x:c r="M118" s="21" t="n">
        <x:f>L118*'情景参数模板'!$D$31</x:f>
        <x:v>240.57838750981594</x:v>
      </x:c>
      <x:c r="N118" s="21" t="n">
        <x:f>IF(C118="source",'情景参数模板'!$D$12,IF(H118="echelon",'情景参数模板'!$D$13,'情景参数模板'!$D$14))</x:f>
        <x:v>0.49</x:v>
      </x:c>
      <x:c r="O118" s="21" t="n">
        <x:f>IF(C118="source",'情景参数模板'!$D$18,IF(H118="echelon",'情景参数模板'!$D$19,'情景参数模板'!$D$20))</x:f>
        <x:v>150</x:v>
      </x:c>
      <x:c r="P118" s="17" t="n">
        <x:f>IF(M118&lt;=O118,1,0)</x:f>
        <x:v>0</x:v>
      </x:c>
      <x:c r="Q118" s="17" t="str">
        <x:v>D-road proxy; B-coordinates</x:v>
      </x:c>
    </x:row>
    <x:row r="119">
      <x:c r="A119" s="17" t="str">
        <x:v>A0115</x:v>
      </x:c>
      <x:c r="B119" s="17" t="str">
        <x:v>GD06</x:v>
      </x:c>
      <x:c r="C119" s="17" t="str">
        <x:v>source</x:v>
      </x:c>
      <x:c r="D119" s="17" t="str">
        <x:v>韶关</x:v>
      </x:c>
      <x:c r="E119" s="24" t="n">
        <x:v>113.8155263</x:v>
      </x:c>
      <x:c r="F119" s="24" t="n">
        <x:v>24.8309489</x:v>
      </x:c>
      <x:c r="G119" s="17" t="str">
        <x:v>C10</x:v>
      </x:c>
      <x:c r="H119" s="17" t="str">
        <x:v>collection</x:v>
      </x:c>
      <x:c r="I119" s="17" t="str">
        <x:v>汕尾虚拟回收/检测中心</x:v>
      </x:c>
      <x:c r="J119" s="24" t="n">
        <x:v>115.5099937</x:v>
      </x:c>
      <x:c r="K119" s="24" t="n">
        <x:v>23.0123639</x:v>
      </x:c>
      <x:c r="L119" s="21" t="n">
        <x:f>6371*ACOS(MIN(1,COS(F119*PI()/180)*COS(K119*PI()/180)*COS((J119-E119)*PI()/180)+SIN(F119*PI()/180)*SIN(K119*PI()/180)))</x:f>
        <x:v>265.61478907353063</x:v>
      </x:c>
      <x:c r="M119" s="21" t="n">
        <x:f>L119*'情景参数模板'!$D$31</x:f>
        <x:v>318.73774688823676</x:v>
      </x:c>
      <x:c r="N119" s="21" t="n">
        <x:f>IF(C119="source",'情景参数模板'!$D$12,IF(H119="echelon",'情景参数模板'!$D$13,'情景参数模板'!$D$14))</x:f>
        <x:v>0.49</x:v>
      </x:c>
      <x:c r="O119" s="21" t="n">
        <x:f>IF(C119="source",'情景参数模板'!$D$18,IF(H119="echelon",'情景参数模板'!$D$19,'情景参数模板'!$D$20))</x:f>
        <x:v>150</x:v>
      </x:c>
      <x:c r="P119" s="17" t="n">
        <x:f>IF(M119&lt;=O119,1,0)</x:f>
        <x:v>0</x:v>
      </x:c>
      <x:c r="Q119" s="17" t="str">
        <x:v>D-road proxy; B-coordinates</x:v>
      </x:c>
    </x:row>
    <x:row r="120">
      <x:c r="A120" s="17" t="str">
        <x:v>A0116</x:v>
      </x:c>
      <x:c r="B120" s="17" t="str">
        <x:v>GD06</x:v>
      </x:c>
      <x:c r="C120" s="17" t="str">
        <x:v>source</x:v>
      </x:c>
      <x:c r="D120" s="17" t="str">
        <x:v>韶关</x:v>
      </x:c>
      <x:c r="E120" s="24" t="n">
        <x:v>113.8155263</x:v>
      </x:c>
      <x:c r="F120" s="24" t="n">
        <x:v>24.8309489</x:v>
      </x:c>
      <x:c r="G120" s="17" t="str">
        <x:v>C11</x:v>
      </x:c>
      <x:c r="H120" s="17" t="str">
        <x:v>collection</x:v>
      </x:c>
      <x:c r="I120" s="17" t="str">
        <x:v>东莞虚拟回收/检测中心</x:v>
      </x:c>
      <x:c r="J120" s="24" t="n">
        <x:v>113.7452332</x:v>
      </x:c>
      <x:c r="K120" s="24" t="n">
        <x:v>23.0183568</x:v>
      </x:c>
      <x:c r="L120" s="21" t="n">
        <x:f>6371*ACOS(MIN(1,COS(F120*PI()/180)*COS(K120*PI()/180)*COS((J120-E120)*PI()/180)+SIN(F120*PI()/180)*SIN(K120*PI()/180)))</x:f>
        <x:v>201.67762245027922</x:v>
      </x:c>
      <x:c r="M120" s="21" t="n">
        <x:f>L120*'情景参数模板'!$D$31</x:f>
        <x:v>242.01314694033505</x:v>
      </x:c>
      <x:c r="N120" s="21" t="n">
        <x:f>IF(C120="source",'情景参数模板'!$D$12,IF(H120="echelon",'情景参数模板'!$D$13,'情景参数模板'!$D$14))</x:f>
        <x:v>0.49</x:v>
      </x:c>
      <x:c r="O120" s="21" t="n">
        <x:f>IF(C120="source",'情景参数模板'!$D$18,IF(H120="echelon",'情景参数模板'!$D$19,'情景参数模板'!$D$20))</x:f>
        <x:v>150</x:v>
      </x:c>
      <x:c r="P120" s="17" t="n">
        <x:f>IF(M120&lt;=O120,1,0)</x:f>
        <x:v>0</x:v>
      </x:c>
      <x:c r="Q120" s="17" t="str">
        <x:v>D-road proxy; B-coordinates</x:v>
      </x:c>
    </x:row>
    <x:row r="121">
      <x:c r="A121" s="17" t="str">
        <x:v>A0117</x:v>
      </x:c>
      <x:c r="B121" s="17" t="str">
        <x:v>GD06</x:v>
      </x:c>
      <x:c r="C121" s="17" t="str">
        <x:v>source</x:v>
      </x:c>
      <x:c r="D121" s="17" t="str">
        <x:v>韶关</x:v>
      </x:c>
      <x:c r="E121" s="24" t="n">
        <x:v>113.8155263</x:v>
      </x:c>
      <x:c r="F121" s="24" t="n">
        <x:v>24.8309489</x:v>
      </x:c>
      <x:c r="G121" s="17" t="str">
        <x:v>C12</x:v>
      </x:c>
      <x:c r="H121" s="17" t="str">
        <x:v>collection</x:v>
      </x:c>
      <x:c r="I121" s="17" t="str">
        <x:v>中山虚拟回收/检测中心</x:v>
      </x:c>
      <x:c r="J121" s="24" t="n">
        <x:v>113.3872302</x:v>
      </x:c>
      <x:c r="K121" s="24" t="n">
        <x:v>22.5197073</x:v>
      </x:c>
      <x:c r="L121" s="21" t="n">
        <x:f>6371*ACOS(MIN(1,COS(F121*PI()/180)*COS(K121*PI()/180)*COS((J121-E121)*PI()/180)+SIN(F121*PI()/180)*SIN(K121*PI()/180)))</x:f>
        <x:v>260.67240148858207</x:v>
      </x:c>
      <x:c r="M121" s="21" t="n">
        <x:f>L121*'情景参数模板'!$D$31</x:f>
        <x:v>312.80688178629845</x:v>
      </x:c>
      <x:c r="N121" s="21" t="n">
        <x:f>IF(C121="source",'情景参数模板'!$D$12,IF(H121="echelon",'情景参数模板'!$D$13,'情景参数模板'!$D$14))</x:f>
        <x:v>0.49</x:v>
      </x:c>
      <x:c r="O121" s="21" t="n">
        <x:f>IF(C121="source",'情景参数模板'!$D$18,IF(H121="echelon",'情景参数模板'!$D$19,'情景参数模板'!$D$20))</x:f>
        <x:v>150</x:v>
      </x:c>
      <x:c r="P121" s="17" t="n">
        <x:f>IF(M121&lt;=O121,1,0)</x:f>
        <x:v>0</x:v>
      </x:c>
      <x:c r="Q121" s="17" t="str">
        <x:v>D-road proxy; B-coordinates</x:v>
      </x:c>
    </x:row>
    <x:row r="122">
      <x:c r="A122" s="17" t="str">
        <x:v>A0118</x:v>
      </x:c>
      <x:c r="B122" s="17" t="str">
        <x:v>GD06</x:v>
      </x:c>
      <x:c r="C122" s="17" t="str">
        <x:v>source</x:v>
      </x:c>
      <x:c r="D122" s="17" t="str">
        <x:v>韶关</x:v>
      </x:c>
      <x:c r="E122" s="24" t="n">
        <x:v>113.8155263</x:v>
      </x:c>
      <x:c r="F122" s="24" t="n">
        <x:v>24.8309489</x:v>
      </x:c>
      <x:c r="G122" s="17" t="str">
        <x:v>C13</x:v>
      </x:c>
      <x:c r="H122" s="17" t="str">
        <x:v>collection</x:v>
      </x:c>
      <x:c r="I122" s="17" t="str">
        <x:v>江门虚拟回收/检测中心</x:v>
      </x:c>
      <x:c r="J122" s="24" t="n">
        <x:v>113.0761073</x:v>
      </x:c>
      <x:c r="K122" s="24" t="n">
        <x:v>22.5816619</x:v>
      </x:c>
      <x:c r="L122" s="21" t="n">
        <x:f>6371*ACOS(MIN(1,COS(F122*PI()/180)*COS(K122*PI()/180)*COS((J122-E122)*PI()/180)+SIN(F122*PI()/180)*SIN(K122*PI()/180)))</x:f>
        <x:v>261.1912194278549</x:v>
      </x:c>
      <x:c r="M122" s="21" t="n">
        <x:f>L122*'情景参数模板'!$D$31</x:f>
        <x:v>313.42946331342586</x:v>
      </x:c>
      <x:c r="N122" s="21" t="n">
        <x:f>IF(C122="source",'情景参数模板'!$D$12,IF(H122="echelon",'情景参数模板'!$D$13,'情景参数模板'!$D$14))</x:f>
        <x:v>0.49</x:v>
      </x:c>
      <x:c r="O122" s="21" t="n">
        <x:f>IF(C122="source",'情景参数模板'!$D$18,IF(H122="echelon",'情景参数模板'!$D$19,'情景参数模板'!$D$20))</x:f>
        <x:v>150</x:v>
      </x:c>
      <x:c r="P122" s="17" t="n">
        <x:f>IF(M122&lt;=O122,1,0)</x:f>
        <x:v>0</x:v>
      </x:c>
      <x:c r="Q122" s="17" t="str">
        <x:v>D-road proxy; B-coordinates</x:v>
      </x:c>
    </x:row>
    <x:row r="123">
      <x:c r="A123" s="17" t="str">
        <x:v>A0119</x:v>
      </x:c>
      <x:c r="B123" s="17" t="str">
        <x:v>GD06</x:v>
      </x:c>
      <x:c r="C123" s="17" t="str">
        <x:v>source</x:v>
      </x:c>
      <x:c r="D123" s="17" t="str">
        <x:v>韶关</x:v>
      </x:c>
      <x:c r="E123" s="24" t="n">
        <x:v>113.8155263</x:v>
      </x:c>
      <x:c r="F123" s="24" t="n">
        <x:v>24.8309489</x:v>
      </x:c>
      <x:c r="G123" s="17" t="str">
        <x:v>C14</x:v>
      </x:c>
      <x:c r="H123" s="17" t="str">
        <x:v>collection</x:v>
      </x:c>
      <x:c r="I123" s="17" t="str">
        <x:v>阳江虚拟回收/检测中心</x:v>
      </x:c>
      <x:c r="J123" s="24" t="n">
        <x:v>111.7831393</x:v>
      </x:c>
      <x:c r="K123" s="24" t="n">
        <x:v>22.0958223</x:v>
      </x:c>
      <x:c r="L123" s="21" t="n">
        <x:f>6371*ACOS(MIN(1,COS(F123*PI()/180)*COS(K123*PI()/180)*COS((J123-E123)*PI()/180)+SIN(F123*PI()/180)*SIN(K123*PI()/180)))</x:f>
        <x:v>368.04654773255174</x:v>
      </x:c>
      <x:c r="M123" s="21" t="n">
        <x:f>L123*'情景参数模板'!$D$31</x:f>
        <x:v>441.6558572790621</x:v>
      </x:c>
      <x:c r="N123" s="21" t="n">
        <x:f>IF(C123="source",'情景参数模板'!$D$12,IF(H123="echelon",'情景参数模板'!$D$13,'情景参数模板'!$D$14))</x:f>
        <x:v>0.49</x:v>
      </x:c>
      <x:c r="O123" s="21" t="n">
        <x:f>IF(C123="source",'情景参数模板'!$D$18,IF(H123="echelon",'情景参数模板'!$D$19,'情景参数模板'!$D$20))</x:f>
        <x:v>150</x:v>
      </x:c>
      <x:c r="P123" s="17" t="n">
        <x:f>IF(M123&lt;=O123,1,0)</x:f>
        <x:v>0</x:v>
      </x:c>
      <x:c r="Q123" s="17" t="str">
        <x:v>D-road proxy; B-coordinates</x:v>
      </x:c>
    </x:row>
    <x:row r="124">
      <x:c r="A124" s="17" t="str">
        <x:v>A0120</x:v>
      </x:c>
      <x:c r="B124" s="17" t="str">
        <x:v>GD06</x:v>
      </x:c>
      <x:c r="C124" s="17" t="str">
        <x:v>source</x:v>
      </x:c>
      <x:c r="D124" s="17" t="str">
        <x:v>韶关</x:v>
      </x:c>
      <x:c r="E124" s="24" t="n">
        <x:v>113.8155263</x:v>
      </x:c>
      <x:c r="F124" s="24" t="n">
        <x:v>24.8309489</x:v>
      </x:c>
      <x:c r="G124" s="17" t="str">
        <x:v>C15</x:v>
      </x:c>
      <x:c r="H124" s="17" t="str">
        <x:v>collection</x:v>
      </x:c>
      <x:c r="I124" s="17" t="str">
        <x:v>湛江虚拟回收/检测中心</x:v>
      </x:c>
      <x:c r="J124" s="24" t="n">
        <x:v>110.3548318</x:v>
      </x:c>
      <x:c r="K124" s="24" t="n">
        <x:v>21.2737079</x:v>
      </x:c>
      <x:c r="L124" s="21" t="n">
        <x:f>6371*ACOS(MIN(1,COS(F124*PI()/180)*COS(K124*PI()/180)*COS((J124-E124)*PI()/180)+SIN(F124*PI()/180)*SIN(K124*PI()/180)))</x:f>
        <x:v>530.815118988391</x:v>
      </x:c>
      <x:c r="M124" s="21" t="n">
        <x:f>L124*'情景参数模板'!$D$31</x:f>
        <x:v>636.9781427860692</x:v>
      </x:c>
      <x:c r="N124" s="21" t="n">
        <x:f>IF(C124="source",'情景参数模板'!$D$12,IF(H124="echelon",'情景参数模板'!$D$13,'情景参数模板'!$D$14))</x:f>
        <x:v>0.49</x:v>
      </x:c>
      <x:c r="O124" s="21" t="n">
        <x:f>IF(C124="source",'情景参数模板'!$D$18,IF(H124="echelon",'情景参数模板'!$D$19,'情景参数模板'!$D$20))</x:f>
        <x:v>150</x:v>
      </x:c>
      <x:c r="P124" s="17" t="n">
        <x:f>IF(M124&lt;=O124,1,0)</x:f>
        <x:v>0</x:v>
      </x:c>
      <x:c r="Q124" s="17" t="str">
        <x:v>D-road proxy; B-coordinates</x:v>
      </x:c>
    </x:row>
    <x:row r="125">
      <x:c r="A125" s="17" t="str">
        <x:v>A0121</x:v>
      </x:c>
      <x:c r="B125" s="17" t="str">
        <x:v>GD06</x:v>
      </x:c>
      <x:c r="C125" s="17" t="str">
        <x:v>source</x:v>
      </x:c>
      <x:c r="D125" s="17" t="str">
        <x:v>韶关</x:v>
      </x:c>
      <x:c r="E125" s="24" t="n">
        <x:v>113.8155263</x:v>
      </x:c>
      <x:c r="F125" s="24" t="n">
        <x:v>24.8309489</x:v>
      </x:c>
      <x:c r="G125" s="17" t="str">
        <x:v>C16</x:v>
      </x:c>
      <x:c r="H125" s="17" t="str">
        <x:v>collection</x:v>
      </x:c>
      <x:c r="I125" s="17" t="str">
        <x:v>茂名虚拟回收/检测中心</x:v>
      </x:c>
      <x:c r="J125" s="24" t="n">
        <x:v>110.9209511</x:v>
      </x:c>
      <x:c r="K125" s="24" t="n">
        <x:v>21.6656961</x:v>
      </x:c>
      <x:c r="L125" s="21" t="n">
        <x:f>6371*ACOS(MIN(1,COS(F125*PI()/180)*COS(K125*PI()/180)*COS((J125-E125)*PI()/180)+SIN(F125*PI()/180)*SIN(K125*PI()/180)))</x:f>
        <x:v>459.66654172601613</x:v>
      </x:c>
      <x:c r="M125" s="21" t="n">
        <x:f>L125*'情景参数模板'!$D$31</x:f>
        <x:v>551.5998500712193</x:v>
      </x:c>
      <x:c r="N125" s="21" t="n">
        <x:f>IF(C125="source",'情景参数模板'!$D$12,IF(H125="echelon",'情景参数模板'!$D$13,'情景参数模板'!$D$14))</x:f>
        <x:v>0.49</x:v>
      </x:c>
      <x:c r="O125" s="21" t="n">
        <x:f>IF(C125="source",'情景参数模板'!$D$18,IF(H125="echelon",'情景参数模板'!$D$19,'情景参数模板'!$D$20))</x:f>
        <x:v>150</x:v>
      </x:c>
      <x:c r="P125" s="17" t="n">
        <x:f>IF(M125&lt;=O125,1,0)</x:f>
        <x:v>0</x:v>
      </x:c>
      <x:c r="Q125" s="17" t="str">
        <x:v>D-road proxy; B-coordinates</x:v>
      </x:c>
    </x:row>
    <x:row r="126">
      <x:c r="A126" s="17" t="str">
        <x:v>A0122</x:v>
      </x:c>
      <x:c r="B126" s="17" t="str">
        <x:v>GD06</x:v>
      </x:c>
      <x:c r="C126" s="17" t="str">
        <x:v>source</x:v>
      </x:c>
      <x:c r="D126" s="17" t="str">
        <x:v>韶关</x:v>
      </x:c>
      <x:c r="E126" s="24" t="n">
        <x:v>113.8155263</x:v>
      </x:c>
      <x:c r="F126" s="24" t="n">
        <x:v>24.8309489</x:v>
      </x:c>
      <x:c r="G126" s="17" t="str">
        <x:v>C17</x:v>
      </x:c>
      <x:c r="H126" s="17" t="str">
        <x:v>collection</x:v>
      </x:c>
      <x:c r="I126" s="17" t="str">
        <x:v>肇庆虚拟回收/检测中心</x:v>
      </x:c>
      <x:c r="J126" s="24" t="n">
        <x:v>112.4603629</x:v>
      </x:c>
      <x:c r="K126" s="24" t="n">
        <x:v>23.0501661</x:v>
      </x:c>
      <x:c r="L126" s="21" t="n">
        <x:f>6371*ACOS(MIN(1,COS(F126*PI()/180)*COS(K126*PI()/180)*COS((J126-E126)*PI()/180)+SIN(F126*PI()/180)*SIN(K126*PI()/180)))</x:f>
        <x:v>241.1942270561686</x:v>
      </x:c>
      <x:c r="M126" s="21" t="n">
        <x:f>L126*'情景参数模板'!$D$31</x:f>
        <x:v>289.43307246740227</x:v>
      </x:c>
      <x:c r="N126" s="21" t="n">
        <x:f>IF(C126="source",'情景参数模板'!$D$12,IF(H126="echelon",'情景参数模板'!$D$13,'情景参数模板'!$D$14))</x:f>
        <x:v>0.49</x:v>
      </x:c>
      <x:c r="O126" s="21" t="n">
        <x:f>IF(C126="source",'情景参数模板'!$D$18,IF(H126="echelon",'情景参数模板'!$D$19,'情景参数模板'!$D$20))</x:f>
        <x:v>150</x:v>
      </x:c>
      <x:c r="P126" s="17" t="n">
        <x:f>IF(M126&lt;=O126,1,0)</x:f>
        <x:v>0</x:v>
      </x:c>
      <x:c r="Q126" s="17" t="str">
        <x:v>D-road proxy; B-coordinates</x:v>
      </x:c>
    </x:row>
    <x:row r="127">
      <x:c r="A127" s="17" t="str">
        <x:v>A0123</x:v>
      </x:c>
      <x:c r="B127" s="17" t="str">
        <x:v>GD06</x:v>
      </x:c>
      <x:c r="C127" s="17" t="str">
        <x:v>source</x:v>
      </x:c>
      <x:c r="D127" s="17" t="str">
        <x:v>韶关</x:v>
      </x:c>
      <x:c r="E127" s="24" t="n">
        <x:v>113.8155263</x:v>
      </x:c>
      <x:c r="F127" s="24" t="n">
        <x:v>24.8309489</x:v>
      </x:c>
      <x:c r="G127" s="17" t="str">
        <x:v>C18</x:v>
      </x:c>
      <x:c r="H127" s="17" t="str">
        <x:v>collection</x:v>
      </x:c>
      <x:c r="I127" s="17" t="str">
        <x:v>清远虚拟回收/检测中心</x:v>
      </x:c>
      <x:c r="J127" s="24" t="n">
        <x:v>113.0505994</x:v>
      </x:c>
      <x:c r="K127" s="24" t="n">
        <x:v>23.6832984</x:v>
      </x:c>
      <x:c r="L127" s="21" t="n">
        <x:f>6371*ACOS(MIN(1,COS(F127*PI()/180)*COS(K127*PI()/180)*COS((J127-E127)*PI()/180)+SIN(F127*PI()/180)*SIN(K127*PI()/180)))</x:f>
        <x:v>149.32572957361296</x:v>
      </x:c>
      <x:c r="M127" s="21" t="n">
        <x:f>L127*'情景参数模板'!$D$31</x:f>
        <x:v>179.19087548833554</x:v>
      </x:c>
      <x:c r="N127" s="21" t="n">
        <x:f>IF(C127="source",'情景参数模板'!$D$12,IF(H127="echelon",'情景参数模板'!$D$13,'情景参数模板'!$D$14))</x:f>
        <x:v>0.49</x:v>
      </x:c>
      <x:c r="O127" s="21" t="n">
        <x:f>IF(C127="source",'情景参数模板'!$D$18,IF(H127="echelon",'情景参数模板'!$D$19,'情景参数模板'!$D$20))</x:f>
        <x:v>150</x:v>
      </x:c>
      <x:c r="P127" s="17" t="n">
        <x:f>IF(M127&lt;=O127,1,0)</x:f>
        <x:v>0</x:v>
      </x:c>
      <x:c r="Q127" s="17" t="str">
        <x:v>D-road proxy; B-coordinates</x:v>
      </x:c>
    </x:row>
    <x:row r="128">
      <x:c r="A128" s="17" t="str">
        <x:v>A0124</x:v>
      </x:c>
      <x:c r="B128" s="17" t="str">
        <x:v>GD06</x:v>
      </x:c>
      <x:c r="C128" s="17" t="str">
        <x:v>source</x:v>
      </x:c>
      <x:c r="D128" s="17" t="str">
        <x:v>韶关</x:v>
      </x:c>
      <x:c r="E128" s="24" t="n">
        <x:v>113.8155263</x:v>
      </x:c>
      <x:c r="F128" s="24" t="n">
        <x:v>24.8309489</x:v>
      </x:c>
      <x:c r="G128" s="17" t="str">
        <x:v>C19</x:v>
      </x:c>
      <x:c r="H128" s="17" t="str">
        <x:v>collection</x:v>
      </x:c>
      <x:c r="I128" s="17" t="str">
        <x:v>潮州虚拟回收/检测中心</x:v>
      </x:c>
      <x:c r="J128" s="24" t="n">
        <x:v>116.6204223</x:v>
      </x:c>
      <x:c r="K128" s="24" t="n">
        <x:v>23.656593</x:v>
      </x:c>
      <x:c r="L128" s="21" t="n">
        <x:f>6371*ACOS(MIN(1,COS(F128*PI()/180)*COS(K128*PI()/180)*COS((J128-E128)*PI()/180)+SIN(F128*PI()/180)*SIN(K128*PI()/180)))</x:f>
        <x:v>312.91933151179103</x:v>
      </x:c>
      <x:c r="M128" s="21" t="n">
        <x:f>L128*'情景参数模板'!$D$31</x:f>
        <x:v>375.50319781414925</x:v>
      </x:c>
      <x:c r="N128" s="21" t="n">
        <x:f>IF(C128="source",'情景参数模板'!$D$12,IF(H128="echelon",'情景参数模板'!$D$13,'情景参数模板'!$D$14))</x:f>
        <x:v>0.49</x:v>
      </x:c>
      <x:c r="O128" s="21" t="n">
        <x:f>IF(C128="source",'情景参数模板'!$D$18,IF(H128="echelon",'情景参数模板'!$D$19,'情景参数模板'!$D$20))</x:f>
        <x:v>150</x:v>
      </x:c>
      <x:c r="P128" s="17" t="n">
        <x:f>IF(M128&lt;=O128,1,0)</x:f>
        <x:v>0</x:v>
      </x:c>
      <x:c r="Q128" s="17" t="str">
        <x:v>D-road proxy; B-coordinates</x:v>
      </x:c>
    </x:row>
    <x:row r="129">
      <x:c r="A129" s="17" t="str">
        <x:v>A0125</x:v>
      </x:c>
      <x:c r="B129" s="17" t="str">
        <x:v>GD06</x:v>
      </x:c>
      <x:c r="C129" s="17" t="str">
        <x:v>source</x:v>
      </x:c>
      <x:c r="D129" s="17" t="str">
        <x:v>韶关</x:v>
      </x:c>
      <x:c r="E129" s="24" t="n">
        <x:v>113.8155263</x:v>
      </x:c>
      <x:c r="F129" s="24" t="n">
        <x:v>24.8309489</x:v>
      </x:c>
      <x:c r="G129" s="17" t="str">
        <x:v>C20</x:v>
      </x:c>
      <x:c r="H129" s="17" t="str">
        <x:v>collection</x:v>
      </x:c>
      <x:c r="I129" s="17" t="str">
        <x:v>揭阳虚拟回收/检测中心</x:v>
      </x:c>
      <x:c r="J129" s="24" t="n">
        <x:v>116.3680354</x:v>
      </x:c>
      <x:c r="K129" s="24" t="n">
        <x:v>23.553156</x:v>
      </x:c>
      <x:c r="L129" s="21" t="n">
        <x:f>6371*ACOS(MIN(1,COS(F129*PI()/180)*COS(K129*PI()/180)*COS((J129-E129)*PI()/180)+SIN(F129*PI()/180)*SIN(K129*PI()/180)))</x:f>
        <x:v>295.3143523759985</x:v>
      </x:c>
      <x:c r="M129" s="21" t="n">
        <x:f>L129*'情景参数模板'!$D$31</x:f>
        <x:v>354.3772228511982</x:v>
      </x:c>
      <x:c r="N129" s="21" t="n">
        <x:f>IF(C129="source",'情景参数模板'!$D$12,IF(H129="echelon",'情景参数模板'!$D$13,'情景参数模板'!$D$14))</x:f>
        <x:v>0.49</x:v>
      </x:c>
      <x:c r="O129" s="21" t="n">
        <x:f>IF(C129="source",'情景参数模板'!$D$18,IF(H129="echelon",'情景参数模板'!$D$19,'情景参数模板'!$D$20))</x:f>
        <x:v>150</x:v>
      </x:c>
      <x:c r="P129" s="17" t="n">
        <x:f>IF(M129&lt;=O129,1,0)</x:f>
        <x:v>0</x:v>
      </x:c>
      <x:c r="Q129" s="17" t="str">
        <x:v>D-road proxy; B-coordinates</x:v>
      </x:c>
    </x:row>
    <x:row r="130">
      <x:c r="A130" s="17" t="str">
        <x:v>A0126</x:v>
      </x:c>
      <x:c r="B130" s="17" t="str">
        <x:v>GD06</x:v>
      </x:c>
      <x:c r="C130" s="17" t="str">
        <x:v>source</x:v>
      </x:c>
      <x:c r="D130" s="17" t="str">
        <x:v>韶关</x:v>
      </x:c>
      <x:c r="E130" s="24" t="n">
        <x:v>113.8155263</x:v>
      </x:c>
      <x:c r="F130" s="24" t="n">
        <x:v>24.8309489</x:v>
      </x:c>
      <x:c r="G130" s="17" t="str">
        <x:v>C21</x:v>
      </x:c>
      <x:c r="H130" s="17" t="str">
        <x:v>collection</x:v>
      </x:c>
      <x:c r="I130" s="17" t="str">
        <x:v>云浮虚拟回收/检测中心</x:v>
      </x:c>
      <x:c r="J130" s="24" t="n">
        <x:v>111.8078586</x:v>
      </x:c>
      <x:c r="K130" s="24" t="n">
        <x:v>22.8546663</x:v>
      </x:c>
      <x:c r="L130" s="21" t="n">
        <x:f>6371*ACOS(MIN(1,COS(F130*PI()/180)*COS(K130*PI()/180)*COS((J130-E130)*PI()/180)+SIN(F130*PI()/180)*SIN(K130*PI()/180)))</x:f>
        <x:v>299.9628394143898</x:v>
      </x:c>
      <x:c r="M130" s="21" t="n">
        <x:f>L130*'情景参数模板'!$D$31</x:f>
        <x:v>359.95540729726775</x:v>
      </x:c>
      <x:c r="N130" s="21" t="n">
        <x:f>IF(C130="source",'情景参数模板'!$D$12,IF(H130="echelon",'情景参数模板'!$D$13,'情景参数模板'!$D$14))</x:f>
        <x:v>0.49</x:v>
      </x:c>
      <x:c r="O130" s="21" t="n">
        <x:f>IF(C130="source",'情景参数模板'!$D$18,IF(H130="echelon",'情景参数模板'!$D$19,'情景参数模板'!$D$20))</x:f>
        <x:v>150</x:v>
      </x:c>
      <x:c r="P130" s="17" t="n">
        <x:f>IF(M130&lt;=O130,1,0)</x:f>
        <x:v>0</x:v>
      </x:c>
      <x:c r="Q130" s="17" t="str">
        <x:v>D-road proxy; B-coordinates</x:v>
      </x:c>
    </x:row>
    <x:row r="131">
      <x:c r="A131" s="17" t="str">
        <x:v>A0127</x:v>
      </x:c>
      <x:c r="B131" s="17" t="str">
        <x:v>GD07</x:v>
      </x:c>
      <x:c r="C131" s="17" t="str">
        <x:v>source</x:v>
      </x:c>
      <x:c r="D131" s="17" t="str">
        <x:v>河源</x:v>
      </x:c>
      <x:c r="E131" s="24" t="n">
        <x:v>115.0577538</x:v>
      </x:c>
      <x:c r="F131" s="24" t="n">
        <x:v>24.1014769</x:v>
      </x:c>
      <x:c r="G131" s="17" t="str">
        <x:v>C01</x:v>
      </x:c>
      <x:c r="H131" s="17" t="str">
        <x:v>collection</x:v>
      </x:c>
      <x:c r="I131" s="17" t="str">
        <x:v>广州虚拟回收/检测中心</x:v>
      </x:c>
      <x:c r="J131" s="24" t="n">
        <x:v>113.2589581</x:v>
      </x:c>
      <x:c r="K131" s="24" t="n">
        <x:v>23.1288429</x:v>
      </x:c>
      <x:c r="L131" s="21" t="n">
        <x:f>6371*ACOS(MIN(1,COS(F131*PI()/180)*COS(K131*PI()/180)*COS((J131-E131)*PI()/180)+SIN(F131*PI()/180)*SIN(K131*PI()/180)))</x:f>
        <x:v>212.7954154557559</x:v>
      </x:c>
      <x:c r="M131" s="21" t="n">
        <x:f>L131*'情景参数模板'!$D$31</x:f>
        <x:v>255.35449854690705</x:v>
      </x:c>
      <x:c r="N131" s="21" t="n">
        <x:f>IF(C131="source",'情景参数模板'!$D$12,IF(H131="echelon",'情景参数模板'!$D$13,'情景参数模板'!$D$14))</x:f>
        <x:v>0.49</x:v>
      </x:c>
      <x:c r="O131" s="21" t="n">
        <x:f>IF(C131="source",'情景参数模板'!$D$18,IF(H131="echelon",'情景参数模板'!$D$19,'情景参数模板'!$D$20))</x:f>
        <x:v>150</x:v>
      </x:c>
      <x:c r="P131" s="17" t="n">
        <x:f>IF(M131&lt;=O131,1,0)</x:f>
        <x:v>0</x:v>
      </x:c>
      <x:c r="Q131" s="17" t="str">
        <x:v>D-road proxy; B-coordinates</x:v>
      </x:c>
    </x:row>
    <x:row r="132">
      <x:c r="A132" s="17" t="str">
        <x:v>A0128</x:v>
      </x:c>
      <x:c r="B132" s="17" t="str">
        <x:v>GD07</x:v>
      </x:c>
      <x:c r="C132" s="17" t="str">
        <x:v>source</x:v>
      </x:c>
      <x:c r="D132" s="17" t="str">
        <x:v>河源</x:v>
      </x:c>
      <x:c r="E132" s="24" t="n">
        <x:v>115.0577538</x:v>
      </x:c>
      <x:c r="F132" s="24" t="n">
        <x:v>24.1014769</x:v>
      </x:c>
      <x:c r="G132" s="17" t="str">
        <x:v>C02</x:v>
      </x:c>
      <x:c r="H132" s="17" t="str">
        <x:v>collection</x:v>
      </x:c>
      <x:c r="I132" s="17" t="str">
        <x:v>深圳虚拟回收/检测中心</x:v>
      </x:c>
      <x:c r="J132" s="24" t="n">
        <x:v>114.0545429</x:v>
      </x:c>
      <x:c r="K132" s="24" t="n">
        <x:v>22.5445741</x:v>
      </x:c>
      <x:c r="L132" s="21" t="n">
        <x:f>6371*ACOS(MIN(1,COS(F132*PI()/180)*COS(K132*PI()/180)*COS((J132-E132)*PI()/180)+SIN(F132*PI()/180)*SIN(K132*PI()/180)))</x:f>
        <x:v>201.1533473364422</x:v>
      </x:c>
      <x:c r="M132" s="21" t="n">
        <x:f>L132*'情景参数模板'!$D$31</x:f>
        <x:v>241.38401680373065</x:v>
      </x:c>
      <x:c r="N132" s="21" t="n">
        <x:f>IF(C132="source",'情景参数模板'!$D$12,IF(H132="echelon",'情景参数模板'!$D$13,'情景参数模板'!$D$14))</x:f>
        <x:v>0.49</x:v>
      </x:c>
      <x:c r="O132" s="21" t="n">
        <x:f>IF(C132="source",'情景参数模板'!$D$18,IF(H132="echelon",'情景参数模板'!$D$19,'情景参数模板'!$D$20))</x:f>
        <x:v>150</x:v>
      </x:c>
      <x:c r="P132" s="17" t="n">
        <x:f>IF(M132&lt;=O132,1,0)</x:f>
        <x:v>0</x:v>
      </x:c>
      <x:c r="Q132" s="17" t="str">
        <x:v>D-road proxy; B-coordinates</x:v>
      </x:c>
    </x:row>
    <x:row r="133">
      <x:c r="A133" s="17" t="str">
        <x:v>A0129</x:v>
      </x:c>
      <x:c r="B133" s="17" t="str">
        <x:v>GD07</x:v>
      </x:c>
      <x:c r="C133" s="17" t="str">
        <x:v>source</x:v>
      </x:c>
      <x:c r="D133" s="17" t="str">
        <x:v>河源</x:v>
      </x:c>
      <x:c r="E133" s="24" t="n">
        <x:v>115.0577538</x:v>
      </x:c>
      <x:c r="F133" s="24" t="n">
        <x:v>24.1014769</x:v>
      </x:c>
      <x:c r="G133" s="17" t="str">
        <x:v>C03</x:v>
      </x:c>
      <x:c r="H133" s="17" t="str">
        <x:v>collection</x:v>
      </x:c>
      <x:c r="I133" s="17" t="str">
        <x:v>珠海虚拟回收/检测中心</x:v>
      </x:c>
      <x:c r="J133" s="24" t="n">
        <x:v>113.5721327</x:v>
      </x:c>
      <x:c r="K133" s="24" t="n">
        <x:v>22.273734</x:v>
      </x:c>
      <x:c r="L133" s="21" t="n">
        <x:f>6371*ACOS(MIN(1,COS(F133*PI()/180)*COS(K133*PI()/180)*COS((J133-E133)*PI()/180)+SIN(F133*PI()/180)*SIN(K133*PI()/180)))</x:f>
        <x:v>253.69221156809851</x:v>
      </x:c>
      <x:c r="M133" s="21" t="n">
        <x:f>L133*'情景参数模板'!$D$31</x:f>
        <x:v>304.43065388171823</x:v>
      </x:c>
      <x:c r="N133" s="21" t="n">
        <x:f>IF(C133="source",'情景参数模板'!$D$12,IF(H133="echelon",'情景参数模板'!$D$13,'情景参数模板'!$D$14))</x:f>
        <x:v>0.49</x:v>
      </x:c>
      <x:c r="O133" s="21" t="n">
        <x:f>IF(C133="source",'情景参数模板'!$D$18,IF(H133="echelon",'情景参数模板'!$D$19,'情景参数模板'!$D$20))</x:f>
        <x:v>150</x:v>
      </x:c>
      <x:c r="P133" s="17" t="n">
        <x:f>IF(M133&lt;=O133,1,0)</x:f>
        <x:v>0</x:v>
      </x:c>
      <x:c r="Q133" s="17" t="str">
        <x:v>D-road proxy; B-coordinates</x:v>
      </x:c>
    </x:row>
    <x:row r="134">
      <x:c r="A134" s="17" t="str">
        <x:v>A0130</x:v>
      </x:c>
      <x:c r="B134" s="17" t="str">
        <x:v>GD07</x:v>
      </x:c>
      <x:c r="C134" s="17" t="str">
        <x:v>source</x:v>
      </x:c>
      <x:c r="D134" s="17" t="str">
        <x:v>河源</x:v>
      </x:c>
      <x:c r="E134" s="24" t="n">
        <x:v>115.0577538</x:v>
      </x:c>
      <x:c r="F134" s="24" t="n">
        <x:v>24.1014769</x:v>
      </x:c>
      <x:c r="G134" s="17" t="str">
        <x:v>C04</x:v>
      </x:c>
      <x:c r="H134" s="17" t="str">
        <x:v>collection</x:v>
      </x:c>
      <x:c r="I134" s="17" t="str">
        <x:v>汕头虚拟回收/检测中心</x:v>
      </x:c>
      <x:c r="J134" s="24" t="n">
        <x:v>116.6775856</x:v>
      </x:c>
      <x:c r="K134" s="24" t="n">
        <x:v>23.3563921</x:v>
      </x:c>
      <x:c r="L134" s="21" t="n">
        <x:f>6371*ACOS(MIN(1,COS(F134*PI()/180)*COS(K134*PI()/180)*COS((J134-E134)*PI()/180)+SIN(F134*PI()/180)*SIN(K134*PI()/180)))</x:f>
        <x:v>184.53141025973926</x:v>
      </x:c>
      <x:c r="M134" s="21" t="n">
        <x:f>L134*'情景参数模板'!$D$31</x:f>
        <x:v>221.4376923116871</x:v>
      </x:c>
      <x:c r="N134" s="21" t="n">
        <x:f>IF(C134="source",'情景参数模板'!$D$12,IF(H134="echelon",'情景参数模板'!$D$13,'情景参数模板'!$D$14))</x:f>
        <x:v>0.49</x:v>
      </x:c>
      <x:c r="O134" s="21" t="n">
        <x:f>IF(C134="source",'情景参数模板'!$D$18,IF(H134="echelon",'情景参数模板'!$D$19,'情景参数模板'!$D$20))</x:f>
        <x:v>150</x:v>
      </x:c>
      <x:c r="P134" s="17" t="n">
        <x:f>IF(M134&lt;=O134,1,0)</x:f>
        <x:v>0</x:v>
      </x:c>
      <x:c r="Q134" s="17" t="str">
        <x:v>D-road proxy; B-coordinates</x:v>
      </x:c>
    </x:row>
    <x:row r="135">
      <x:c r="A135" s="17" t="str">
        <x:v>A0131</x:v>
      </x:c>
      <x:c r="B135" s="17" t="str">
        <x:v>GD07</x:v>
      </x:c>
      <x:c r="C135" s="17" t="str">
        <x:v>source</x:v>
      </x:c>
      <x:c r="D135" s="17" t="str">
        <x:v>河源</x:v>
      </x:c>
      <x:c r="E135" s="24" t="n">
        <x:v>115.0577538</x:v>
      </x:c>
      <x:c r="F135" s="24" t="n">
        <x:v>24.1014769</x:v>
      </x:c>
      <x:c r="G135" s="17" t="str">
        <x:v>C05</x:v>
      </x:c>
      <x:c r="H135" s="17" t="str">
        <x:v>collection</x:v>
      </x:c>
      <x:c r="I135" s="17" t="str">
        <x:v>佛山虚拟回收/检测中心</x:v>
      </x:c>
      <x:c r="J135" s="24" t="n">
        <x:v>113.1159558</x:v>
      </x:c>
      <x:c r="K135" s="24" t="n">
        <x:v>23.0239788</x:v>
      </x:c>
      <x:c r="L135" s="21" t="n">
        <x:f>6371*ACOS(MIN(1,COS(F135*PI()/180)*COS(K135*PI()/180)*COS((J135-E135)*PI()/180)+SIN(F135*PI()/180)*SIN(K135*PI()/180)))</x:f>
        <x:v>231.3506353661428</x:v>
      </x:c>
      <x:c r="M135" s="21" t="n">
        <x:f>L135*'情景参数模板'!$D$31</x:f>
        <x:v>277.62076243937133</x:v>
      </x:c>
      <x:c r="N135" s="21" t="n">
        <x:f>IF(C135="source",'情景参数模板'!$D$12,IF(H135="echelon",'情景参数模板'!$D$13,'情景参数模板'!$D$14))</x:f>
        <x:v>0.49</x:v>
      </x:c>
      <x:c r="O135" s="21" t="n">
        <x:f>IF(C135="source",'情景参数模板'!$D$18,IF(H135="echelon",'情景参数模板'!$D$19,'情景参数模板'!$D$20))</x:f>
        <x:v>150</x:v>
      </x:c>
      <x:c r="P135" s="17" t="n">
        <x:f>IF(M135&lt;=O135,1,0)</x:f>
        <x:v>0</x:v>
      </x:c>
      <x:c r="Q135" s="17" t="str">
        <x:v>D-road proxy; B-coordinates</x:v>
      </x:c>
    </x:row>
    <x:row r="136">
      <x:c r="A136" s="17" t="str">
        <x:v>A0132</x:v>
      </x:c>
      <x:c r="B136" s="17" t="str">
        <x:v>GD07</x:v>
      </x:c>
      <x:c r="C136" s="17" t="str">
        <x:v>source</x:v>
      </x:c>
      <x:c r="D136" s="17" t="str">
        <x:v>河源</x:v>
      </x:c>
      <x:c r="E136" s="24" t="n">
        <x:v>115.0577538</x:v>
      </x:c>
      <x:c r="F136" s="24" t="n">
        <x:v>24.1014769</x:v>
      </x:c>
      <x:c r="G136" s="17" t="str">
        <x:v>C06</x:v>
      </x:c>
      <x:c r="H136" s="17" t="str">
        <x:v>collection</x:v>
      </x:c>
      <x:c r="I136" s="17" t="str">
        <x:v>韶关虚拟回收/检测中心</x:v>
      </x:c>
      <x:c r="J136" s="24" t="n">
        <x:v>113.8155263</x:v>
      </x:c>
      <x:c r="K136" s="24" t="n">
        <x:v>24.8309489</x:v>
      </x:c>
      <x:c r="L136" s="21" t="n">
        <x:f>6371*ACOS(MIN(1,COS(F136*PI()/180)*COS(K136*PI()/180)*COS((J136-E136)*PI()/180)+SIN(F136*PI()/180)*SIN(K136*PI()/180)))</x:f>
        <x:v>149.6196110292933</x:v>
      </x:c>
      <x:c r="M136" s="21" t="n">
        <x:f>L136*'情景参数模板'!$D$31</x:f>
        <x:v>179.54353323515195</x:v>
      </x:c>
      <x:c r="N136" s="21" t="n">
        <x:f>IF(C136="source",'情景参数模板'!$D$12,IF(H136="echelon",'情景参数模板'!$D$13,'情景参数模板'!$D$14))</x:f>
        <x:v>0.49</x:v>
      </x:c>
      <x:c r="O136" s="21" t="n">
        <x:f>IF(C136="source",'情景参数模板'!$D$18,IF(H136="echelon",'情景参数模板'!$D$19,'情景参数模板'!$D$20))</x:f>
        <x:v>150</x:v>
      </x:c>
      <x:c r="P136" s="17" t="n">
        <x:f>IF(M136&lt;=O136,1,0)</x:f>
        <x:v>0</x:v>
      </x:c>
      <x:c r="Q136" s="17" t="str">
        <x:v>D-road proxy; B-coordinates</x:v>
      </x:c>
    </x:row>
    <x:row r="137">
      <x:c r="A137" s="17" t="str">
        <x:v>A0133</x:v>
      </x:c>
      <x:c r="B137" s="17" t="str">
        <x:v>GD07</x:v>
      </x:c>
      <x:c r="C137" s="17" t="str">
        <x:v>source</x:v>
      </x:c>
      <x:c r="D137" s="17" t="str">
        <x:v>河源</x:v>
      </x:c>
      <x:c r="E137" s="24" t="n">
        <x:v>115.0577538</x:v>
      </x:c>
      <x:c r="F137" s="24" t="n">
        <x:v>24.1014769</x:v>
      </x:c>
      <x:c r="G137" s="17" t="str">
        <x:v>C07</x:v>
      </x:c>
      <x:c r="H137" s="17" t="str">
        <x:v>collection</x:v>
      </x:c>
      <x:c r="I137" s="17" t="str">
        <x:v>河源虚拟回收/检测中心</x:v>
      </x:c>
      <x:c r="J137" s="24" t="n">
        <x:v>115.0577538</x:v>
      </x:c>
      <x:c r="K137" s="24" t="n">
        <x:v>24.1014769</x:v>
      </x:c>
      <x:c r="L137" s="21" t="n">
        <x:f>6371*ACOS(MIN(1,COS(F137*PI()/180)*COS(K137*PI()/180)*COS((J137-E137)*PI()/180)+SIN(F137*PI()/180)*SIN(K137*PI()/180)))</x:f>
        <x:v>0.00009493529796600342</x:v>
      </x:c>
      <x:c r="M137" s="21" t="n">
        <x:f>L137*'情景参数模板'!$D$31</x:f>
        <x:v>0.0001139223575592041</x:v>
      </x:c>
      <x:c r="N137" s="21" t="n">
        <x:f>IF(C137="source",'情景参数模板'!$D$12,IF(H137="echelon",'情景参数模板'!$D$13,'情景参数模板'!$D$14))</x:f>
        <x:v>0.49</x:v>
      </x:c>
      <x:c r="O137" s="21" t="n">
        <x:f>IF(C137="source",'情景参数模板'!$D$18,IF(H137="echelon",'情景参数模板'!$D$19,'情景参数模板'!$D$20))</x:f>
        <x:v>150</x:v>
      </x:c>
      <x:c r="P137" s="17" t="n">
        <x:f>IF(M137&lt;=O137,1,0)</x:f>
        <x:v>1</x:v>
      </x:c>
      <x:c r="Q137" s="17" t="str">
        <x:v>D-road proxy; B-coordinates</x:v>
      </x:c>
    </x:row>
    <x:row r="138">
      <x:c r="A138" s="17" t="str">
        <x:v>A0134</x:v>
      </x:c>
      <x:c r="B138" s="17" t="str">
        <x:v>GD07</x:v>
      </x:c>
      <x:c r="C138" s="17" t="str">
        <x:v>source</x:v>
      </x:c>
      <x:c r="D138" s="17" t="str">
        <x:v>河源</x:v>
      </x:c>
      <x:c r="E138" s="24" t="n">
        <x:v>115.0577538</x:v>
      </x:c>
      <x:c r="F138" s="24" t="n">
        <x:v>24.1014769</x:v>
      </x:c>
      <x:c r="G138" s="17" t="str">
        <x:v>C08</x:v>
      </x:c>
      <x:c r="H138" s="17" t="str">
        <x:v>collection</x:v>
      </x:c>
      <x:c r="I138" s="17" t="str">
        <x:v>梅州虚拟回收/检测中心</x:v>
      </x:c>
      <x:c r="J138" s="24" t="n">
        <x:v>116.1171428</x:v>
      </x:c>
      <x:c r="K138" s="24" t="n">
        <x:v>24.2918414</x:v>
      </x:c>
      <x:c r="L138" s="21" t="n">
        <x:f>6371*ACOS(MIN(1,COS(F138*PI()/180)*COS(K138*PI()/180)*COS((J138-E138)*PI()/180)+SIN(F138*PI()/180)*SIN(K138*PI()/180)))</x:f>
        <x:v>109.51419631408221</x:v>
      </x:c>
      <x:c r="M138" s="21" t="n">
        <x:f>L138*'情景参数模板'!$D$31</x:f>
        <x:v>131.41703557689866</x:v>
      </x:c>
      <x:c r="N138" s="21" t="n">
        <x:f>IF(C138="source",'情景参数模板'!$D$12,IF(H138="echelon",'情景参数模板'!$D$13,'情景参数模板'!$D$14))</x:f>
        <x:v>0.49</x:v>
      </x:c>
      <x:c r="O138" s="21" t="n">
        <x:f>IF(C138="source",'情景参数模板'!$D$18,IF(H138="echelon",'情景参数模板'!$D$19,'情景参数模板'!$D$20))</x:f>
        <x:v>150</x:v>
      </x:c>
      <x:c r="P138" s="17" t="n">
        <x:f>IF(M138&lt;=O138,1,0)</x:f>
        <x:v>1</x:v>
      </x:c>
      <x:c r="Q138" s="17" t="str">
        <x:v>D-road proxy; B-coordinates</x:v>
      </x:c>
    </x:row>
    <x:row r="139">
      <x:c r="A139" s="17" t="str">
        <x:v>A0135</x:v>
      </x:c>
      <x:c r="B139" s="17" t="str">
        <x:v>GD07</x:v>
      </x:c>
      <x:c r="C139" s="17" t="str">
        <x:v>source</x:v>
      </x:c>
      <x:c r="D139" s="17" t="str">
        <x:v>河源</x:v>
      </x:c>
      <x:c r="E139" s="24" t="n">
        <x:v>115.0577538</x:v>
      </x:c>
      <x:c r="F139" s="24" t="n">
        <x:v>24.1014769</x:v>
      </x:c>
      <x:c r="G139" s="17" t="str">
        <x:v>C09</x:v>
      </x:c>
      <x:c r="H139" s="17" t="str">
        <x:v>collection</x:v>
      </x:c>
      <x:c r="I139" s="17" t="str">
        <x:v>惠州虚拟回收/检测中心</x:v>
      </x:c>
      <x:c r="J139" s="24" t="n">
        <x:v>114.4127007</x:v>
      </x:c>
      <x:c r="K139" s="24" t="n">
        <x:v>23.1125153</x:v>
      </x:c>
      <x:c r="L139" s="21" t="n">
        <x:f>6371*ACOS(MIN(1,COS(F139*PI()/180)*COS(K139*PI()/180)*COS((J139-E139)*PI()/180)+SIN(F139*PI()/180)*SIN(K139*PI()/180)))</x:f>
        <x:v>128.11063912816488</x:v>
      </x:c>
      <x:c r="M139" s="21" t="n">
        <x:f>L139*'情景参数模板'!$D$31</x:f>
        <x:v>153.73276695379784</x:v>
      </x:c>
      <x:c r="N139" s="21" t="n">
        <x:f>IF(C139="source",'情景参数模板'!$D$12,IF(H139="echelon",'情景参数模板'!$D$13,'情景参数模板'!$D$14))</x:f>
        <x:v>0.49</x:v>
      </x:c>
      <x:c r="O139" s="21" t="n">
        <x:f>IF(C139="source",'情景参数模板'!$D$18,IF(H139="echelon",'情景参数模板'!$D$19,'情景参数模板'!$D$20))</x:f>
        <x:v>150</x:v>
      </x:c>
      <x:c r="P139" s="17" t="n">
        <x:f>IF(M139&lt;=O139,1,0)</x:f>
        <x:v>0</x:v>
      </x:c>
      <x:c r="Q139" s="17" t="str">
        <x:v>D-road proxy; B-coordinates</x:v>
      </x:c>
    </x:row>
    <x:row r="140">
      <x:c r="A140" s="17" t="str">
        <x:v>A0136</x:v>
      </x:c>
      <x:c r="B140" s="17" t="str">
        <x:v>GD07</x:v>
      </x:c>
      <x:c r="C140" s="17" t="str">
        <x:v>source</x:v>
      </x:c>
      <x:c r="D140" s="17" t="str">
        <x:v>河源</x:v>
      </x:c>
      <x:c r="E140" s="24" t="n">
        <x:v>115.0577538</x:v>
      </x:c>
      <x:c r="F140" s="24" t="n">
        <x:v>24.1014769</x:v>
      </x:c>
      <x:c r="G140" s="17" t="str">
        <x:v>C10</x:v>
      </x:c>
      <x:c r="H140" s="17" t="str">
        <x:v>collection</x:v>
      </x:c>
      <x:c r="I140" s="17" t="str">
        <x:v>汕尾虚拟回收/检测中心</x:v>
      </x:c>
      <x:c r="J140" s="24" t="n">
        <x:v>115.5099937</x:v>
      </x:c>
      <x:c r="K140" s="24" t="n">
        <x:v>23.0123639</x:v>
      </x:c>
      <x:c r="L140" s="21" t="n">
        <x:f>6371*ACOS(MIN(1,COS(F140*PI()/180)*COS(K140*PI()/180)*COS((J140-E140)*PI()/180)+SIN(F140*PI()/180)*SIN(K140*PI()/180)))</x:f>
        <x:v>129.57964487920876</x:v>
      </x:c>
      <x:c r="M140" s="21" t="n">
        <x:f>L140*'情景参数模板'!$D$31</x:f>
        <x:v>155.4955738550505</x:v>
      </x:c>
      <x:c r="N140" s="21" t="n">
        <x:f>IF(C140="source",'情景参数模板'!$D$12,IF(H140="echelon",'情景参数模板'!$D$13,'情景参数模板'!$D$14))</x:f>
        <x:v>0.49</x:v>
      </x:c>
      <x:c r="O140" s="21" t="n">
        <x:f>IF(C140="source",'情景参数模板'!$D$18,IF(H140="echelon",'情景参数模板'!$D$19,'情景参数模板'!$D$20))</x:f>
        <x:v>150</x:v>
      </x:c>
      <x:c r="P140" s="17" t="n">
        <x:f>IF(M140&lt;=O140,1,0)</x:f>
        <x:v>0</x:v>
      </x:c>
      <x:c r="Q140" s="17" t="str">
        <x:v>D-road proxy; B-coordinates</x:v>
      </x:c>
    </x:row>
    <x:row r="141">
      <x:c r="A141" s="17" t="str">
        <x:v>A0137</x:v>
      </x:c>
      <x:c r="B141" s="17" t="str">
        <x:v>GD07</x:v>
      </x:c>
      <x:c r="C141" s="17" t="str">
        <x:v>source</x:v>
      </x:c>
      <x:c r="D141" s="17" t="str">
        <x:v>河源</x:v>
      </x:c>
      <x:c r="E141" s="24" t="n">
        <x:v>115.0577538</x:v>
      </x:c>
      <x:c r="F141" s="24" t="n">
        <x:v>24.1014769</x:v>
      </x:c>
      <x:c r="G141" s="17" t="str">
        <x:v>C11</x:v>
      </x:c>
      <x:c r="H141" s="17" t="str">
        <x:v>collection</x:v>
      </x:c>
      <x:c r="I141" s="17" t="str">
        <x:v>东莞虚拟回收/检测中心</x:v>
      </x:c>
      <x:c r="J141" s="24" t="n">
        <x:v>113.7452332</x:v>
      </x:c>
      <x:c r="K141" s="24" t="n">
        <x:v>23.0183568</x:v>
      </x:c>
      <x:c r="L141" s="21" t="n">
        <x:f>6371*ACOS(MIN(1,COS(F141*PI()/180)*COS(K141*PI()/180)*COS((J141-E141)*PI()/180)+SIN(F141*PI()/180)*SIN(K141*PI()/180)))</x:f>
        <x:v>180.00361940870866</x:v>
      </x:c>
      <x:c r="M141" s="21" t="n">
        <x:f>L141*'情景参数模板'!$D$31</x:f>
        <x:v>216.00434329045038</x:v>
      </x:c>
      <x:c r="N141" s="21" t="n">
        <x:f>IF(C141="source",'情景参数模板'!$D$12,IF(H141="echelon",'情景参数模板'!$D$13,'情景参数模板'!$D$14))</x:f>
        <x:v>0.49</x:v>
      </x:c>
      <x:c r="O141" s="21" t="n">
        <x:f>IF(C141="source",'情景参数模板'!$D$18,IF(H141="echelon",'情景参数模板'!$D$19,'情景参数模板'!$D$20))</x:f>
        <x:v>150</x:v>
      </x:c>
      <x:c r="P141" s="17" t="n">
        <x:f>IF(M141&lt;=O141,1,0)</x:f>
        <x:v>0</x:v>
      </x:c>
      <x:c r="Q141" s="17" t="str">
        <x:v>D-road proxy; B-coordinates</x:v>
      </x:c>
    </x:row>
    <x:row r="142">
      <x:c r="A142" s="17" t="str">
        <x:v>A0138</x:v>
      </x:c>
      <x:c r="B142" s="17" t="str">
        <x:v>GD07</x:v>
      </x:c>
      <x:c r="C142" s="17" t="str">
        <x:v>source</x:v>
      </x:c>
      <x:c r="D142" s="17" t="str">
        <x:v>河源</x:v>
      </x:c>
      <x:c r="E142" s="24" t="n">
        <x:v>115.0577538</x:v>
      </x:c>
      <x:c r="F142" s="24" t="n">
        <x:v>24.1014769</x:v>
      </x:c>
      <x:c r="G142" s="17" t="str">
        <x:v>C12</x:v>
      </x:c>
      <x:c r="H142" s="17" t="str">
        <x:v>collection</x:v>
      </x:c>
      <x:c r="I142" s="17" t="str">
        <x:v>中山虚拟回收/检测中心</x:v>
      </x:c>
      <x:c r="J142" s="24" t="n">
        <x:v>113.3872302</x:v>
      </x:c>
      <x:c r="K142" s="24" t="n">
        <x:v>22.5197073</x:v>
      </x:c>
      <x:c r="L142" s="21" t="n">
        <x:f>6371*ACOS(MIN(1,COS(F142*PI()/180)*COS(K142*PI()/180)*COS((J142-E142)*PI()/180)+SIN(F142*PI()/180)*SIN(K142*PI()/180)))</x:f>
        <x:v>245.0176086055503</x:v>
      </x:c>
      <x:c r="M142" s="21" t="n">
        <x:f>L142*'情景参数模板'!$D$31</x:f>
        <x:v>294.02113032666034</x:v>
      </x:c>
      <x:c r="N142" s="21" t="n">
        <x:f>IF(C142="source",'情景参数模板'!$D$12,IF(H142="echelon",'情景参数模板'!$D$13,'情景参数模板'!$D$14))</x:f>
        <x:v>0.49</x:v>
      </x:c>
      <x:c r="O142" s="21" t="n">
        <x:f>IF(C142="source",'情景参数模板'!$D$18,IF(H142="echelon",'情景参数模板'!$D$19,'情景参数模板'!$D$20))</x:f>
        <x:v>150</x:v>
      </x:c>
      <x:c r="P142" s="17" t="n">
        <x:f>IF(M142&lt;=O142,1,0)</x:f>
        <x:v>0</x:v>
      </x:c>
      <x:c r="Q142" s="17" t="str">
        <x:v>D-road proxy; B-coordinates</x:v>
      </x:c>
    </x:row>
    <x:row r="143">
      <x:c r="A143" s="17" t="str">
        <x:v>A0139</x:v>
      </x:c>
      <x:c r="B143" s="17" t="str">
        <x:v>GD07</x:v>
      </x:c>
      <x:c r="C143" s="17" t="str">
        <x:v>source</x:v>
      </x:c>
      <x:c r="D143" s="17" t="str">
        <x:v>河源</x:v>
      </x:c>
      <x:c r="E143" s="24" t="n">
        <x:v>115.0577538</x:v>
      </x:c>
      <x:c r="F143" s="24" t="n">
        <x:v>24.1014769</x:v>
      </x:c>
      <x:c r="G143" s="17" t="str">
        <x:v>C13</x:v>
      </x:c>
      <x:c r="H143" s="17" t="str">
        <x:v>collection</x:v>
      </x:c>
      <x:c r="I143" s="17" t="str">
        <x:v>江门虚拟回收/检测中心</x:v>
      </x:c>
      <x:c r="J143" s="24" t="n">
        <x:v>113.0761073</x:v>
      </x:c>
      <x:c r="K143" s="24" t="n">
        <x:v>22.5816619</x:v>
      </x:c>
      <x:c r="L143" s="21" t="n">
        <x:f>6371*ACOS(MIN(1,COS(F143*PI()/180)*COS(K143*PI()/180)*COS((J143-E143)*PI()/180)+SIN(F143*PI()/180)*SIN(K143*PI()/180)))</x:f>
        <x:v>263.603352392746</x:v>
      </x:c>
      <x:c r="M143" s="21" t="n">
        <x:f>L143*'情景参数模板'!$D$31</x:f>
        <x:v>316.3240228712952</x:v>
      </x:c>
      <x:c r="N143" s="21" t="n">
        <x:f>IF(C143="source",'情景参数模板'!$D$12,IF(H143="echelon",'情景参数模板'!$D$13,'情景参数模板'!$D$14))</x:f>
        <x:v>0.49</x:v>
      </x:c>
      <x:c r="O143" s="21" t="n">
        <x:f>IF(C143="source",'情景参数模板'!$D$18,IF(H143="echelon",'情景参数模板'!$D$19,'情景参数模板'!$D$20))</x:f>
        <x:v>150</x:v>
      </x:c>
      <x:c r="P143" s="17" t="n">
        <x:f>IF(M143&lt;=O143,1,0)</x:f>
        <x:v>0</x:v>
      </x:c>
      <x:c r="Q143" s="17" t="str">
        <x:v>D-road proxy; B-coordinates</x:v>
      </x:c>
    </x:row>
    <x:row r="144">
      <x:c r="A144" s="17" t="str">
        <x:v>A0140</x:v>
      </x:c>
      <x:c r="B144" s="17" t="str">
        <x:v>GD07</x:v>
      </x:c>
      <x:c r="C144" s="17" t="str">
        <x:v>source</x:v>
      </x:c>
      <x:c r="D144" s="17" t="str">
        <x:v>河源</x:v>
      </x:c>
      <x:c r="E144" s="24" t="n">
        <x:v>115.0577538</x:v>
      </x:c>
      <x:c r="F144" s="24" t="n">
        <x:v>24.1014769</x:v>
      </x:c>
      <x:c r="G144" s="17" t="str">
        <x:v>C14</x:v>
      </x:c>
      <x:c r="H144" s="17" t="str">
        <x:v>collection</x:v>
      </x:c>
      <x:c r="I144" s="17" t="str">
        <x:v>阳江虚拟回收/检测中心</x:v>
      </x:c>
      <x:c r="J144" s="24" t="n">
        <x:v>111.7831393</x:v>
      </x:c>
      <x:c r="K144" s="24" t="n">
        <x:v>22.0958223</x:v>
      </x:c>
      <x:c r="L144" s="21" t="n">
        <x:f>6371*ACOS(MIN(1,COS(F144*PI()/180)*COS(K144*PI()/180)*COS((J144-E144)*PI()/180)+SIN(F144*PI()/180)*SIN(K144*PI()/180)))</x:f>
        <x:v>402.3586647546197</x:v>
      </x:c>
      <x:c r="M144" s="21" t="n">
        <x:f>L144*'情景参数模板'!$D$31</x:f>
        <x:v>482.83039770554365</x:v>
      </x:c>
      <x:c r="N144" s="21" t="n">
        <x:f>IF(C144="source",'情景参数模板'!$D$12,IF(H144="echelon",'情景参数模板'!$D$13,'情景参数模板'!$D$14))</x:f>
        <x:v>0.49</x:v>
      </x:c>
      <x:c r="O144" s="21" t="n">
        <x:f>IF(C144="source",'情景参数模板'!$D$18,IF(H144="echelon",'情景参数模板'!$D$19,'情景参数模板'!$D$20))</x:f>
        <x:v>150</x:v>
      </x:c>
      <x:c r="P144" s="17" t="n">
        <x:f>IF(M144&lt;=O144,1,0)</x:f>
        <x:v>0</x:v>
      </x:c>
      <x:c r="Q144" s="17" t="str">
        <x:v>D-road proxy; B-coordinates</x:v>
      </x:c>
    </x:row>
    <x:row r="145">
      <x:c r="A145" s="17" t="str">
        <x:v>A0141</x:v>
      </x:c>
      <x:c r="B145" s="17" t="str">
        <x:v>GD07</x:v>
      </x:c>
      <x:c r="C145" s="17" t="str">
        <x:v>source</x:v>
      </x:c>
      <x:c r="D145" s="17" t="str">
        <x:v>河源</x:v>
      </x:c>
      <x:c r="E145" s="24" t="n">
        <x:v>115.0577538</x:v>
      </x:c>
      <x:c r="F145" s="24" t="n">
        <x:v>24.1014769</x:v>
      </x:c>
      <x:c r="G145" s="17" t="str">
        <x:v>C15</x:v>
      </x:c>
      <x:c r="H145" s="17" t="str">
        <x:v>collection</x:v>
      </x:c>
      <x:c r="I145" s="17" t="str">
        <x:v>湛江虚拟回收/检测中心</x:v>
      </x:c>
      <x:c r="J145" s="24" t="n">
        <x:v>110.3548318</x:v>
      </x:c>
      <x:c r="K145" s="24" t="n">
        <x:v>21.2737079</x:v>
      </x:c>
      <x:c r="L145" s="21" t="n">
        <x:f>6371*ACOS(MIN(1,COS(F145*PI()/180)*COS(K145*PI()/180)*COS((J145-E145)*PI()/180)+SIN(F145*PI()/180)*SIN(K145*PI()/180)))</x:f>
        <x:v>575.8131454619048</x:v>
      </x:c>
      <x:c r="M145" s="21" t="n">
        <x:f>L145*'情景参数模板'!$D$31</x:f>
        <x:v>690.9757745542857</x:v>
      </x:c>
      <x:c r="N145" s="21" t="n">
        <x:f>IF(C145="source",'情景参数模板'!$D$12,IF(H145="echelon",'情景参数模板'!$D$13,'情景参数模板'!$D$14))</x:f>
        <x:v>0.49</x:v>
      </x:c>
      <x:c r="O145" s="21" t="n">
        <x:f>IF(C145="source",'情景参数模板'!$D$18,IF(H145="echelon",'情景参数模板'!$D$19,'情景参数模板'!$D$20))</x:f>
        <x:v>150</x:v>
      </x:c>
      <x:c r="P145" s="17" t="n">
        <x:f>IF(M145&lt;=O145,1,0)</x:f>
        <x:v>0</x:v>
      </x:c>
      <x:c r="Q145" s="17" t="str">
        <x:v>D-road proxy; B-coordinates</x:v>
      </x:c>
    </x:row>
    <x:row r="146">
      <x:c r="A146" s="17" t="str">
        <x:v>A0142</x:v>
      </x:c>
      <x:c r="B146" s="17" t="str">
        <x:v>GD07</x:v>
      </x:c>
      <x:c r="C146" s="17" t="str">
        <x:v>source</x:v>
      </x:c>
      <x:c r="D146" s="17" t="str">
        <x:v>河源</x:v>
      </x:c>
      <x:c r="E146" s="24" t="n">
        <x:v>115.0577538</x:v>
      </x:c>
      <x:c r="F146" s="24" t="n">
        <x:v>24.1014769</x:v>
      </x:c>
      <x:c r="G146" s="17" t="str">
        <x:v>C16</x:v>
      </x:c>
      <x:c r="H146" s="17" t="str">
        <x:v>collection</x:v>
      </x:c>
      <x:c r="I146" s="17" t="str">
        <x:v>茂名虚拟回收/检测中心</x:v>
      </x:c>
      <x:c r="J146" s="24" t="n">
        <x:v>110.9209511</x:v>
      </x:c>
      <x:c r="K146" s="24" t="n">
        <x:v>21.6656961</x:v>
      </x:c>
      <x:c r="L146" s="21" t="n">
        <x:f>6371*ACOS(MIN(1,COS(F146*PI()/180)*COS(K146*PI()/180)*COS((J146-E146)*PI()/180)+SIN(F146*PI()/180)*SIN(K146*PI()/180)))</x:f>
        <x:v>502.8929784594784</x:v>
      </x:c>
      <x:c r="M146" s="21" t="n">
        <x:f>L146*'情景参数模板'!$D$31</x:f>
        <x:v>603.471574151374</x:v>
      </x:c>
      <x:c r="N146" s="21" t="n">
        <x:f>IF(C146="source",'情景参数模板'!$D$12,IF(H146="echelon",'情景参数模板'!$D$13,'情景参数模板'!$D$14))</x:f>
        <x:v>0.49</x:v>
      </x:c>
      <x:c r="O146" s="21" t="n">
        <x:f>IF(C146="source",'情景参数模板'!$D$18,IF(H146="echelon",'情景参数模板'!$D$19,'情景参数模板'!$D$20))</x:f>
        <x:v>150</x:v>
      </x:c>
      <x:c r="P146" s="17" t="n">
        <x:f>IF(M146&lt;=O146,1,0)</x:f>
        <x:v>0</x:v>
      </x:c>
      <x:c r="Q146" s="17" t="str">
        <x:v>D-road proxy; B-coordinates</x:v>
      </x:c>
    </x:row>
    <x:row r="147">
      <x:c r="A147" s="17" t="str">
        <x:v>A0143</x:v>
      </x:c>
      <x:c r="B147" s="17" t="str">
        <x:v>GD07</x:v>
      </x:c>
      <x:c r="C147" s="17" t="str">
        <x:v>source</x:v>
      </x:c>
      <x:c r="D147" s="17" t="str">
        <x:v>河源</x:v>
      </x:c>
      <x:c r="E147" s="24" t="n">
        <x:v>115.0577538</x:v>
      </x:c>
      <x:c r="F147" s="24" t="n">
        <x:v>24.1014769</x:v>
      </x:c>
      <x:c r="G147" s="17" t="str">
        <x:v>C17</x:v>
      </x:c>
      <x:c r="H147" s="17" t="str">
        <x:v>collection</x:v>
      </x:c>
      <x:c r="I147" s="17" t="str">
        <x:v>肇庆虚拟回收/检测中心</x:v>
      </x:c>
      <x:c r="J147" s="24" t="n">
        <x:v>112.4603629</x:v>
      </x:c>
      <x:c r="K147" s="24" t="n">
        <x:v>23.0501661</x:v>
      </x:c>
      <x:c r="L147" s="21" t="n">
        <x:f>6371*ACOS(MIN(1,COS(F147*PI()/180)*COS(K147*PI()/180)*COS((J147-E147)*PI()/180)+SIN(F147*PI()/180)*SIN(K147*PI()/180)))</x:f>
        <x:v>289.36462181183225</x:v>
      </x:c>
      <x:c r="M147" s="21" t="n">
        <x:f>L147*'情景参数模板'!$D$31</x:f>
        <x:v>347.2375461741987</x:v>
      </x:c>
      <x:c r="N147" s="21" t="n">
        <x:f>IF(C147="source",'情景参数模板'!$D$12,IF(H147="echelon",'情景参数模板'!$D$13,'情景参数模板'!$D$14))</x:f>
        <x:v>0.49</x:v>
      </x:c>
      <x:c r="O147" s="21" t="n">
        <x:f>IF(C147="source",'情景参数模板'!$D$18,IF(H147="echelon",'情景参数模板'!$D$19,'情景参数模板'!$D$20))</x:f>
        <x:v>150</x:v>
      </x:c>
      <x:c r="P147" s="17" t="n">
        <x:f>IF(M147&lt;=O147,1,0)</x:f>
        <x:v>0</x:v>
      </x:c>
      <x:c r="Q147" s="17" t="str">
        <x:v>D-road proxy; B-coordinates</x:v>
      </x:c>
    </x:row>
    <x:row r="148">
      <x:c r="A148" s="17" t="str">
        <x:v>A0144</x:v>
      </x:c>
      <x:c r="B148" s="17" t="str">
        <x:v>GD07</x:v>
      </x:c>
      <x:c r="C148" s="17" t="str">
        <x:v>source</x:v>
      </x:c>
      <x:c r="D148" s="17" t="str">
        <x:v>河源</x:v>
      </x:c>
      <x:c r="E148" s="24" t="n">
        <x:v>115.0577538</x:v>
      </x:c>
      <x:c r="F148" s="24" t="n">
        <x:v>24.1014769</x:v>
      </x:c>
      <x:c r="G148" s="17" t="str">
        <x:v>C18</x:v>
      </x:c>
      <x:c r="H148" s="17" t="str">
        <x:v>collection</x:v>
      </x:c>
      <x:c r="I148" s="17" t="str">
        <x:v>清远虚拟回收/检测中心</x:v>
      </x:c>
      <x:c r="J148" s="24" t="n">
        <x:v>113.0505994</x:v>
      </x:c>
      <x:c r="K148" s="24" t="n">
        <x:v>23.6832984</x:v>
      </x:c>
      <x:c r="L148" s="21" t="n">
        <x:f>6371*ACOS(MIN(1,COS(F148*PI()/180)*COS(K148*PI()/180)*COS((J148-E148)*PI()/180)+SIN(F148*PI()/180)*SIN(K148*PI()/180)))</x:f>
        <x:v>209.288636539523</x:v>
      </x:c>
      <x:c r="M148" s="21" t="n">
        <x:f>L148*'情景参数模板'!$D$31</x:f>
        <x:v>251.14636384742758</x:v>
      </x:c>
      <x:c r="N148" s="21" t="n">
        <x:f>IF(C148="source",'情景参数模板'!$D$12,IF(H148="echelon",'情景参数模板'!$D$13,'情景参数模板'!$D$14))</x:f>
        <x:v>0.49</x:v>
      </x:c>
      <x:c r="O148" s="21" t="n">
        <x:f>IF(C148="source",'情景参数模板'!$D$18,IF(H148="echelon",'情景参数模板'!$D$19,'情景参数模板'!$D$20))</x:f>
        <x:v>150</x:v>
      </x:c>
      <x:c r="P148" s="17" t="n">
        <x:f>IF(M148&lt;=O148,1,0)</x:f>
        <x:v>0</x:v>
      </x:c>
      <x:c r="Q148" s="17" t="str">
        <x:v>D-road proxy; B-coordinates</x:v>
      </x:c>
    </x:row>
    <x:row r="149">
      <x:c r="A149" s="17" t="str">
        <x:v>A0145</x:v>
      </x:c>
      <x:c r="B149" s="17" t="str">
        <x:v>GD07</x:v>
      </x:c>
      <x:c r="C149" s="17" t="str">
        <x:v>source</x:v>
      </x:c>
      <x:c r="D149" s="17" t="str">
        <x:v>河源</x:v>
      </x:c>
      <x:c r="E149" s="24" t="n">
        <x:v>115.0577538</x:v>
      </x:c>
      <x:c r="F149" s="24" t="n">
        <x:v>24.1014769</x:v>
      </x:c>
      <x:c r="G149" s="17" t="str">
        <x:v>C19</x:v>
      </x:c>
      <x:c r="H149" s="17" t="str">
        <x:v>collection</x:v>
      </x:c>
      <x:c r="I149" s="17" t="str">
        <x:v>潮州虚拟回收/检测中心</x:v>
      </x:c>
      <x:c r="J149" s="24" t="n">
        <x:v>116.6204223</x:v>
      </x:c>
      <x:c r="K149" s="24" t="n">
        <x:v>23.656593</x:v>
      </x:c>
      <x:c r="L149" s="21" t="n">
        <x:f>6371*ACOS(MIN(1,COS(F149*PI()/180)*COS(K149*PI()/180)*COS((J149-E149)*PI()/180)+SIN(F149*PI()/180)*SIN(K149*PI()/180)))</x:f>
        <x:v>166.40873636630144</x:v>
      </x:c>
      <x:c r="M149" s="21" t="n">
        <x:f>L149*'情景参数模板'!$D$31</x:f>
        <x:v>199.69048363956173</x:v>
      </x:c>
      <x:c r="N149" s="21" t="n">
        <x:f>IF(C149="source",'情景参数模板'!$D$12,IF(H149="echelon",'情景参数模板'!$D$13,'情景参数模板'!$D$14))</x:f>
        <x:v>0.49</x:v>
      </x:c>
      <x:c r="O149" s="21" t="n">
        <x:f>IF(C149="source",'情景参数模板'!$D$18,IF(H149="echelon",'情景参数模板'!$D$19,'情景参数模板'!$D$20))</x:f>
        <x:v>150</x:v>
      </x:c>
      <x:c r="P149" s="17" t="n">
        <x:f>IF(M149&lt;=O149,1,0)</x:f>
        <x:v>0</x:v>
      </x:c>
      <x:c r="Q149" s="17" t="str">
        <x:v>D-road proxy; B-coordinates</x:v>
      </x:c>
    </x:row>
    <x:row r="150">
      <x:c r="A150" s="17" t="str">
        <x:v>A0146</x:v>
      </x:c>
      <x:c r="B150" s="17" t="str">
        <x:v>GD07</x:v>
      </x:c>
      <x:c r="C150" s="17" t="str">
        <x:v>source</x:v>
      </x:c>
      <x:c r="D150" s="17" t="str">
        <x:v>河源</x:v>
      </x:c>
      <x:c r="E150" s="24" t="n">
        <x:v>115.0577538</x:v>
      </x:c>
      <x:c r="F150" s="24" t="n">
        <x:v>24.1014769</x:v>
      </x:c>
      <x:c r="G150" s="17" t="str">
        <x:v>C20</x:v>
      </x:c>
      <x:c r="H150" s="17" t="str">
        <x:v>collection</x:v>
      </x:c>
      <x:c r="I150" s="17" t="str">
        <x:v>揭阳虚拟回收/检测中心</x:v>
      </x:c>
      <x:c r="J150" s="24" t="n">
        <x:v>116.3680354</x:v>
      </x:c>
      <x:c r="K150" s="24" t="n">
        <x:v>23.553156</x:v>
      </x:c>
      <x:c r="L150" s="21" t="n">
        <x:f>6371*ACOS(MIN(1,COS(F150*PI()/180)*COS(K150*PI()/180)*COS((J150-E150)*PI()/180)+SIN(F150*PI()/180)*SIN(K150*PI()/180)))</x:f>
        <x:v>146.56134098131724</x:v>
      </x:c>
      <x:c r="M150" s="21" t="n">
        <x:f>L150*'情景参数模板'!$D$31</x:f>
        <x:v>175.87360917758068</x:v>
      </x:c>
      <x:c r="N150" s="21" t="n">
        <x:f>IF(C150="source",'情景参数模板'!$D$12,IF(H150="echelon",'情景参数模板'!$D$13,'情景参数模板'!$D$14))</x:f>
        <x:v>0.49</x:v>
      </x:c>
      <x:c r="O150" s="21" t="n">
        <x:f>IF(C150="source",'情景参数模板'!$D$18,IF(H150="echelon",'情景参数模板'!$D$19,'情景参数模板'!$D$20))</x:f>
        <x:v>150</x:v>
      </x:c>
      <x:c r="P150" s="17" t="n">
        <x:f>IF(M150&lt;=O150,1,0)</x:f>
        <x:v>0</x:v>
      </x:c>
      <x:c r="Q150" s="17" t="str">
        <x:v>D-road proxy; B-coordinates</x:v>
      </x:c>
    </x:row>
    <x:row r="151">
      <x:c r="A151" s="17" t="str">
        <x:v>A0147</x:v>
      </x:c>
      <x:c r="B151" s="17" t="str">
        <x:v>GD07</x:v>
      </x:c>
      <x:c r="C151" s="17" t="str">
        <x:v>source</x:v>
      </x:c>
      <x:c r="D151" s="17" t="str">
        <x:v>河源</x:v>
      </x:c>
      <x:c r="E151" s="24" t="n">
        <x:v>115.0577538</x:v>
      </x:c>
      <x:c r="F151" s="24" t="n">
        <x:v>24.1014769</x:v>
      </x:c>
      <x:c r="G151" s="17" t="str">
        <x:v>C21</x:v>
      </x:c>
      <x:c r="H151" s="17" t="str">
        <x:v>collection</x:v>
      </x:c>
      <x:c r="I151" s="17" t="str">
        <x:v>云浮虚拟回收/检测中心</x:v>
      </x:c>
      <x:c r="J151" s="24" t="n">
        <x:v>111.8078586</x:v>
      </x:c>
      <x:c r="K151" s="24" t="n">
        <x:v>22.8546663</x:v>
      </x:c>
      <x:c r="L151" s="21" t="n">
        <x:f>6371*ACOS(MIN(1,COS(F151*PI()/180)*COS(K151*PI()/180)*COS((J151-E151)*PI()/180)+SIN(F151*PI()/180)*SIN(K151*PI()/180)))</x:f>
        <x:v>359.2653796423735</x:v>
      </x:c>
      <x:c r="M151" s="21" t="n">
        <x:f>L151*'情景参数模板'!$D$31</x:f>
        <x:v>431.1184555708482</x:v>
      </x:c>
      <x:c r="N151" s="21" t="n">
        <x:f>IF(C151="source",'情景参数模板'!$D$12,IF(H151="echelon",'情景参数模板'!$D$13,'情景参数模板'!$D$14))</x:f>
        <x:v>0.49</x:v>
      </x:c>
      <x:c r="O151" s="21" t="n">
        <x:f>IF(C151="source",'情景参数模板'!$D$18,IF(H151="echelon",'情景参数模板'!$D$19,'情景参数模板'!$D$20))</x:f>
        <x:v>150</x:v>
      </x:c>
      <x:c r="P151" s="17" t="n">
        <x:f>IF(M151&lt;=O151,1,0)</x:f>
        <x:v>0</x:v>
      </x:c>
      <x:c r="Q151" s="17" t="str">
        <x:v>D-road proxy; B-coordinates</x:v>
      </x:c>
    </x:row>
    <x:row r="152">
      <x:c r="A152" s="17" t="str">
        <x:v>A0148</x:v>
      </x:c>
      <x:c r="B152" s="17" t="str">
        <x:v>GD08</x:v>
      </x:c>
      <x:c r="C152" s="17" t="str">
        <x:v>source</x:v>
      </x:c>
      <x:c r="D152" s="17" t="str">
        <x:v>梅州</x:v>
      </x:c>
      <x:c r="E152" s="24" t="n">
        <x:v>116.1171428</x:v>
      </x:c>
      <x:c r="F152" s="24" t="n">
        <x:v>24.2918414</x:v>
      </x:c>
      <x:c r="G152" s="17" t="str">
        <x:v>C01</x:v>
      </x:c>
      <x:c r="H152" s="17" t="str">
        <x:v>collection</x:v>
      </x:c>
      <x:c r="I152" s="17" t="str">
        <x:v>广州虚拟回收/检测中心</x:v>
      </x:c>
      <x:c r="J152" s="24" t="n">
        <x:v>113.2589581</x:v>
      </x:c>
      <x:c r="K152" s="24" t="n">
        <x:v>23.1288429</x:v>
      </x:c>
      <x:c r="L152" s="21" t="n">
        <x:f>6371*ACOS(MIN(1,COS(F152*PI()/180)*COS(K152*PI()/180)*COS((J152-E152)*PI()/180)+SIN(F152*PI()/180)*SIN(K152*PI()/180)))</x:f>
        <x:v>318.4189220790422</x:v>
      </x:c>
      <x:c r="M152" s="21" t="n">
        <x:f>L152*'情景参数模板'!$D$31</x:f>
        <x:v>382.1027064948506</x:v>
      </x:c>
      <x:c r="N152" s="21" t="n">
        <x:f>IF(C152="source",'情景参数模板'!$D$12,IF(H152="echelon",'情景参数模板'!$D$13,'情景参数模板'!$D$14))</x:f>
        <x:v>0.49</x:v>
      </x:c>
      <x:c r="O152" s="21" t="n">
        <x:f>IF(C152="source",'情景参数模板'!$D$18,IF(H152="echelon",'情景参数模板'!$D$19,'情景参数模板'!$D$20))</x:f>
        <x:v>150</x:v>
      </x:c>
      <x:c r="P152" s="17" t="n">
        <x:f>IF(M152&lt;=O152,1,0)</x:f>
        <x:v>0</x:v>
      </x:c>
      <x:c r="Q152" s="17" t="str">
        <x:v>D-road proxy; B-coordinates</x:v>
      </x:c>
    </x:row>
    <x:row r="153">
      <x:c r="A153" s="17" t="str">
        <x:v>A0149</x:v>
      </x:c>
      <x:c r="B153" s="17" t="str">
        <x:v>GD08</x:v>
      </x:c>
      <x:c r="C153" s="17" t="str">
        <x:v>source</x:v>
      </x:c>
      <x:c r="D153" s="17" t="str">
        <x:v>梅州</x:v>
      </x:c>
      <x:c r="E153" s="24" t="n">
        <x:v>116.1171428</x:v>
      </x:c>
      <x:c r="F153" s="24" t="n">
        <x:v>24.2918414</x:v>
      </x:c>
      <x:c r="G153" s="17" t="str">
        <x:v>C02</x:v>
      </x:c>
      <x:c r="H153" s="17" t="str">
        <x:v>collection</x:v>
      </x:c>
      <x:c r="I153" s="17" t="str">
        <x:v>深圳虚拟回收/检测中心</x:v>
      </x:c>
      <x:c r="J153" s="24" t="n">
        <x:v>114.0545429</x:v>
      </x:c>
      <x:c r="K153" s="24" t="n">
        <x:v>22.5445741</x:v>
      </x:c>
      <x:c r="L153" s="21" t="n">
        <x:f>6371*ACOS(MIN(1,COS(F153*PI()/180)*COS(K153*PI()/180)*COS((J153-E153)*PI()/180)+SIN(F153*PI()/180)*SIN(K153*PI()/180)))</x:f>
        <x:v>286.41624544813754</x:v>
      </x:c>
      <x:c r="M153" s="21" t="n">
        <x:f>L153*'情景参数模板'!$D$31</x:f>
        <x:v>343.699494537765</x:v>
      </x:c>
      <x:c r="N153" s="21" t="n">
        <x:f>IF(C153="source",'情景参数模板'!$D$12,IF(H153="echelon",'情景参数模板'!$D$13,'情景参数模板'!$D$14))</x:f>
        <x:v>0.49</x:v>
      </x:c>
      <x:c r="O153" s="21" t="n">
        <x:f>IF(C153="source",'情景参数模板'!$D$18,IF(H153="echelon",'情景参数模板'!$D$19,'情景参数模板'!$D$20))</x:f>
        <x:v>150</x:v>
      </x:c>
      <x:c r="P153" s="17" t="n">
        <x:f>IF(M153&lt;=O153,1,0)</x:f>
        <x:v>0</x:v>
      </x:c>
      <x:c r="Q153" s="17" t="str">
        <x:v>D-road proxy; B-coordinates</x:v>
      </x:c>
    </x:row>
    <x:row r="154">
      <x:c r="A154" s="17" t="str">
        <x:v>A0150</x:v>
      </x:c>
      <x:c r="B154" s="17" t="str">
        <x:v>GD08</x:v>
      </x:c>
      <x:c r="C154" s="17" t="str">
        <x:v>source</x:v>
      </x:c>
      <x:c r="D154" s="17" t="str">
        <x:v>梅州</x:v>
      </x:c>
      <x:c r="E154" s="24" t="n">
        <x:v>116.1171428</x:v>
      </x:c>
      <x:c r="F154" s="24" t="n">
        <x:v>24.2918414</x:v>
      </x:c>
      <x:c r="G154" s="17" t="str">
        <x:v>C03</x:v>
      </x:c>
      <x:c r="H154" s="17" t="str">
        <x:v>collection</x:v>
      </x:c>
      <x:c r="I154" s="17" t="str">
        <x:v>珠海虚拟回收/检测中心</x:v>
      </x:c>
      <x:c r="J154" s="24" t="n">
        <x:v>113.5721327</x:v>
      </x:c>
      <x:c r="K154" s="24" t="n">
        <x:v>22.273734</x:v>
      </x:c>
      <x:c r="L154" s="21" t="n">
        <x:f>6371*ACOS(MIN(1,COS(F154*PI()/180)*COS(K154*PI()/180)*COS((J154-E154)*PI()/180)+SIN(F154*PI()/180)*SIN(K154*PI()/180)))</x:f>
        <x:v>343.3898243843036</x:v>
      </x:c>
      <x:c r="M154" s="21" t="n">
        <x:f>L154*'情景参数模板'!$D$31</x:f>
        <x:v>412.0677892611643</x:v>
      </x:c>
      <x:c r="N154" s="21" t="n">
        <x:f>IF(C154="source",'情景参数模板'!$D$12,IF(H154="echelon",'情景参数模板'!$D$13,'情景参数模板'!$D$14))</x:f>
        <x:v>0.49</x:v>
      </x:c>
      <x:c r="O154" s="21" t="n">
        <x:f>IF(C154="source",'情景参数模板'!$D$18,IF(H154="echelon",'情景参数模板'!$D$19,'情景参数模板'!$D$20))</x:f>
        <x:v>150</x:v>
      </x:c>
      <x:c r="P154" s="17" t="n">
        <x:f>IF(M154&lt;=O154,1,0)</x:f>
        <x:v>0</x:v>
      </x:c>
      <x:c r="Q154" s="17" t="str">
        <x:v>D-road proxy; B-coordinates</x:v>
      </x:c>
    </x:row>
    <x:row r="155">
      <x:c r="A155" s="17" t="str">
        <x:v>A0151</x:v>
      </x:c>
      <x:c r="B155" s="17" t="str">
        <x:v>GD08</x:v>
      </x:c>
      <x:c r="C155" s="17" t="str">
        <x:v>source</x:v>
      </x:c>
      <x:c r="D155" s="17" t="str">
        <x:v>梅州</x:v>
      </x:c>
      <x:c r="E155" s="24" t="n">
        <x:v>116.1171428</x:v>
      </x:c>
      <x:c r="F155" s="24" t="n">
        <x:v>24.2918414</x:v>
      </x:c>
      <x:c r="G155" s="17" t="str">
        <x:v>C04</x:v>
      </x:c>
      <x:c r="H155" s="17" t="str">
        <x:v>collection</x:v>
      </x:c>
      <x:c r="I155" s="17" t="str">
        <x:v>汕头虚拟回收/检测中心</x:v>
      </x:c>
      <x:c r="J155" s="24" t="n">
        <x:v>116.6775856</x:v>
      </x:c>
      <x:c r="K155" s="24" t="n">
        <x:v>23.3563921</x:v>
      </x:c>
      <x:c r="L155" s="21" t="n">
        <x:f>6371*ACOS(MIN(1,COS(F155*PI()/180)*COS(K155*PI()/180)*COS((J155-E155)*PI()/180)+SIN(F155*PI()/180)*SIN(K155*PI()/180)))</x:f>
        <x:v>118.61450484712725</x:v>
      </x:c>
      <x:c r="M155" s="21" t="n">
        <x:f>L155*'情景参数模板'!$D$31</x:f>
        <x:v>142.3374058165527</x:v>
      </x:c>
      <x:c r="N155" s="21" t="n">
        <x:f>IF(C155="source",'情景参数模板'!$D$12,IF(H155="echelon",'情景参数模板'!$D$13,'情景参数模板'!$D$14))</x:f>
        <x:v>0.49</x:v>
      </x:c>
      <x:c r="O155" s="21" t="n">
        <x:f>IF(C155="source",'情景参数模板'!$D$18,IF(H155="echelon",'情景参数模板'!$D$19,'情景参数模板'!$D$20))</x:f>
        <x:v>150</x:v>
      </x:c>
      <x:c r="P155" s="17" t="n">
        <x:f>IF(M155&lt;=O155,1,0)</x:f>
        <x:v>1</x:v>
      </x:c>
      <x:c r="Q155" s="17" t="str">
        <x:v>D-road proxy; B-coordinates</x:v>
      </x:c>
    </x:row>
    <x:row r="156">
      <x:c r="A156" s="17" t="str">
        <x:v>A0152</x:v>
      </x:c>
      <x:c r="B156" s="17" t="str">
        <x:v>GD08</x:v>
      </x:c>
      <x:c r="C156" s="17" t="str">
        <x:v>source</x:v>
      </x:c>
      <x:c r="D156" s="17" t="str">
        <x:v>梅州</x:v>
      </x:c>
      <x:c r="E156" s="24" t="n">
        <x:v>116.1171428</x:v>
      </x:c>
      <x:c r="F156" s="24" t="n">
        <x:v>24.2918414</x:v>
      </x:c>
      <x:c r="G156" s="17" t="str">
        <x:v>C05</x:v>
      </x:c>
      <x:c r="H156" s="17" t="str">
        <x:v>collection</x:v>
      </x:c>
      <x:c r="I156" s="17" t="str">
        <x:v>佛山虚拟回收/检测中心</x:v>
      </x:c>
      <x:c r="J156" s="24" t="n">
        <x:v>113.1159558</x:v>
      </x:c>
      <x:c r="K156" s="24" t="n">
        <x:v>23.0239788</x:v>
      </x:c>
      <x:c r="L156" s="21" t="n">
        <x:f>6371*ACOS(MIN(1,COS(F156*PI()/180)*COS(K156*PI()/180)*COS((J156-E156)*PI()/180)+SIN(F156*PI()/180)*SIN(K156*PI()/180)))</x:f>
        <x:v>336.6010751478147</x:v>
      </x:c>
      <x:c r="M156" s="21" t="n">
        <x:f>L156*'情景参数模板'!$D$31</x:f>
        <x:v>403.9212901773776</x:v>
      </x:c>
      <x:c r="N156" s="21" t="n">
        <x:f>IF(C156="source",'情景参数模板'!$D$12,IF(H156="echelon",'情景参数模板'!$D$13,'情景参数模板'!$D$14))</x:f>
        <x:v>0.49</x:v>
      </x:c>
      <x:c r="O156" s="21" t="n">
        <x:f>IF(C156="source",'情景参数模板'!$D$18,IF(H156="echelon",'情景参数模板'!$D$19,'情景参数模板'!$D$20))</x:f>
        <x:v>150</x:v>
      </x:c>
      <x:c r="P156" s="17" t="n">
        <x:f>IF(M156&lt;=O156,1,0)</x:f>
        <x:v>0</x:v>
      </x:c>
      <x:c r="Q156" s="17" t="str">
        <x:v>D-road proxy; B-coordinates</x:v>
      </x:c>
    </x:row>
    <x:row r="157">
      <x:c r="A157" s="17" t="str">
        <x:v>A0153</x:v>
      </x:c>
      <x:c r="B157" s="17" t="str">
        <x:v>GD08</x:v>
      </x:c>
      <x:c r="C157" s="17" t="str">
        <x:v>source</x:v>
      </x:c>
      <x:c r="D157" s="17" t="str">
        <x:v>梅州</x:v>
      </x:c>
      <x:c r="E157" s="24" t="n">
        <x:v>116.1171428</x:v>
      </x:c>
      <x:c r="F157" s="24" t="n">
        <x:v>24.2918414</x:v>
      </x:c>
      <x:c r="G157" s="17" t="str">
        <x:v>C06</x:v>
      </x:c>
      <x:c r="H157" s="17" t="str">
        <x:v>collection</x:v>
      </x:c>
      <x:c r="I157" s="17" t="str">
        <x:v>韶关虚拟回收/检测中心</x:v>
      </x:c>
      <x:c r="J157" s="24" t="n">
        <x:v>113.8155263</x:v>
      </x:c>
      <x:c r="K157" s="24" t="n">
        <x:v>24.8309489</x:v>
      </x:c>
      <x:c r="L157" s="21" t="n">
        <x:f>6371*ACOS(MIN(1,COS(F157*PI()/180)*COS(K157*PI()/180)*COS((J157-E157)*PI()/180)+SIN(F157*PI()/180)*SIN(K157*PI()/180)))</x:f>
        <x:v>240.36191880067403</x:v>
      </x:c>
      <x:c r="M157" s="21" t="n">
        <x:f>L157*'情景参数模板'!$D$31</x:f>
        <x:v>288.4343025608088</x:v>
      </x:c>
      <x:c r="N157" s="21" t="n">
        <x:f>IF(C157="source",'情景参数模板'!$D$12,IF(H157="echelon",'情景参数模板'!$D$13,'情景参数模板'!$D$14))</x:f>
        <x:v>0.49</x:v>
      </x:c>
      <x:c r="O157" s="21" t="n">
        <x:f>IF(C157="source",'情景参数模板'!$D$18,IF(H157="echelon",'情景参数模板'!$D$19,'情景参数模板'!$D$20))</x:f>
        <x:v>150</x:v>
      </x:c>
      <x:c r="P157" s="17" t="n">
        <x:f>IF(M157&lt;=O157,1,0)</x:f>
        <x:v>0</x:v>
      </x:c>
      <x:c r="Q157" s="17" t="str">
        <x:v>D-road proxy; B-coordinates</x:v>
      </x:c>
    </x:row>
    <x:row r="158">
      <x:c r="A158" s="17" t="str">
        <x:v>A0154</x:v>
      </x:c>
      <x:c r="B158" s="17" t="str">
        <x:v>GD08</x:v>
      </x:c>
      <x:c r="C158" s="17" t="str">
        <x:v>source</x:v>
      </x:c>
      <x:c r="D158" s="17" t="str">
        <x:v>梅州</x:v>
      </x:c>
      <x:c r="E158" s="24" t="n">
        <x:v>116.1171428</x:v>
      </x:c>
      <x:c r="F158" s="24" t="n">
        <x:v>24.2918414</x:v>
      </x:c>
      <x:c r="G158" s="17" t="str">
        <x:v>C07</x:v>
      </x:c>
      <x:c r="H158" s="17" t="str">
        <x:v>collection</x:v>
      </x:c>
      <x:c r="I158" s="17" t="str">
        <x:v>河源虚拟回收/检测中心</x:v>
      </x:c>
      <x:c r="J158" s="24" t="n">
        <x:v>115.0577538</x:v>
      </x:c>
      <x:c r="K158" s="24" t="n">
        <x:v>24.1014769</x:v>
      </x:c>
      <x:c r="L158" s="21" t="n">
        <x:f>6371*ACOS(MIN(1,COS(F158*PI()/180)*COS(K158*PI()/180)*COS((J158-E158)*PI()/180)+SIN(F158*PI()/180)*SIN(K158*PI()/180)))</x:f>
        <x:v>109.51419631408221</x:v>
      </x:c>
      <x:c r="M158" s="21" t="n">
        <x:f>L158*'情景参数模板'!$D$31</x:f>
        <x:v>131.41703557689866</x:v>
      </x:c>
      <x:c r="N158" s="21" t="n">
        <x:f>IF(C158="source",'情景参数模板'!$D$12,IF(H158="echelon",'情景参数模板'!$D$13,'情景参数模板'!$D$14))</x:f>
        <x:v>0.49</x:v>
      </x:c>
      <x:c r="O158" s="21" t="n">
        <x:f>IF(C158="source",'情景参数模板'!$D$18,IF(H158="echelon",'情景参数模板'!$D$19,'情景参数模板'!$D$20))</x:f>
        <x:v>150</x:v>
      </x:c>
      <x:c r="P158" s="17" t="n">
        <x:f>IF(M158&lt;=O158,1,0)</x:f>
        <x:v>1</x:v>
      </x:c>
      <x:c r="Q158" s="17" t="str">
        <x:v>D-road proxy; B-coordinates</x:v>
      </x:c>
    </x:row>
    <x:row r="159">
      <x:c r="A159" s="17" t="str">
        <x:v>A0155</x:v>
      </x:c>
      <x:c r="B159" s="17" t="str">
        <x:v>GD08</x:v>
      </x:c>
      <x:c r="C159" s="17" t="str">
        <x:v>source</x:v>
      </x:c>
      <x:c r="D159" s="17" t="str">
        <x:v>梅州</x:v>
      </x:c>
      <x:c r="E159" s="24" t="n">
        <x:v>116.1171428</x:v>
      </x:c>
      <x:c r="F159" s="24" t="n">
        <x:v>24.2918414</x:v>
      </x:c>
      <x:c r="G159" s="17" t="str">
        <x:v>C08</x:v>
      </x:c>
      <x:c r="H159" s="17" t="str">
        <x:v>collection</x:v>
      </x:c>
      <x:c r="I159" s="17" t="str">
        <x:v>梅州虚拟回收/检测中心</x:v>
      </x:c>
      <x:c r="J159" s="24" t="n">
        <x:v>116.1171428</x:v>
      </x:c>
      <x:c r="K159" s="24" t="n">
        <x:v>24.2918414</x:v>
      </x:c>
      <x:c r="L159" s="21" t="n">
        <x:f>6371*ACOS(MIN(1,COS(F159*PI()/180)*COS(K159*PI()/180)*COS((J159-E159)*PI()/180)+SIN(F159*PI()/180)*SIN(K159*PI()/180)))</x:f>
        <x:v>0</x:v>
      </x:c>
      <x:c r="M159" s="21" t="n">
        <x:f>L159*'情景参数模板'!$D$31</x:f>
        <x:v>0</x:v>
      </x:c>
      <x:c r="N159" s="21" t="n">
        <x:f>IF(C159="source",'情景参数模板'!$D$12,IF(H159="echelon",'情景参数模板'!$D$13,'情景参数模板'!$D$14))</x:f>
        <x:v>0.49</x:v>
      </x:c>
      <x:c r="O159" s="21" t="n">
        <x:f>IF(C159="source",'情景参数模板'!$D$18,IF(H159="echelon",'情景参数模板'!$D$19,'情景参数模板'!$D$20))</x:f>
        <x:v>150</x:v>
      </x:c>
      <x:c r="P159" s="17" t="n">
        <x:f>IF(M159&lt;=O159,1,0)</x:f>
        <x:v>1</x:v>
      </x:c>
      <x:c r="Q159" s="17" t="str">
        <x:v>D-road proxy; B-coordinates</x:v>
      </x:c>
    </x:row>
    <x:row r="160">
      <x:c r="A160" s="17" t="str">
        <x:v>A0156</x:v>
      </x:c>
      <x:c r="B160" s="17" t="str">
        <x:v>GD08</x:v>
      </x:c>
      <x:c r="C160" s="17" t="str">
        <x:v>source</x:v>
      </x:c>
      <x:c r="D160" s="17" t="str">
        <x:v>梅州</x:v>
      </x:c>
      <x:c r="E160" s="24" t="n">
        <x:v>116.1171428</x:v>
      </x:c>
      <x:c r="F160" s="24" t="n">
        <x:v>24.2918414</x:v>
      </x:c>
      <x:c r="G160" s="17" t="str">
        <x:v>C09</x:v>
      </x:c>
      <x:c r="H160" s="17" t="str">
        <x:v>collection</x:v>
      </x:c>
      <x:c r="I160" s="17" t="str">
        <x:v>惠州虚拟回收/检测中心</x:v>
      </x:c>
      <x:c r="J160" s="24" t="n">
        <x:v>114.4127007</x:v>
      </x:c>
      <x:c r="K160" s="24" t="n">
        <x:v>23.1125153</x:v>
      </x:c>
      <x:c r="L160" s="21" t="n">
        <x:f>6371*ACOS(MIN(1,COS(F160*PI()/180)*COS(K160*PI()/180)*COS((J160-E160)*PI()/180)+SIN(F160*PI()/180)*SIN(K160*PI()/180)))</x:f>
        <x:v>217.50845727097408</x:v>
      </x:c>
      <x:c r="M160" s="21" t="n">
        <x:f>L160*'情景参数模板'!$D$31</x:f>
        <x:v>261.0101487251689</x:v>
      </x:c>
      <x:c r="N160" s="21" t="n">
        <x:f>IF(C160="source",'情景参数模板'!$D$12,IF(H160="echelon",'情景参数模板'!$D$13,'情景参数模板'!$D$14))</x:f>
        <x:v>0.49</x:v>
      </x:c>
      <x:c r="O160" s="21" t="n">
        <x:f>IF(C160="source",'情景参数模板'!$D$18,IF(H160="echelon",'情景参数模板'!$D$19,'情景参数模板'!$D$20))</x:f>
        <x:v>150</x:v>
      </x:c>
      <x:c r="P160" s="17" t="n">
        <x:f>IF(M160&lt;=O160,1,0)</x:f>
        <x:v>0</x:v>
      </x:c>
      <x:c r="Q160" s="17" t="str">
        <x:v>D-road proxy; B-coordinates</x:v>
      </x:c>
    </x:row>
    <x:row r="161">
      <x:c r="A161" s="17" t="str">
        <x:v>A0157</x:v>
      </x:c>
      <x:c r="B161" s="17" t="str">
        <x:v>GD08</x:v>
      </x:c>
      <x:c r="C161" s="17" t="str">
        <x:v>source</x:v>
      </x:c>
      <x:c r="D161" s="17" t="str">
        <x:v>梅州</x:v>
      </x:c>
      <x:c r="E161" s="24" t="n">
        <x:v>116.1171428</x:v>
      </x:c>
      <x:c r="F161" s="24" t="n">
        <x:v>24.2918414</x:v>
      </x:c>
      <x:c r="G161" s="17" t="str">
        <x:v>C10</x:v>
      </x:c>
      <x:c r="H161" s="17" t="str">
        <x:v>collection</x:v>
      </x:c>
      <x:c r="I161" s="17" t="str">
        <x:v>汕尾虚拟回收/检测中心</x:v>
      </x:c>
      <x:c r="J161" s="24" t="n">
        <x:v>115.5099937</x:v>
      </x:c>
      <x:c r="K161" s="24" t="n">
        <x:v>23.0123639</x:v>
      </x:c>
      <x:c r="L161" s="21" t="n">
        <x:f>6371*ACOS(MIN(1,COS(F161*PI()/180)*COS(K161*PI()/180)*COS((J161-E161)*PI()/180)+SIN(F161*PI()/180)*SIN(K161*PI()/180)))</x:f>
        <x:v>155.1295576754154</x:v>
      </x:c>
      <x:c r="M161" s="21" t="n">
        <x:f>L161*'情景参数模板'!$D$31</x:f>
        <x:v>186.1554692104985</x:v>
      </x:c>
      <x:c r="N161" s="21" t="n">
        <x:f>IF(C161="source",'情景参数模板'!$D$12,IF(H161="echelon",'情景参数模板'!$D$13,'情景参数模板'!$D$14))</x:f>
        <x:v>0.49</x:v>
      </x:c>
      <x:c r="O161" s="21" t="n">
        <x:f>IF(C161="source",'情景参数模板'!$D$18,IF(H161="echelon",'情景参数模板'!$D$19,'情景参数模板'!$D$20))</x:f>
        <x:v>150</x:v>
      </x:c>
      <x:c r="P161" s="17" t="n">
        <x:f>IF(M161&lt;=O161,1,0)</x:f>
        <x:v>0</x:v>
      </x:c>
      <x:c r="Q161" s="17" t="str">
        <x:v>D-road proxy; B-coordinates</x:v>
      </x:c>
    </x:row>
    <x:row r="162">
      <x:c r="A162" s="17" t="str">
        <x:v>A0158</x:v>
      </x:c>
      <x:c r="B162" s="17" t="str">
        <x:v>GD08</x:v>
      </x:c>
      <x:c r="C162" s="17" t="str">
        <x:v>source</x:v>
      </x:c>
      <x:c r="D162" s="17" t="str">
        <x:v>梅州</x:v>
      </x:c>
      <x:c r="E162" s="24" t="n">
        <x:v>116.1171428</x:v>
      </x:c>
      <x:c r="F162" s="24" t="n">
        <x:v>24.2918414</x:v>
      </x:c>
      <x:c r="G162" s="17" t="str">
        <x:v>C11</x:v>
      </x:c>
      <x:c r="H162" s="17" t="str">
        <x:v>collection</x:v>
      </x:c>
      <x:c r="I162" s="17" t="str">
        <x:v>东莞虚拟回收/检测中心</x:v>
      </x:c>
      <x:c r="J162" s="24" t="n">
        <x:v>113.7452332</x:v>
      </x:c>
      <x:c r="K162" s="24" t="n">
        <x:v>23.0183568</x:v>
      </x:c>
      <x:c r="L162" s="21" t="n">
        <x:f>6371*ACOS(MIN(1,COS(F162*PI()/180)*COS(K162*PI()/180)*COS((J162-E162)*PI()/180)+SIN(F162*PI()/180)*SIN(K162*PI()/180)))</x:f>
        <x:v>280.0171263652132</x:v>
      </x:c>
      <x:c r="M162" s="21" t="n">
        <x:f>L162*'情景参数模板'!$D$31</x:f>
        <x:v>336.0205516382558</x:v>
      </x:c>
      <x:c r="N162" s="21" t="n">
        <x:f>IF(C162="source",'情景参数模板'!$D$12,IF(H162="echelon",'情景参数模板'!$D$13,'情景参数模板'!$D$14))</x:f>
        <x:v>0.49</x:v>
      </x:c>
      <x:c r="O162" s="21" t="n">
        <x:f>IF(C162="source",'情景参数模板'!$D$18,IF(H162="echelon",'情景参数模板'!$D$19,'情景参数模板'!$D$20))</x:f>
        <x:v>150</x:v>
      </x:c>
      <x:c r="P162" s="17" t="n">
        <x:f>IF(M162&lt;=O162,1,0)</x:f>
        <x:v>0</x:v>
      </x:c>
      <x:c r="Q162" s="17" t="str">
        <x:v>D-road proxy; B-coordinates</x:v>
      </x:c>
    </x:row>
    <x:row r="163">
      <x:c r="A163" s="17" t="str">
        <x:v>A0159</x:v>
      </x:c>
      <x:c r="B163" s="17" t="str">
        <x:v>GD08</x:v>
      </x:c>
      <x:c r="C163" s="17" t="str">
        <x:v>source</x:v>
      </x:c>
      <x:c r="D163" s="17" t="str">
        <x:v>梅州</x:v>
      </x:c>
      <x:c r="E163" s="24" t="n">
        <x:v>116.1171428</x:v>
      </x:c>
      <x:c r="F163" s="24" t="n">
        <x:v>24.2918414</x:v>
      </x:c>
      <x:c r="G163" s="17" t="str">
        <x:v>C12</x:v>
      </x:c>
      <x:c r="H163" s="17" t="str">
        <x:v>collection</x:v>
      </x:c>
      <x:c r="I163" s="17" t="str">
        <x:v>中山虚拟回收/检测中心</x:v>
      </x:c>
      <x:c r="J163" s="24" t="n">
        <x:v>113.3872302</x:v>
      </x:c>
      <x:c r="K163" s="24" t="n">
        <x:v>22.5197073</x:v>
      </x:c>
      <x:c r="L163" s="21" t="n">
        <x:f>6371*ACOS(MIN(1,COS(F163*PI()/180)*COS(K163*PI()/180)*COS((J163-E163)*PI()/180)+SIN(F163*PI()/180)*SIN(K163*PI()/180)))</x:f>
        <x:v>341.20578199622616</x:v>
      </x:c>
      <x:c r="M163" s="21" t="n">
        <x:f>L163*'情景参数模板'!$D$31</x:f>
        <x:v>409.44693839547136</x:v>
      </x:c>
      <x:c r="N163" s="21" t="n">
        <x:f>IF(C163="source",'情景参数模板'!$D$12,IF(H163="echelon",'情景参数模板'!$D$13,'情景参数模板'!$D$14))</x:f>
        <x:v>0.49</x:v>
      </x:c>
      <x:c r="O163" s="21" t="n">
        <x:f>IF(C163="source",'情景参数模板'!$D$18,IF(H163="echelon",'情景参数模板'!$D$19,'情景参数模板'!$D$20))</x:f>
        <x:v>150</x:v>
      </x:c>
      <x:c r="P163" s="17" t="n">
        <x:f>IF(M163&lt;=O163,1,0)</x:f>
        <x:v>0</x:v>
      </x:c>
      <x:c r="Q163" s="17" t="str">
        <x:v>D-road proxy; B-coordinates</x:v>
      </x:c>
    </x:row>
    <x:row r="164">
      <x:c r="A164" s="17" t="str">
        <x:v>A0160</x:v>
      </x:c>
      <x:c r="B164" s="17" t="str">
        <x:v>GD08</x:v>
      </x:c>
      <x:c r="C164" s="17" t="str">
        <x:v>source</x:v>
      </x:c>
      <x:c r="D164" s="17" t="str">
        <x:v>梅州</x:v>
      </x:c>
      <x:c r="E164" s="24" t="n">
        <x:v>116.1171428</x:v>
      </x:c>
      <x:c r="F164" s="24" t="n">
        <x:v>24.2918414</x:v>
      </x:c>
      <x:c r="G164" s="17" t="str">
        <x:v>C13</x:v>
      </x:c>
      <x:c r="H164" s="17" t="str">
        <x:v>collection</x:v>
      </x:c>
      <x:c r="I164" s="17" t="str">
        <x:v>江门虚拟回收/检测中心</x:v>
      </x:c>
      <x:c r="J164" s="24" t="n">
        <x:v>113.0761073</x:v>
      </x:c>
      <x:c r="K164" s="24" t="n">
        <x:v>22.5816619</x:v>
      </x:c>
      <x:c r="L164" s="21" t="n">
        <x:f>6371*ACOS(MIN(1,COS(F164*PI()/180)*COS(K164*PI()/180)*COS((J164-E164)*PI()/180)+SIN(F164*PI()/180)*SIN(K164*PI()/180)))</x:f>
        <x:v>363.8717509049327</x:v>
      </x:c>
      <x:c r="M164" s="21" t="n">
        <x:f>L164*'情景参数模板'!$D$31</x:f>
        <x:v>436.6461010859192</x:v>
      </x:c>
      <x:c r="N164" s="21" t="n">
        <x:f>IF(C164="source",'情景参数模板'!$D$12,IF(H164="echelon",'情景参数模板'!$D$13,'情景参数模板'!$D$14))</x:f>
        <x:v>0.49</x:v>
      </x:c>
      <x:c r="O164" s="21" t="n">
        <x:f>IF(C164="source",'情景参数模板'!$D$18,IF(H164="echelon",'情景参数模板'!$D$19,'情景参数模板'!$D$20))</x:f>
        <x:v>150</x:v>
      </x:c>
      <x:c r="P164" s="17" t="n">
        <x:f>IF(M164&lt;=O164,1,0)</x:f>
        <x:v>0</x:v>
      </x:c>
      <x:c r="Q164" s="17" t="str">
        <x:v>D-road proxy; B-coordinates</x:v>
      </x:c>
    </x:row>
    <x:row r="165">
      <x:c r="A165" s="17" t="str">
        <x:v>A0161</x:v>
      </x:c>
      <x:c r="B165" s="17" t="str">
        <x:v>GD08</x:v>
      </x:c>
      <x:c r="C165" s="17" t="str">
        <x:v>source</x:v>
      </x:c>
      <x:c r="D165" s="17" t="str">
        <x:v>梅州</x:v>
      </x:c>
      <x:c r="E165" s="24" t="n">
        <x:v>116.1171428</x:v>
      </x:c>
      <x:c r="F165" s="24" t="n">
        <x:v>24.2918414</x:v>
      </x:c>
      <x:c r="G165" s="17" t="str">
        <x:v>C14</x:v>
      </x:c>
      <x:c r="H165" s="17" t="str">
        <x:v>collection</x:v>
      </x:c>
      <x:c r="I165" s="17" t="str">
        <x:v>阳江虚拟回收/检测中心</x:v>
      </x:c>
      <x:c r="J165" s="24" t="n">
        <x:v>111.7831393</x:v>
      </x:c>
      <x:c r="K165" s="24" t="n">
        <x:v>22.0958223</x:v>
      </x:c>
      <x:c r="L165" s="21" t="n">
        <x:f>6371*ACOS(MIN(1,COS(F165*PI()/180)*COS(K165*PI()/180)*COS((J165-E165)*PI()/180)+SIN(F165*PI()/180)*SIN(K165*PI()/180)))</x:f>
        <x:v>505.7637863870429</x:v>
      </x:c>
      <x:c r="M165" s="21" t="n">
        <x:f>L165*'情景参数模板'!$D$31</x:f>
        <x:v>606.9165436644514</x:v>
      </x:c>
      <x:c r="N165" s="21" t="n">
        <x:f>IF(C165="source",'情景参数模板'!$D$12,IF(H165="echelon",'情景参数模板'!$D$13,'情景参数模板'!$D$14))</x:f>
        <x:v>0.49</x:v>
      </x:c>
      <x:c r="O165" s="21" t="n">
        <x:f>IF(C165="source",'情景参数模板'!$D$18,IF(H165="echelon",'情景参数模板'!$D$19,'情景参数模板'!$D$20))</x:f>
        <x:v>150</x:v>
      </x:c>
      <x:c r="P165" s="17" t="n">
        <x:f>IF(M165&lt;=O165,1,0)</x:f>
        <x:v>0</x:v>
      </x:c>
      <x:c r="Q165" s="17" t="str">
        <x:v>D-road proxy; B-coordinates</x:v>
      </x:c>
    </x:row>
    <x:row r="166">
      <x:c r="A166" s="17" t="str">
        <x:v>A0162</x:v>
      </x:c>
      <x:c r="B166" s="17" t="str">
        <x:v>GD08</x:v>
      </x:c>
      <x:c r="C166" s="17" t="str">
        <x:v>source</x:v>
      </x:c>
      <x:c r="D166" s="17" t="str">
        <x:v>梅州</x:v>
      </x:c>
      <x:c r="E166" s="24" t="n">
        <x:v>116.1171428</x:v>
      </x:c>
      <x:c r="F166" s="24" t="n">
        <x:v>24.2918414</x:v>
      </x:c>
      <x:c r="G166" s="17" t="str">
        <x:v>C15</x:v>
      </x:c>
      <x:c r="H166" s="17" t="str">
        <x:v>collection</x:v>
      </x:c>
      <x:c r="I166" s="17" t="str">
        <x:v>湛江虚拟回收/检测中心</x:v>
      </x:c>
      <x:c r="J166" s="24" t="n">
        <x:v>110.3548318</x:v>
      </x:c>
      <x:c r="K166" s="24" t="n">
        <x:v>21.2737079</x:v>
      </x:c>
      <x:c r="L166" s="21" t="n">
        <x:f>6371*ACOS(MIN(1,COS(F166*PI()/180)*COS(K166*PI()/180)*COS((J166-E166)*PI()/180)+SIN(F166*PI()/180)*SIN(K166*PI()/180)))</x:f>
        <x:v>679.2973545741916</x:v>
      </x:c>
      <x:c r="M166" s="21" t="n">
        <x:f>L166*'情景参数模板'!$D$31</x:f>
        <x:v>815.1568254890299</x:v>
      </x:c>
      <x:c r="N166" s="21" t="n">
        <x:f>IF(C166="source",'情景参数模板'!$D$12,IF(H166="echelon",'情景参数模板'!$D$13,'情景参数模板'!$D$14))</x:f>
        <x:v>0.49</x:v>
      </x:c>
      <x:c r="O166" s="21" t="n">
        <x:f>IF(C166="source",'情景参数模板'!$D$18,IF(H166="echelon",'情景参数模板'!$D$19,'情景参数模板'!$D$20))</x:f>
        <x:v>150</x:v>
      </x:c>
      <x:c r="P166" s="17" t="n">
        <x:f>IF(M166&lt;=O166,1,0)</x:f>
        <x:v>0</x:v>
      </x:c>
      <x:c r="Q166" s="17" t="str">
        <x:v>D-road proxy; B-coordinates</x:v>
      </x:c>
    </x:row>
    <x:row r="167">
      <x:c r="A167" s="17" t="str">
        <x:v>A0163</x:v>
      </x:c>
      <x:c r="B167" s="17" t="str">
        <x:v>GD08</x:v>
      </x:c>
      <x:c r="C167" s="17" t="str">
        <x:v>source</x:v>
      </x:c>
      <x:c r="D167" s="17" t="str">
        <x:v>梅州</x:v>
      </x:c>
      <x:c r="E167" s="24" t="n">
        <x:v>116.1171428</x:v>
      </x:c>
      <x:c r="F167" s="24" t="n">
        <x:v>24.2918414</x:v>
      </x:c>
      <x:c r="G167" s="17" t="str">
        <x:v>C16</x:v>
      </x:c>
      <x:c r="H167" s="17" t="str">
        <x:v>collection</x:v>
      </x:c>
      <x:c r="I167" s="17" t="str">
        <x:v>茂名虚拟回收/检测中心</x:v>
      </x:c>
      <x:c r="J167" s="24" t="n">
        <x:v>110.9209511</x:v>
      </x:c>
      <x:c r="K167" s="24" t="n">
        <x:v>21.6656961</x:v>
      </x:c>
      <x:c r="L167" s="21" t="n">
        <x:f>6371*ACOS(MIN(1,COS(F167*PI()/180)*COS(K167*PI()/180)*COS((J167-E167)*PI()/180)+SIN(F167*PI()/180)*SIN(K167*PI()/180)))</x:f>
        <x:v>606.7362765416557</x:v>
      </x:c>
      <x:c r="M167" s="21" t="n">
        <x:f>L167*'情景参数模板'!$D$31</x:f>
        <x:v>728.0835318499868</x:v>
      </x:c>
      <x:c r="N167" s="21" t="n">
        <x:f>IF(C167="source",'情景参数模板'!$D$12,IF(H167="echelon",'情景参数模板'!$D$13,'情景参数模板'!$D$14))</x:f>
        <x:v>0.49</x:v>
      </x:c>
      <x:c r="O167" s="21" t="n">
        <x:f>IF(C167="source",'情景参数模板'!$D$18,IF(H167="echelon",'情景参数模板'!$D$19,'情景参数模板'!$D$20))</x:f>
        <x:v>150</x:v>
      </x:c>
      <x:c r="P167" s="17" t="n">
        <x:f>IF(M167&lt;=O167,1,0)</x:f>
        <x:v>0</x:v>
      </x:c>
      <x:c r="Q167" s="17" t="str">
        <x:v>D-road proxy; B-coordinates</x:v>
      </x:c>
    </x:row>
    <x:row r="168">
      <x:c r="A168" s="17" t="str">
        <x:v>A0164</x:v>
      </x:c>
      <x:c r="B168" s="17" t="str">
        <x:v>GD08</x:v>
      </x:c>
      <x:c r="C168" s="17" t="str">
        <x:v>source</x:v>
      </x:c>
      <x:c r="D168" s="17" t="str">
        <x:v>梅州</x:v>
      </x:c>
      <x:c r="E168" s="24" t="n">
        <x:v>116.1171428</x:v>
      </x:c>
      <x:c r="F168" s="24" t="n">
        <x:v>24.2918414</x:v>
      </x:c>
      <x:c r="G168" s="17" t="str">
        <x:v>C17</x:v>
      </x:c>
      <x:c r="H168" s="17" t="str">
        <x:v>collection</x:v>
      </x:c>
      <x:c r="I168" s="17" t="str">
        <x:v>肇庆虚拟回收/检测中心</x:v>
      </x:c>
      <x:c r="J168" s="24" t="n">
        <x:v>112.4603629</x:v>
      </x:c>
      <x:c r="K168" s="24" t="n">
        <x:v>23.0501661</x:v>
      </x:c>
      <x:c r="L168" s="21" t="n">
        <x:f>6371*ACOS(MIN(1,COS(F168*PI()/180)*COS(K168*PI()/180)*COS((J168-E168)*PI()/180)+SIN(F168*PI()/180)*SIN(K168*PI()/180)))</x:f>
        <x:v>397.15515814756486</x:v>
      </x:c>
      <x:c r="M168" s="21" t="n">
        <x:f>L168*'情景参数模板'!$D$31</x:f>
        <x:v>476.58618977707783</x:v>
      </x:c>
      <x:c r="N168" s="21" t="n">
        <x:f>IF(C168="source",'情景参数模板'!$D$12,IF(H168="echelon",'情景参数模板'!$D$13,'情景参数模板'!$D$14))</x:f>
        <x:v>0.49</x:v>
      </x:c>
      <x:c r="O168" s="21" t="n">
        <x:f>IF(C168="source",'情景参数模板'!$D$18,IF(H168="echelon",'情景参数模板'!$D$19,'情景参数模板'!$D$20))</x:f>
        <x:v>150</x:v>
      </x:c>
      <x:c r="P168" s="17" t="n">
        <x:f>IF(M168&lt;=O168,1,0)</x:f>
        <x:v>0</x:v>
      </x:c>
      <x:c r="Q168" s="17" t="str">
        <x:v>D-road proxy; B-coordinates</x:v>
      </x:c>
    </x:row>
    <x:row r="169">
      <x:c r="A169" s="17" t="str">
        <x:v>A0165</x:v>
      </x:c>
      <x:c r="B169" s="17" t="str">
        <x:v>GD08</x:v>
      </x:c>
      <x:c r="C169" s="17" t="str">
        <x:v>source</x:v>
      </x:c>
      <x:c r="D169" s="17" t="str">
        <x:v>梅州</x:v>
      </x:c>
      <x:c r="E169" s="24" t="n">
        <x:v>116.1171428</x:v>
      </x:c>
      <x:c r="F169" s="24" t="n">
        <x:v>24.2918414</x:v>
      </x:c>
      <x:c r="G169" s="17" t="str">
        <x:v>C18</x:v>
      </x:c>
      <x:c r="H169" s="17" t="str">
        <x:v>collection</x:v>
      </x:c>
      <x:c r="I169" s="17" t="str">
        <x:v>清远虚拟回收/检测中心</x:v>
      </x:c>
      <x:c r="J169" s="24" t="n">
        <x:v>113.0505994</x:v>
      </x:c>
      <x:c r="K169" s="24" t="n">
        <x:v>23.6832984</x:v>
      </x:c>
      <x:c r="L169" s="21" t="n">
        <x:f>6371*ACOS(MIN(1,COS(F169*PI()/180)*COS(K169*PI()/180)*COS((J169-E169)*PI()/180)+SIN(F169*PI()/180)*SIN(K169*PI()/180)))</x:f>
        <x:v>318.7903486527325</x:v>
      </x:c>
      <x:c r="M169" s="21" t="n">
        <x:f>L169*'情景参数模板'!$D$31</x:f>
        <x:v>382.548418383279</x:v>
      </x:c>
      <x:c r="N169" s="21" t="n">
        <x:f>IF(C169="source",'情景参数模板'!$D$12,IF(H169="echelon",'情景参数模板'!$D$13,'情景参数模板'!$D$14))</x:f>
        <x:v>0.49</x:v>
      </x:c>
      <x:c r="O169" s="21" t="n">
        <x:f>IF(C169="source",'情景参数模板'!$D$18,IF(H169="echelon",'情景参数模板'!$D$19,'情景参数模板'!$D$20))</x:f>
        <x:v>150</x:v>
      </x:c>
      <x:c r="P169" s="17" t="n">
        <x:f>IF(M169&lt;=O169,1,0)</x:f>
        <x:v>0</x:v>
      </x:c>
      <x:c r="Q169" s="17" t="str">
        <x:v>D-road proxy; B-coordinates</x:v>
      </x:c>
    </x:row>
    <x:row r="170">
      <x:c r="A170" s="17" t="str">
        <x:v>A0166</x:v>
      </x:c>
      <x:c r="B170" s="17" t="str">
        <x:v>GD08</x:v>
      </x:c>
      <x:c r="C170" s="17" t="str">
        <x:v>source</x:v>
      </x:c>
      <x:c r="D170" s="17" t="str">
        <x:v>梅州</x:v>
      </x:c>
      <x:c r="E170" s="24" t="n">
        <x:v>116.1171428</x:v>
      </x:c>
      <x:c r="F170" s="24" t="n">
        <x:v>24.2918414</x:v>
      </x:c>
      <x:c r="G170" s="17" t="str">
        <x:v>C19</x:v>
      </x:c>
      <x:c r="H170" s="17" t="str">
        <x:v>collection</x:v>
      </x:c>
      <x:c r="I170" s="17" t="str">
        <x:v>潮州虚拟回收/检测中心</x:v>
      </x:c>
      <x:c r="J170" s="24" t="n">
        <x:v>116.6204223</x:v>
      </x:c>
      <x:c r="K170" s="24" t="n">
        <x:v>23.656593</x:v>
      </x:c>
      <x:c r="L170" s="21" t="n">
        <x:f>6371*ACOS(MIN(1,COS(F170*PI()/180)*COS(K170*PI()/180)*COS((J170-E170)*PI()/180)+SIN(F170*PI()/180)*SIN(K170*PI()/180)))</x:f>
        <x:v>87.2018364205848</x:v>
      </x:c>
      <x:c r="M170" s="21" t="n">
        <x:f>L170*'情景参数模板'!$D$31</x:f>
        <x:v>104.64220370470176</x:v>
      </x:c>
      <x:c r="N170" s="21" t="n">
        <x:f>IF(C170="source",'情景参数模板'!$D$12,IF(H170="echelon",'情景参数模板'!$D$13,'情景参数模板'!$D$14))</x:f>
        <x:v>0.49</x:v>
      </x:c>
      <x:c r="O170" s="21" t="n">
        <x:f>IF(C170="source",'情景参数模板'!$D$18,IF(H170="echelon",'情景参数模板'!$D$19,'情景参数模板'!$D$20))</x:f>
        <x:v>150</x:v>
      </x:c>
      <x:c r="P170" s="17" t="n">
        <x:f>IF(M170&lt;=O170,1,0)</x:f>
        <x:v>1</x:v>
      </x:c>
      <x:c r="Q170" s="17" t="str">
        <x:v>D-road proxy; B-coordinates</x:v>
      </x:c>
    </x:row>
    <x:row r="171">
      <x:c r="A171" s="17" t="str">
        <x:v>A0167</x:v>
      </x:c>
      <x:c r="B171" s="17" t="str">
        <x:v>GD08</x:v>
      </x:c>
      <x:c r="C171" s="17" t="str">
        <x:v>source</x:v>
      </x:c>
      <x:c r="D171" s="17" t="str">
        <x:v>梅州</x:v>
      </x:c>
      <x:c r="E171" s="24" t="n">
        <x:v>116.1171428</x:v>
      </x:c>
      <x:c r="F171" s="24" t="n">
        <x:v>24.2918414</x:v>
      </x:c>
      <x:c r="G171" s="17" t="str">
        <x:v>C20</x:v>
      </x:c>
      <x:c r="H171" s="17" t="str">
        <x:v>collection</x:v>
      </x:c>
      <x:c r="I171" s="17" t="str">
        <x:v>揭阳虚拟回收/检测中心</x:v>
      </x:c>
      <x:c r="J171" s="24" t="n">
        <x:v>116.3680354</x:v>
      </x:c>
      <x:c r="K171" s="24" t="n">
        <x:v>23.553156</x:v>
      </x:c>
      <x:c r="L171" s="21" t="n">
        <x:f>6371*ACOS(MIN(1,COS(F171*PI()/180)*COS(K171*PI()/180)*COS((J171-E171)*PI()/180)+SIN(F171*PI()/180)*SIN(K171*PI()/180)))</x:f>
        <x:v>86.00563571444273</x:v>
      </x:c>
      <x:c r="M171" s="21" t="n">
        <x:f>L171*'情景参数模板'!$D$31</x:f>
        <x:v>103.20676285733127</x:v>
      </x:c>
      <x:c r="N171" s="21" t="n">
        <x:f>IF(C171="source",'情景参数模板'!$D$12,IF(H171="echelon",'情景参数模板'!$D$13,'情景参数模板'!$D$14))</x:f>
        <x:v>0.49</x:v>
      </x:c>
      <x:c r="O171" s="21" t="n">
        <x:f>IF(C171="source",'情景参数模板'!$D$18,IF(H171="echelon",'情景参数模板'!$D$19,'情景参数模板'!$D$20))</x:f>
        <x:v>150</x:v>
      </x:c>
      <x:c r="P171" s="17" t="n">
        <x:f>IF(M171&lt;=O171,1,0)</x:f>
        <x:v>1</x:v>
      </x:c>
      <x:c r="Q171" s="17" t="str">
        <x:v>D-road proxy; B-coordinates</x:v>
      </x:c>
    </x:row>
    <x:row r="172">
      <x:c r="A172" s="17" t="str">
        <x:v>A0168</x:v>
      </x:c>
      <x:c r="B172" s="17" t="str">
        <x:v>GD08</x:v>
      </x:c>
      <x:c r="C172" s="17" t="str">
        <x:v>source</x:v>
      </x:c>
      <x:c r="D172" s="17" t="str">
        <x:v>梅州</x:v>
      </x:c>
      <x:c r="E172" s="24" t="n">
        <x:v>116.1171428</x:v>
      </x:c>
      <x:c r="F172" s="24" t="n">
        <x:v>24.2918414</x:v>
      </x:c>
      <x:c r="G172" s="17" t="str">
        <x:v>C21</x:v>
      </x:c>
      <x:c r="H172" s="17" t="str">
        <x:v>collection</x:v>
      </x:c>
      <x:c r="I172" s="17" t="str">
        <x:v>云浮虚拟回收/检测中心</x:v>
      </x:c>
      <x:c r="J172" s="24" t="n">
        <x:v>111.8078586</x:v>
      </x:c>
      <x:c r="K172" s="24" t="n">
        <x:v>22.8546663</x:v>
      </x:c>
      <x:c r="L172" s="21" t="n">
        <x:f>6371*ACOS(MIN(1,COS(F172*PI()/180)*COS(K172*PI()/180)*COS((J172-E172)*PI()/180)+SIN(F172*PI()/180)*SIN(K172*PI()/180)))</x:f>
        <x:v>467.3220230256885</x:v>
      </x:c>
      <x:c r="M172" s="21" t="n">
        <x:f>L172*'情景参数模板'!$D$31</x:f>
        <x:v>560.7864276308262</x:v>
      </x:c>
      <x:c r="N172" s="21" t="n">
        <x:f>IF(C172="source",'情景参数模板'!$D$12,IF(H172="echelon",'情景参数模板'!$D$13,'情景参数模板'!$D$14))</x:f>
        <x:v>0.49</x:v>
      </x:c>
      <x:c r="O172" s="21" t="n">
        <x:f>IF(C172="source",'情景参数模板'!$D$18,IF(H172="echelon",'情景参数模板'!$D$19,'情景参数模板'!$D$20))</x:f>
        <x:v>150</x:v>
      </x:c>
      <x:c r="P172" s="17" t="n">
        <x:f>IF(M172&lt;=O172,1,0)</x:f>
        <x:v>0</x:v>
      </x:c>
      <x:c r="Q172" s="17" t="str">
        <x:v>D-road proxy; B-coordinates</x:v>
      </x:c>
    </x:row>
    <x:row r="173">
      <x:c r="A173" s="17" t="str">
        <x:v>A0169</x:v>
      </x:c>
      <x:c r="B173" s="17" t="str">
        <x:v>GD09</x:v>
      </x:c>
      <x:c r="C173" s="17" t="str">
        <x:v>source</x:v>
      </x:c>
      <x:c r="D173" s="17" t="str">
        <x:v>惠州</x:v>
      </x:c>
      <x:c r="E173" s="24" t="n">
        <x:v>114.4127007</x:v>
      </x:c>
      <x:c r="F173" s="24" t="n">
        <x:v>23.1125153</x:v>
      </x:c>
      <x:c r="G173" s="17" t="str">
        <x:v>C01</x:v>
      </x:c>
      <x:c r="H173" s="17" t="str">
        <x:v>collection</x:v>
      </x:c>
      <x:c r="I173" s="17" t="str">
        <x:v>广州虚拟回收/检测中心</x:v>
      </x:c>
      <x:c r="J173" s="24" t="n">
        <x:v>113.2589581</x:v>
      </x:c>
      <x:c r="K173" s="24" t="n">
        <x:v>23.1288429</x:v>
      </x:c>
      <x:c r="L173" s="21" t="n">
        <x:f>6371*ACOS(MIN(1,COS(F173*PI()/180)*COS(K173*PI()/180)*COS((J173-E173)*PI()/180)+SIN(F173*PI()/180)*SIN(K173*PI()/180)))</x:f>
        <x:v>117.99968375716887</x:v>
      </x:c>
      <x:c r="M173" s="21" t="n">
        <x:f>L173*'情景参数模板'!$D$31</x:f>
        <x:v>141.59962050860264</x:v>
      </x:c>
      <x:c r="N173" s="21" t="n">
        <x:f>IF(C173="source",'情景参数模板'!$D$12,IF(H173="echelon",'情景参数模板'!$D$13,'情景参数模板'!$D$14))</x:f>
        <x:v>0.49</x:v>
      </x:c>
      <x:c r="O173" s="21" t="n">
        <x:f>IF(C173="source",'情景参数模板'!$D$18,IF(H173="echelon",'情景参数模板'!$D$19,'情景参数模板'!$D$20))</x:f>
        <x:v>150</x:v>
      </x:c>
      <x:c r="P173" s="17" t="n">
        <x:f>IF(M173&lt;=O173,1,0)</x:f>
        <x:v>1</x:v>
      </x:c>
      <x:c r="Q173" s="17" t="str">
        <x:v>D-road proxy; B-coordinates</x:v>
      </x:c>
    </x:row>
    <x:row r="174">
      <x:c r="A174" s="17" t="str">
        <x:v>A0170</x:v>
      </x:c>
      <x:c r="B174" s="17" t="str">
        <x:v>GD09</x:v>
      </x:c>
      <x:c r="C174" s="17" t="str">
        <x:v>source</x:v>
      </x:c>
      <x:c r="D174" s="17" t="str">
        <x:v>惠州</x:v>
      </x:c>
      <x:c r="E174" s="24" t="n">
        <x:v>114.4127007</x:v>
      </x:c>
      <x:c r="F174" s="24" t="n">
        <x:v>23.1125153</x:v>
      </x:c>
      <x:c r="G174" s="17" t="str">
        <x:v>C02</x:v>
      </x:c>
      <x:c r="H174" s="17" t="str">
        <x:v>collection</x:v>
      </x:c>
      <x:c r="I174" s="17" t="str">
        <x:v>深圳虚拟回收/检测中心</x:v>
      </x:c>
      <x:c r="J174" s="24" t="n">
        <x:v>114.0545429</x:v>
      </x:c>
      <x:c r="K174" s="24" t="n">
        <x:v>22.5445741</x:v>
      </x:c>
      <x:c r="L174" s="21" t="n">
        <x:f>6371*ACOS(MIN(1,COS(F174*PI()/180)*COS(K174*PI()/180)*COS((J174-E174)*PI()/180)+SIN(F174*PI()/180)*SIN(K174*PI()/180)))</x:f>
        <x:v>73.04448557045887</x:v>
      </x:c>
      <x:c r="M174" s="21" t="n">
        <x:f>L174*'情景参数模板'!$D$31</x:f>
        <x:v>87.65338268455065</x:v>
      </x:c>
      <x:c r="N174" s="21" t="n">
        <x:f>IF(C174="source",'情景参数模板'!$D$12,IF(H174="echelon",'情景参数模板'!$D$13,'情景参数模板'!$D$14))</x:f>
        <x:v>0.49</x:v>
      </x:c>
      <x:c r="O174" s="21" t="n">
        <x:f>IF(C174="source",'情景参数模板'!$D$18,IF(H174="echelon",'情景参数模板'!$D$19,'情景参数模板'!$D$20))</x:f>
        <x:v>150</x:v>
      </x:c>
      <x:c r="P174" s="17" t="n">
        <x:f>IF(M174&lt;=O174,1,0)</x:f>
        <x:v>1</x:v>
      </x:c>
      <x:c r="Q174" s="17" t="str">
        <x:v>D-road proxy; B-coordinates</x:v>
      </x:c>
    </x:row>
    <x:row r="175">
      <x:c r="A175" s="17" t="str">
        <x:v>A0171</x:v>
      </x:c>
      <x:c r="B175" s="17" t="str">
        <x:v>GD09</x:v>
      </x:c>
      <x:c r="C175" s="17" t="str">
        <x:v>source</x:v>
      </x:c>
      <x:c r="D175" s="17" t="str">
        <x:v>惠州</x:v>
      </x:c>
      <x:c r="E175" s="24" t="n">
        <x:v>114.4127007</x:v>
      </x:c>
      <x:c r="F175" s="24" t="n">
        <x:v>23.1125153</x:v>
      </x:c>
      <x:c r="G175" s="17" t="str">
        <x:v>C03</x:v>
      </x:c>
      <x:c r="H175" s="17" t="str">
        <x:v>collection</x:v>
      </x:c>
      <x:c r="I175" s="17" t="str">
        <x:v>珠海虚拟回收/检测中心</x:v>
      </x:c>
      <x:c r="J175" s="24" t="n">
        <x:v>113.5721327</x:v>
      </x:c>
      <x:c r="K175" s="24" t="n">
        <x:v>22.273734</x:v>
      </x:c>
      <x:c r="L175" s="21" t="n">
        <x:f>6371*ACOS(MIN(1,COS(F175*PI()/180)*COS(K175*PI()/180)*COS((J175-E175)*PI()/180)+SIN(F175*PI()/180)*SIN(K175*PI()/180)))</x:f>
        <x:v>127.02181764289968</x:v>
      </x:c>
      <x:c r="M175" s="21" t="n">
        <x:f>L175*'情景参数模板'!$D$31</x:f>
        <x:v>152.4261811714796</x:v>
      </x:c>
      <x:c r="N175" s="21" t="n">
        <x:f>IF(C175="source",'情景参数模板'!$D$12,IF(H175="echelon",'情景参数模板'!$D$13,'情景参数模板'!$D$14))</x:f>
        <x:v>0.49</x:v>
      </x:c>
      <x:c r="O175" s="21" t="n">
        <x:f>IF(C175="source",'情景参数模板'!$D$18,IF(H175="echelon",'情景参数模板'!$D$19,'情景参数模板'!$D$20))</x:f>
        <x:v>150</x:v>
      </x:c>
      <x:c r="P175" s="17" t="n">
        <x:f>IF(M175&lt;=O175,1,0)</x:f>
        <x:v>0</x:v>
      </x:c>
      <x:c r="Q175" s="17" t="str">
        <x:v>D-road proxy; B-coordinates</x:v>
      </x:c>
    </x:row>
    <x:row r="176">
      <x:c r="A176" s="17" t="str">
        <x:v>A0172</x:v>
      </x:c>
      <x:c r="B176" s="17" t="str">
        <x:v>GD09</x:v>
      </x:c>
      <x:c r="C176" s="17" t="str">
        <x:v>source</x:v>
      </x:c>
      <x:c r="D176" s="17" t="str">
        <x:v>惠州</x:v>
      </x:c>
      <x:c r="E176" s="24" t="n">
        <x:v>114.4127007</x:v>
      </x:c>
      <x:c r="F176" s="24" t="n">
        <x:v>23.1125153</x:v>
      </x:c>
      <x:c r="G176" s="17" t="str">
        <x:v>C04</x:v>
      </x:c>
      <x:c r="H176" s="17" t="str">
        <x:v>collection</x:v>
      </x:c>
      <x:c r="I176" s="17" t="str">
        <x:v>汕头虚拟回收/检测中心</x:v>
      </x:c>
      <x:c r="J176" s="24" t="n">
        <x:v>116.6775856</x:v>
      </x:c>
      <x:c r="K176" s="24" t="n">
        <x:v>23.3563921</x:v>
      </x:c>
      <x:c r="L176" s="21" t="n">
        <x:f>6371*ACOS(MIN(1,COS(F176*PI()/180)*COS(K176*PI()/180)*COS((J176-E176)*PI()/180)+SIN(F176*PI()/180)*SIN(K176*PI()/180)))</x:f>
        <x:v>232.99958546699187</x:v>
      </x:c>
      <x:c r="M176" s="21" t="n">
        <x:f>L176*'情景参数模板'!$D$31</x:f>
        <x:v>279.59950256039025</x:v>
      </x:c>
      <x:c r="N176" s="21" t="n">
        <x:f>IF(C176="source",'情景参数模板'!$D$12,IF(H176="echelon",'情景参数模板'!$D$13,'情景参数模板'!$D$14))</x:f>
        <x:v>0.49</x:v>
      </x:c>
      <x:c r="O176" s="21" t="n">
        <x:f>IF(C176="source",'情景参数模板'!$D$18,IF(H176="echelon",'情景参数模板'!$D$19,'情景参数模板'!$D$20))</x:f>
        <x:v>150</x:v>
      </x:c>
      <x:c r="P176" s="17" t="n">
        <x:f>IF(M176&lt;=O176,1,0)</x:f>
        <x:v>0</x:v>
      </x:c>
      <x:c r="Q176" s="17" t="str">
        <x:v>D-road proxy; B-coordinates</x:v>
      </x:c>
    </x:row>
    <x:row r="177">
      <x:c r="A177" s="17" t="str">
        <x:v>A0173</x:v>
      </x:c>
      <x:c r="B177" s="17" t="str">
        <x:v>GD09</x:v>
      </x:c>
      <x:c r="C177" s="17" t="str">
        <x:v>source</x:v>
      </x:c>
      <x:c r="D177" s="17" t="str">
        <x:v>惠州</x:v>
      </x:c>
      <x:c r="E177" s="24" t="n">
        <x:v>114.4127007</x:v>
      </x:c>
      <x:c r="F177" s="24" t="n">
        <x:v>23.1125153</x:v>
      </x:c>
      <x:c r="G177" s="17" t="str">
        <x:v>C05</x:v>
      </x:c>
      <x:c r="H177" s="17" t="str">
        <x:v>collection</x:v>
      </x:c>
      <x:c r="I177" s="17" t="str">
        <x:v>佛山虚拟回收/检测中心</x:v>
      </x:c>
      <x:c r="J177" s="24" t="n">
        <x:v>113.1159558</x:v>
      </x:c>
      <x:c r="K177" s="24" t="n">
        <x:v>23.0239788</x:v>
      </x:c>
      <x:c r="L177" s="21" t="n">
        <x:f>6371*ACOS(MIN(1,COS(F177*PI()/180)*COS(K177*PI()/180)*COS((J177-E177)*PI()/180)+SIN(F177*PI()/180)*SIN(K177*PI()/180)))</x:f>
        <x:v>133.0260660496842</x:v>
      </x:c>
      <x:c r="M177" s="21" t="n">
        <x:f>L177*'情景参数模板'!$D$31</x:f>
        <x:v>159.63127925962104</x:v>
      </x:c>
      <x:c r="N177" s="21" t="n">
        <x:f>IF(C177="source",'情景参数模板'!$D$12,IF(H177="echelon",'情景参数模板'!$D$13,'情景参数模板'!$D$14))</x:f>
        <x:v>0.49</x:v>
      </x:c>
      <x:c r="O177" s="21" t="n">
        <x:f>IF(C177="source",'情景参数模板'!$D$18,IF(H177="echelon",'情景参数模板'!$D$19,'情景参数模板'!$D$20))</x:f>
        <x:v>150</x:v>
      </x:c>
      <x:c r="P177" s="17" t="n">
        <x:f>IF(M177&lt;=O177,1,0)</x:f>
        <x:v>0</x:v>
      </x:c>
      <x:c r="Q177" s="17" t="str">
        <x:v>D-road proxy; B-coordinates</x:v>
      </x:c>
    </x:row>
    <x:row r="178">
      <x:c r="A178" s="17" t="str">
        <x:v>A0174</x:v>
      </x:c>
      <x:c r="B178" s="17" t="str">
        <x:v>GD09</x:v>
      </x:c>
      <x:c r="C178" s="17" t="str">
        <x:v>source</x:v>
      </x:c>
      <x:c r="D178" s="17" t="str">
        <x:v>惠州</x:v>
      </x:c>
      <x:c r="E178" s="24" t="n">
        <x:v>114.4127007</x:v>
      </x:c>
      <x:c r="F178" s="24" t="n">
        <x:v>23.1125153</x:v>
      </x:c>
      <x:c r="G178" s="17" t="str">
        <x:v>C06</x:v>
      </x:c>
      <x:c r="H178" s="17" t="str">
        <x:v>collection</x:v>
      </x:c>
      <x:c r="I178" s="17" t="str">
        <x:v>韶关虚拟回收/检测中心</x:v>
      </x:c>
      <x:c r="J178" s="24" t="n">
        <x:v>113.8155263</x:v>
      </x:c>
      <x:c r="K178" s="24" t="n">
        <x:v>24.8309489</x:v>
      </x:c>
      <x:c r="L178" s="21" t="n">
        <x:f>6371*ACOS(MIN(1,COS(F178*PI()/180)*COS(K178*PI()/180)*COS((J178-E178)*PI()/180)+SIN(F178*PI()/180)*SIN(K178*PI()/180)))</x:f>
        <x:v>200.4819895915133</x:v>
      </x:c>
      <x:c r="M178" s="21" t="n">
        <x:f>L178*'情景参数模板'!$D$31</x:f>
        <x:v>240.57838750981594</x:v>
      </x:c>
      <x:c r="N178" s="21" t="n">
        <x:f>IF(C178="source",'情景参数模板'!$D$12,IF(H178="echelon",'情景参数模板'!$D$13,'情景参数模板'!$D$14))</x:f>
        <x:v>0.49</x:v>
      </x:c>
      <x:c r="O178" s="21" t="n">
        <x:f>IF(C178="source",'情景参数模板'!$D$18,IF(H178="echelon",'情景参数模板'!$D$19,'情景参数模板'!$D$20))</x:f>
        <x:v>150</x:v>
      </x:c>
      <x:c r="P178" s="17" t="n">
        <x:f>IF(M178&lt;=O178,1,0)</x:f>
        <x:v>0</x:v>
      </x:c>
      <x:c r="Q178" s="17" t="str">
        <x:v>D-road proxy; B-coordinates</x:v>
      </x:c>
    </x:row>
    <x:row r="179">
      <x:c r="A179" s="17" t="str">
        <x:v>A0175</x:v>
      </x:c>
      <x:c r="B179" s="17" t="str">
        <x:v>GD09</x:v>
      </x:c>
      <x:c r="C179" s="17" t="str">
        <x:v>source</x:v>
      </x:c>
      <x:c r="D179" s="17" t="str">
        <x:v>惠州</x:v>
      </x:c>
      <x:c r="E179" s="24" t="n">
        <x:v>114.4127007</x:v>
      </x:c>
      <x:c r="F179" s="24" t="n">
        <x:v>23.1125153</x:v>
      </x:c>
      <x:c r="G179" s="17" t="str">
        <x:v>C07</x:v>
      </x:c>
      <x:c r="H179" s="17" t="str">
        <x:v>collection</x:v>
      </x:c>
      <x:c r="I179" s="17" t="str">
        <x:v>河源虚拟回收/检测中心</x:v>
      </x:c>
      <x:c r="J179" s="24" t="n">
        <x:v>115.0577538</x:v>
      </x:c>
      <x:c r="K179" s="24" t="n">
        <x:v>24.1014769</x:v>
      </x:c>
      <x:c r="L179" s="21" t="n">
        <x:f>6371*ACOS(MIN(1,COS(F179*PI()/180)*COS(K179*PI()/180)*COS((J179-E179)*PI()/180)+SIN(F179*PI()/180)*SIN(K179*PI()/180)))</x:f>
        <x:v>128.11063912816488</x:v>
      </x:c>
      <x:c r="M179" s="21" t="n">
        <x:f>L179*'情景参数模板'!$D$31</x:f>
        <x:v>153.73276695379784</x:v>
      </x:c>
      <x:c r="N179" s="21" t="n">
        <x:f>IF(C179="source",'情景参数模板'!$D$12,IF(H179="echelon",'情景参数模板'!$D$13,'情景参数模板'!$D$14))</x:f>
        <x:v>0.49</x:v>
      </x:c>
      <x:c r="O179" s="21" t="n">
        <x:f>IF(C179="source",'情景参数模板'!$D$18,IF(H179="echelon",'情景参数模板'!$D$19,'情景参数模板'!$D$20))</x:f>
        <x:v>150</x:v>
      </x:c>
      <x:c r="P179" s="17" t="n">
        <x:f>IF(M179&lt;=O179,1,0)</x:f>
        <x:v>0</x:v>
      </x:c>
      <x:c r="Q179" s="17" t="str">
        <x:v>D-road proxy; B-coordinates</x:v>
      </x:c>
    </x:row>
    <x:row r="180">
      <x:c r="A180" s="17" t="str">
        <x:v>A0176</x:v>
      </x:c>
      <x:c r="B180" s="17" t="str">
        <x:v>GD09</x:v>
      </x:c>
      <x:c r="C180" s="17" t="str">
        <x:v>source</x:v>
      </x:c>
      <x:c r="D180" s="17" t="str">
        <x:v>惠州</x:v>
      </x:c>
      <x:c r="E180" s="24" t="n">
        <x:v>114.4127007</x:v>
      </x:c>
      <x:c r="F180" s="24" t="n">
        <x:v>23.1125153</x:v>
      </x:c>
      <x:c r="G180" s="17" t="str">
        <x:v>C08</x:v>
      </x:c>
      <x:c r="H180" s="17" t="str">
        <x:v>collection</x:v>
      </x:c>
      <x:c r="I180" s="17" t="str">
        <x:v>梅州虚拟回收/检测中心</x:v>
      </x:c>
      <x:c r="J180" s="24" t="n">
        <x:v>116.1171428</x:v>
      </x:c>
      <x:c r="K180" s="24" t="n">
        <x:v>24.2918414</x:v>
      </x:c>
      <x:c r="L180" s="21" t="n">
        <x:f>6371*ACOS(MIN(1,COS(F180*PI()/180)*COS(K180*PI()/180)*COS((J180-E180)*PI()/180)+SIN(F180*PI()/180)*SIN(K180*PI()/180)))</x:f>
        <x:v>217.50845727097408</x:v>
      </x:c>
      <x:c r="M180" s="21" t="n">
        <x:f>L180*'情景参数模板'!$D$31</x:f>
        <x:v>261.0101487251689</x:v>
      </x:c>
      <x:c r="N180" s="21" t="n">
        <x:f>IF(C180="source",'情景参数模板'!$D$12,IF(H180="echelon",'情景参数模板'!$D$13,'情景参数模板'!$D$14))</x:f>
        <x:v>0.49</x:v>
      </x:c>
      <x:c r="O180" s="21" t="n">
        <x:f>IF(C180="source",'情景参数模板'!$D$18,IF(H180="echelon",'情景参数模板'!$D$19,'情景参数模板'!$D$20))</x:f>
        <x:v>150</x:v>
      </x:c>
      <x:c r="P180" s="17" t="n">
        <x:f>IF(M180&lt;=O180,1,0)</x:f>
        <x:v>0</x:v>
      </x:c>
      <x:c r="Q180" s="17" t="str">
        <x:v>D-road proxy; B-coordinates</x:v>
      </x:c>
    </x:row>
    <x:row r="181">
      <x:c r="A181" s="17" t="str">
        <x:v>A0177</x:v>
      </x:c>
      <x:c r="B181" s="17" t="str">
        <x:v>GD09</x:v>
      </x:c>
      <x:c r="C181" s="17" t="str">
        <x:v>source</x:v>
      </x:c>
      <x:c r="D181" s="17" t="str">
        <x:v>惠州</x:v>
      </x:c>
      <x:c r="E181" s="24" t="n">
        <x:v>114.4127007</x:v>
      </x:c>
      <x:c r="F181" s="24" t="n">
        <x:v>23.1125153</x:v>
      </x:c>
      <x:c r="G181" s="17" t="str">
        <x:v>C09</x:v>
      </x:c>
      <x:c r="H181" s="17" t="str">
        <x:v>collection</x:v>
      </x:c>
      <x:c r="I181" s="17" t="str">
        <x:v>惠州虚拟回收/检测中心</x:v>
      </x:c>
      <x:c r="J181" s="24" t="n">
        <x:v>114.4127007</x:v>
      </x:c>
      <x:c r="K181" s="24" t="n">
        <x:v>23.1125153</x:v>
      </x:c>
      <x:c r="L181" s="21" t="n">
        <x:f>6371*ACOS(MIN(1,COS(F181*PI()/180)*COS(K181*PI()/180)*COS((J181-E181)*PI()/180)+SIN(F181*PI()/180)*SIN(K181*PI()/180)))</x:f>
        <x:v>0</x:v>
      </x:c>
      <x:c r="M181" s="21" t="n">
        <x:f>L181*'情景参数模板'!$D$31</x:f>
        <x:v>0</x:v>
      </x:c>
      <x:c r="N181" s="21" t="n">
        <x:f>IF(C181="source",'情景参数模板'!$D$12,IF(H181="echelon",'情景参数模板'!$D$13,'情景参数模板'!$D$14))</x:f>
        <x:v>0.49</x:v>
      </x:c>
      <x:c r="O181" s="21" t="n">
        <x:f>IF(C181="source",'情景参数模板'!$D$18,IF(H181="echelon",'情景参数模板'!$D$19,'情景参数模板'!$D$20))</x:f>
        <x:v>150</x:v>
      </x:c>
      <x:c r="P181" s="17" t="n">
        <x:f>IF(M181&lt;=O181,1,0)</x:f>
        <x:v>1</x:v>
      </x:c>
      <x:c r="Q181" s="17" t="str">
        <x:v>D-road proxy; B-coordinates</x:v>
      </x:c>
    </x:row>
    <x:row r="182">
      <x:c r="A182" s="17" t="str">
        <x:v>A0178</x:v>
      </x:c>
      <x:c r="B182" s="17" t="str">
        <x:v>GD09</x:v>
      </x:c>
      <x:c r="C182" s="17" t="str">
        <x:v>source</x:v>
      </x:c>
      <x:c r="D182" s="17" t="str">
        <x:v>惠州</x:v>
      </x:c>
      <x:c r="E182" s="24" t="n">
        <x:v>114.4127007</x:v>
      </x:c>
      <x:c r="F182" s="24" t="n">
        <x:v>23.1125153</x:v>
      </x:c>
      <x:c r="G182" s="17" t="str">
        <x:v>C10</x:v>
      </x:c>
      <x:c r="H182" s="17" t="str">
        <x:v>collection</x:v>
      </x:c>
      <x:c r="I182" s="17" t="str">
        <x:v>汕尾虚拟回收/检测中心</x:v>
      </x:c>
      <x:c r="J182" s="24" t="n">
        <x:v>115.5099937</x:v>
      </x:c>
      <x:c r="K182" s="24" t="n">
        <x:v>23.0123639</x:v>
      </x:c>
      <x:c r="L182" s="21" t="n">
        <x:f>6371*ACOS(MIN(1,COS(F182*PI()/180)*COS(K182*PI()/180)*COS((J182-E182)*PI()/180)+SIN(F182*PI()/180)*SIN(K182*PI()/180)))</x:f>
        <x:v>112.81264213991685</x:v>
      </x:c>
      <x:c r="M182" s="21" t="n">
        <x:f>L182*'情景参数模板'!$D$31</x:f>
        <x:v>135.3751705679002</x:v>
      </x:c>
      <x:c r="N182" s="21" t="n">
        <x:f>IF(C182="source",'情景参数模板'!$D$12,IF(H182="echelon",'情景参数模板'!$D$13,'情景参数模板'!$D$14))</x:f>
        <x:v>0.49</x:v>
      </x:c>
      <x:c r="O182" s="21" t="n">
        <x:f>IF(C182="source",'情景参数模板'!$D$18,IF(H182="echelon",'情景参数模板'!$D$19,'情景参数模板'!$D$20))</x:f>
        <x:v>150</x:v>
      </x:c>
      <x:c r="P182" s="17" t="n">
        <x:f>IF(M182&lt;=O182,1,0)</x:f>
        <x:v>1</x:v>
      </x:c>
      <x:c r="Q182" s="17" t="str">
        <x:v>D-road proxy; B-coordinates</x:v>
      </x:c>
    </x:row>
    <x:row r="183">
      <x:c r="A183" s="17" t="str">
        <x:v>A0179</x:v>
      </x:c>
      <x:c r="B183" s="17" t="str">
        <x:v>GD09</x:v>
      </x:c>
      <x:c r="C183" s="17" t="str">
        <x:v>source</x:v>
      </x:c>
      <x:c r="D183" s="17" t="str">
        <x:v>惠州</x:v>
      </x:c>
      <x:c r="E183" s="24" t="n">
        <x:v>114.4127007</x:v>
      </x:c>
      <x:c r="F183" s="24" t="n">
        <x:v>23.1125153</x:v>
      </x:c>
      <x:c r="G183" s="17" t="str">
        <x:v>C11</x:v>
      </x:c>
      <x:c r="H183" s="17" t="str">
        <x:v>collection</x:v>
      </x:c>
      <x:c r="I183" s="17" t="str">
        <x:v>东莞虚拟回收/检测中心</x:v>
      </x:c>
      <x:c r="J183" s="24" t="n">
        <x:v>113.7452332</x:v>
      </x:c>
      <x:c r="K183" s="24" t="n">
        <x:v>23.0183568</x:v>
      </x:c>
      <x:c r="L183" s="21" t="n">
        <x:f>6371*ACOS(MIN(1,COS(F183*PI()/180)*COS(K183*PI()/180)*COS((J183-E183)*PI()/180)+SIN(F183*PI()/180)*SIN(K183*PI()/180)))</x:f>
        <x:v>69.08370671447607</x:v>
      </x:c>
      <x:c r="M183" s="21" t="n">
        <x:f>L183*'情景参数模板'!$D$31</x:f>
        <x:v>82.90044805737128</x:v>
      </x:c>
      <x:c r="N183" s="21" t="n">
        <x:f>IF(C183="source",'情景参数模板'!$D$12,IF(H183="echelon",'情景参数模板'!$D$13,'情景参数模板'!$D$14))</x:f>
        <x:v>0.49</x:v>
      </x:c>
      <x:c r="O183" s="21" t="n">
        <x:f>IF(C183="source",'情景参数模板'!$D$18,IF(H183="echelon",'情景参数模板'!$D$19,'情景参数模板'!$D$20))</x:f>
        <x:v>150</x:v>
      </x:c>
      <x:c r="P183" s="17" t="n">
        <x:f>IF(M183&lt;=O183,1,0)</x:f>
        <x:v>1</x:v>
      </x:c>
      <x:c r="Q183" s="17" t="str">
        <x:v>D-road proxy; B-coordinates</x:v>
      </x:c>
    </x:row>
    <x:row r="184">
      <x:c r="A184" s="17" t="str">
        <x:v>A0180</x:v>
      </x:c>
      <x:c r="B184" s="17" t="str">
        <x:v>GD09</x:v>
      </x:c>
      <x:c r="C184" s="17" t="str">
        <x:v>source</x:v>
      </x:c>
      <x:c r="D184" s="17" t="str">
        <x:v>惠州</x:v>
      </x:c>
      <x:c r="E184" s="24" t="n">
        <x:v>114.4127007</x:v>
      </x:c>
      <x:c r="F184" s="24" t="n">
        <x:v>23.1125153</x:v>
      </x:c>
      <x:c r="G184" s="17" t="str">
        <x:v>C12</x:v>
      </x:c>
      <x:c r="H184" s="17" t="str">
        <x:v>collection</x:v>
      </x:c>
      <x:c r="I184" s="17" t="str">
        <x:v>中山虚拟回收/检测中心</x:v>
      </x:c>
      <x:c r="J184" s="24" t="n">
        <x:v>113.3872302</x:v>
      </x:c>
      <x:c r="K184" s="24" t="n">
        <x:v>22.5197073</x:v>
      </x:c>
      <x:c r="L184" s="21" t="n">
        <x:f>6371*ACOS(MIN(1,COS(F184*PI()/180)*COS(K184*PI()/180)*COS((J184-E184)*PI()/180)+SIN(F184*PI()/180)*SIN(K184*PI()/180)))</x:f>
        <x:v>124.06426518231</x:v>
      </x:c>
      <x:c r="M184" s="21" t="n">
        <x:f>L184*'情景参数模板'!$D$31</x:f>
        <x:v>148.87711821877198</x:v>
      </x:c>
      <x:c r="N184" s="21" t="n">
        <x:f>IF(C184="source",'情景参数模板'!$D$12,IF(H184="echelon",'情景参数模板'!$D$13,'情景参数模板'!$D$14))</x:f>
        <x:v>0.49</x:v>
      </x:c>
      <x:c r="O184" s="21" t="n">
        <x:f>IF(C184="source",'情景参数模板'!$D$18,IF(H184="echelon",'情景参数模板'!$D$19,'情景参数模板'!$D$20))</x:f>
        <x:v>150</x:v>
      </x:c>
      <x:c r="P184" s="17" t="n">
        <x:f>IF(M184&lt;=O184,1,0)</x:f>
        <x:v>1</x:v>
      </x:c>
      <x:c r="Q184" s="17" t="str">
        <x:v>D-road proxy; B-coordinates</x:v>
      </x:c>
    </x:row>
    <x:row r="185">
      <x:c r="A185" s="17" t="str">
        <x:v>A0181</x:v>
      </x:c>
      <x:c r="B185" s="17" t="str">
        <x:v>GD09</x:v>
      </x:c>
      <x:c r="C185" s="17" t="str">
        <x:v>source</x:v>
      </x:c>
      <x:c r="D185" s="17" t="str">
        <x:v>惠州</x:v>
      </x:c>
      <x:c r="E185" s="24" t="n">
        <x:v>114.4127007</x:v>
      </x:c>
      <x:c r="F185" s="24" t="n">
        <x:v>23.1125153</x:v>
      </x:c>
      <x:c r="G185" s="17" t="str">
        <x:v>C13</x:v>
      </x:c>
      <x:c r="H185" s="17" t="str">
        <x:v>collection</x:v>
      </x:c>
      <x:c r="I185" s="17" t="str">
        <x:v>江门虚拟回收/检测中心</x:v>
      </x:c>
      <x:c r="J185" s="24" t="n">
        <x:v>113.0761073</x:v>
      </x:c>
      <x:c r="K185" s="24" t="n">
        <x:v>22.5816619</x:v>
      </x:c>
      <x:c r="L185" s="21" t="n">
        <x:f>6371*ACOS(MIN(1,COS(F185*PI()/180)*COS(K185*PI()/180)*COS((J185-E185)*PI()/180)+SIN(F185*PI()/180)*SIN(K185*PI()/180)))</x:f>
        <x:v>149.1396078501504</x:v>
      </x:c>
      <x:c r="M185" s="21" t="n">
        <x:f>L185*'情景参数模板'!$D$31</x:f>
        <x:v>178.96752942018048</x:v>
      </x:c>
      <x:c r="N185" s="21" t="n">
        <x:f>IF(C185="source",'情景参数模板'!$D$12,IF(H185="echelon",'情景参数模板'!$D$13,'情景参数模板'!$D$14))</x:f>
        <x:v>0.49</x:v>
      </x:c>
      <x:c r="O185" s="21" t="n">
        <x:f>IF(C185="source",'情景参数模板'!$D$18,IF(H185="echelon",'情景参数模板'!$D$19,'情景参数模板'!$D$20))</x:f>
        <x:v>150</x:v>
      </x:c>
      <x:c r="P185" s="17" t="n">
        <x:f>IF(M185&lt;=O185,1,0)</x:f>
        <x:v>0</x:v>
      </x:c>
      <x:c r="Q185" s="17" t="str">
        <x:v>D-road proxy; B-coordinates</x:v>
      </x:c>
    </x:row>
    <x:row r="186">
      <x:c r="A186" s="17" t="str">
        <x:v>A0182</x:v>
      </x:c>
      <x:c r="B186" s="17" t="str">
        <x:v>GD09</x:v>
      </x:c>
      <x:c r="C186" s="17" t="str">
        <x:v>source</x:v>
      </x:c>
      <x:c r="D186" s="17" t="str">
        <x:v>惠州</x:v>
      </x:c>
      <x:c r="E186" s="24" t="n">
        <x:v>114.4127007</x:v>
      </x:c>
      <x:c r="F186" s="24" t="n">
        <x:v>23.1125153</x:v>
      </x:c>
      <x:c r="G186" s="17" t="str">
        <x:v>C14</x:v>
      </x:c>
      <x:c r="H186" s="17" t="str">
        <x:v>collection</x:v>
      </x:c>
      <x:c r="I186" s="17" t="str">
        <x:v>阳江虚拟回收/检测中心</x:v>
      </x:c>
      <x:c r="J186" s="24" t="n">
        <x:v>111.7831393</x:v>
      </x:c>
      <x:c r="K186" s="24" t="n">
        <x:v>22.0958223</x:v>
      </x:c>
      <x:c r="L186" s="21" t="n">
        <x:f>6371*ACOS(MIN(1,COS(F186*PI()/180)*COS(K186*PI()/180)*COS((J186-E186)*PI()/180)+SIN(F186*PI()/180)*SIN(K186*PI()/180)))</x:f>
        <x:v>292.642269876442</x:v>
      </x:c>
      <x:c r="M186" s="21" t="n">
        <x:f>L186*'情景参数模板'!$D$31</x:f>
        <x:v>351.17072385173043</x:v>
      </x:c>
      <x:c r="N186" s="21" t="n">
        <x:f>IF(C186="source",'情景参数模板'!$D$12,IF(H186="echelon",'情景参数模板'!$D$13,'情景参数模板'!$D$14))</x:f>
        <x:v>0.49</x:v>
      </x:c>
      <x:c r="O186" s="21" t="n">
        <x:f>IF(C186="source",'情景参数模板'!$D$18,IF(H186="echelon",'情景参数模板'!$D$19,'情景参数模板'!$D$20))</x:f>
        <x:v>150</x:v>
      </x:c>
      <x:c r="P186" s="17" t="n">
        <x:f>IF(M186&lt;=O186,1,0)</x:f>
        <x:v>0</x:v>
      </x:c>
      <x:c r="Q186" s="17" t="str">
        <x:v>D-road proxy; B-coordinates</x:v>
      </x:c>
    </x:row>
    <x:row r="187">
      <x:c r="A187" s="17" t="str">
        <x:v>A0183</x:v>
      </x:c>
      <x:c r="B187" s="17" t="str">
        <x:v>GD09</x:v>
      </x:c>
      <x:c r="C187" s="17" t="str">
        <x:v>source</x:v>
      </x:c>
      <x:c r="D187" s="17" t="str">
        <x:v>惠州</x:v>
      </x:c>
      <x:c r="E187" s="24" t="n">
        <x:v>114.4127007</x:v>
      </x:c>
      <x:c r="F187" s="24" t="n">
        <x:v>23.1125153</x:v>
      </x:c>
      <x:c r="G187" s="17" t="str">
        <x:v>C15</x:v>
      </x:c>
      <x:c r="H187" s="17" t="str">
        <x:v>collection</x:v>
      </x:c>
      <x:c r="I187" s="17" t="str">
        <x:v>湛江虚拟回收/检测中心</x:v>
      </x:c>
      <x:c r="J187" s="24" t="n">
        <x:v>110.3548318</x:v>
      </x:c>
      <x:c r="K187" s="24" t="n">
        <x:v>21.2737079</x:v>
      </x:c>
      <x:c r="L187" s="21" t="n">
        <x:f>6371*ACOS(MIN(1,COS(F187*PI()/180)*COS(K187*PI()/180)*COS((J187-E187)*PI()/180)+SIN(F187*PI()/180)*SIN(K187*PI()/180)))</x:f>
        <x:v>465.101265453624</x:v>
      </x:c>
      <x:c r="M187" s="21" t="n">
        <x:f>L187*'情景参数模板'!$D$31</x:f>
        <x:v>558.1215185443488</x:v>
      </x:c>
      <x:c r="N187" s="21" t="n">
        <x:f>IF(C187="source",'情景参数模板'!$D$12,IF(H187="echelon",'情景参数模板'!$D$13,'情景参数模板'!$D$14))</x:f>
        <x:v>0.49</x:v>
      </x:c>
      <x:c r="O187" s="21" t="n">
        <x:f>IF(C187="source",'情景参数模板'!$D$18,IF(H187="echelon",'情景参数模板'!$D$19,'情景参数模板'!$D$20))</x:f>
        <x:v>150</x:v>
      </x:c>
      <x:c r="P187" s="17" t="n">
        <x:f>IF(M187&lt;=O187,1,0)</x:f>
        <x:v>0</x:v>
      </x:c>
      <x:c r="Q187" s="17" t="str">
        <x:v>D-road proxy; B-coordinates</x:v>
      </x:c>
    </x:row>
    <x:row r="188">
      <x:c r="A188" s="17" t="str">
        <x:v>A0184</x:v>
      </x:c>
      <x:c r="B188" s="17" t="str">
        <x:v>GD09</x:v>
      </x:c>
      <x:c r="C188" s="17" t="str">
        <x:v>source</x:v>
      </x:c>
      <x:c r="D188" s="17" t="str">
        <x:v>惠州</x:v>
      </x:c>
      <x:c r="E188" s="24" t="n">
        <x:v>114.4127007</x:v>
      </x:c>
      <x:c r="F188" s="24" t="n">
        <x:v>23.1125153</x:v>
      </x:c>
      <x:c r="G188" s="17" t="str">
        <x:v>C16</x:v>
      </x:c>
      <x:c r="H188" s="17" t="str">
        <x:v>collection</x:v>
      </x:c>
      <x:c r="I188" s="17" t="str">
        <x:v>茂名虚拟回收/检测中心</x:v>
      </x:c>
      <x:c r="J188" s="24" t="n">
        <x:v>110.9209511</x:v>
      </x:c>
      <x:c r="K188" s="24" t="n">
        <x:v>21.6656961</x:v>
      </x:c>
      <x:c r="L188" s="21" t="n">
        <x:f>6371*ACOS(MIN(1,COS(F188*PI()/180)*COS(K188*PI()/180)*COS((J188-E188)*PI()/180)+SIN(F188*PI()/180)*SIN(K188*PI()/180)))</x:f>
        <x:v>393.3759625308256</x:v>
      </x:c>
      <x:c r="M188" s="21" t="n">
        <x:f>L188*'情景参数模板'!$D$31</x:f>
        <x:v>472.0511550369907</x:v>
      </x:c>
      <x:c r="N188" s="21" t="n">
        <x:f>IF(C188="source",'情景参数模板'!$D$12,IF(H188="echelon",'情景参数模板'!$D$13,'情景参数模板'!$D$14))</x:f>
        <x:v>0.49</x:v>
      </x:c>
      <x:c r="O188" s="21" t="n">
        <x:f>IF(C188="source",'情景参数模板'!$D$18,IF(H188="echelon",'情景参数模板'!$D$19,'情景参数模板'!$D$20))</x:f>
        <x:v>150</x:v>
      </x:c>
      <x:c r="P188" s="17" t="n">
        <x:f>IF(M188&lt;=O188,1,0)</x:f>
        <x:v>0</x:v>
      </x:c>
      <x:c r="Q188" s="17" t="str">
        <x:v>D-road proxy; B-coordinates</x:v>
      </x:c>
    </x:row>
    <x:row r="189">
      <x:c r="A189" s="17" t="str">
        <x:v>A0185</x:v>
      </x:c>
      <x:c r="B189" s="17" t="str">
        <x:v>GD09</x:v>
      </x:c>
      <x:c r="C189" s="17" t="str">
        <x:v>source</x:v>
      </x:c>
      <x:c r="D189" s="17" t="str">
        <x:v>惠州</x:v>
      </x:c>
      <x:c r="E189" s="24" t="n">
        <x:v>114.4127007</x:v>
      </x:c>
      <x:c r="F189" s="24" t="n">
        <x:v>23.1125153</x:v>
      </x:c>
      <x:c r="G189" s="17" t="str">
        <x:v>C17</x:v>
      </x:c>
      <x:c r="H189" s="17" t="str">
        <x:v>collection</x:v>
      </x:c>
      <x:c r="I189" s="17" t="str">
        <x:v>肇庆虚拟回收/检测中心</x:v>
      </x:c>
      <x:c r="J189" s="24" t="n">
        <x:v>112.4603629</x:v>
      </x:c>
      <x:c r="K189" s="24" t="n">
        <x:v>23.0501661</x:v>
      </x:c>
      <x:c r="L189" s="21" t="n">
        <x:f>6371*ACOS(MIN(1,COS(F189*PI()/180)*COS(K189*PI()/180)*COS((J189-E189)*PI()/180)+SIN(F189*PI()/180)*SIN(K189*PI()/180)))</x:f>
        <x:v>199.83063084164635</x:v>
      </x:c>
      <x:c r="M189" s="21" t="n">
        <x:f>L189*'情景参数模板'!$D$31</x:f>
        <x:v>239.7967570099756</x:v>
      </x:c>
      <x:c r="N189" s="21" t="n">
        <x:f>IF(C189="source",'情景参数模板'!$D$12,IF(H189="echelon",'情景参数模板'!$D$13,'情景参数模板'!$D$14))</x:f>
        <x:v>0.49</x:v>
      </x:c>
      <x:c r="O189" s="21" t="n">
        <x:f>IF(C189="source",'情景参数模板'!$D$18,IF(H189="echelon",'情景参数模板'!$D$19,'情景参数模板'!$D$20))</x:f>
        <x:v>150</x:v>
      </x:c>
      <x:c r="P189" s="17" t="n">
        <x:f>IF(M189&lt;=O189,1,0)</x:f>
        <x:v>0</x:v>
      </x:c>
      <x:c r="Q189" s="17" t="str">
        <x:v>D-road proxy; B-coordinates</x:v>
      </x:c>
    </x:row>
    <x:row r="190">
      <x:c r="A190" s="17" t="str">
        <x:v>A0186</x:v>
      </x:c>
      <x:c r="B190" s="17" t="str">
        <x:v>GD09</x:v>
      </x:c>
      <x:c r="C190" s="17" t="str">
        <x:v>source</x:v>
      </x:c>
      <x:c r="D190" s="17" t="str">
        <x:v>惠州</x:v>
      </x:c>
      <x:c r="E190" s="24" t="n">
        <x:v>114.4127007</x:v>
      </x:c>
      <x:c r="F190" s="24" t="n">
        <x:v>23.1125153</x:v>
      </x:c>
      <x:c r="G190" s="17" t="str">
        <x:v>C18</x:v>
      </x:c>
      <x:c r="H190" s="17" t="str">
        <x:v>collection</x:v>
      </x:c>
      <x:c r="I190" s="17" t="str">
        <x:v>清远虚拟回收/检测中心</x:v>
      </x:c>
      <x:c r="J190" s="24" t="n">
        <x:v>113.0505994</x:v>
      </x:c>
      <x:c r="K190" s="24" t="n">
        <x:v>23.6832984</x:v>
      </x:c>
      <x:c r="L190" s="21" t="n">
        <x:f>6371*ACOS(MIN(1,COS(F190*PI()/180)*COS(K190*PI()/180)*COS((J190-E190)*PI()/180)+SIN(F190*PI()/180)*SIN(K190*PI()/180)))</x:f>
        <x:v>152.80699130297583</x:v>
      </x:c>
      <x:c r="M190" s="21" t="n">
        <x:f>L190*'情景参数模板'!$D$31</x:f>
        <x:v>183.368389563571</x:v>
      </x:c>
      <x:c r="N190" s="21" t="n">
        <x:f>IF(C190="source",'情景参数模板'!$D$12,IF(H190="echelon",'情景参数模板'!$D$13,'情景参数模板'!$D$14))</x:f>
        <x:v>0.49</x:v>
      </x:c>
      <x:c r="O190" s="21" t="n">
        <x:f>IF(C190="source",'情景参数模板'!$D$18,IF(H190="echelon",'情景参数模板'!$D$19,'情景参数模板'!$D$20))</x:f>
        <x:v>150</x:v>
      </x:c>
      <x:c r="P190" s="17" t="n">
        <x:f>IF(M190&lt;=O190,1,0)</x:f>
        <x:v>0</x:v>
      </x:c>
      <x:c r="Q190" s="17" t="str">
        <x:v>D-road proxy; B-coordinates</x:v>
      </x:c>
    </x:row>
    <x:row r="191">
      <x:c r="A191" s="17" t="str">
        <x:v>A0187</x:v>
      </x:c>
      <x:c r="B191" s="17" t="str">
        <x:v>GD09</x:v>
      </x:c>
      <x:c r="C191" s="17" t="str">
        <x:v>source</x:v>
      </x:c>
      <x:c r="D191" s="17" t="str">
        <x:v>惠州</x:v>
      </x:c>
      <x:c r="E191" s="24" t="n">
        <x:v>114.4127007</x:v>
      </x:c>
      <x:c r="F191" s="24" t="n">
        <x:v>23.1125153</x:v>
      </x:c>
      <x:c r="G191" s="17" t="str">
        <x:v>C19</x:v>
      </x:c>
      <x:c r="H191" s="17" t="str">
        <x:v>collection</x:v>
      </x:c>
      <x:c r="I191" s="17" t="str">
        <x:v>潮州虚拟回收/检测中心</x:v>
      </x:c>
      <x:c r="J191" s="24" t="n">
        <x:v>116.6204223</x:v>
      </x:c>
      <x:c r="K191" s="24" t="n">
        <x:v>23.656593</x:v>
      </x:c>
      <x:c r="L191" s="21" t="n">
        <x:f>6371*ACOS(MIN(1,COS(F191*PI()/180)*COS(K191*PI()/180)*COS((J191-E191)*PI()/180)+SIN(F191*PI()/180)*SIN(K191*PI()/180)))</x:f>
        <x:v>233.30064071473075</x:v>
      </x:c>
      <x:c r="M191" s="21" t="n">
        <x:f>L191*'情景参数模板'!$D$31</x:f>
        <x:v>279.9607688576769</x:v>
      </x:c>
      <x:c r="N191" s="21" t="n">
        <x:f>IF(C191="source",'情景参数模板'!$D$12,IF(H191="echelon",'情景参数模板'!$D$13,'情景参数模板'!$D$14))</x:f>
        <x:v>0.49</x:v>
      </x:c>
      <x:c r="O191" s="21" t="n">
        <x:f>IF(C191="source",'情景参数模板'!$D$18,IF(H191="echelon",'情景参数模板'!$D$19,'情景参数模板'!$D$20))</x:f>
        <x:v>150</x:v>
      </x:c>
      <x:c r="P191" s="17" t="n">
        <x:f>IF(M191&lt;=O191,1,0)</x:f>
        <x:v>0</x:v>
      </x:c>
      <x:c r="Q191" s="17" t="str">
        <x:v>D-road proxy; B-coordinates</x:v>
      </x:c>
    </x:row>
    <x:row r="192">
      <x:c r="A192" s="17" t="str">
        <x:v>A0188</x:v>
      </x:c>
      <x:c r="B192" s="17" t="str">
        <x:v>GD09</x:v>
      </x:c>
      <x:c r="C192" s="17" t="str">
        <x:v>source</x:v>
      </x:c>
      <x:c r="D192" s="17" t="str">
        <x:v>惠州</x:v>
      </x:c>
      <x:c r="E192" s="24" t="n">
        <x:v>114.4127007</x:v>
      </x:c>
      <x:c r="F192" s="24" t="n">
        <x:v>23.1125153</x:v>
      </x:c>
      <x:c r="G192" s="17" t="str">
        <x:v>C20</x:v>
      </x:c>
      <x:c r="H192" s="17" t="str">
        <x:v>collection</x:v>
      </x:c>
      <x:c r="I192" s="17" t="str">
        <x:v>揭阳虚拟回收/检测中心</x:v>
      </x:c>
      <x:c r="J192" s="24" t="n">
        <x:v>116.3680354</x:v>
      </x:c>
      <x:c r="K192" s="24" t="n">
        <x:v>23.553156</x:v>
      </x:c>
      <x:c r="L192" s="21" t="n">
        <x:f>6371*ACOS(MIN(1,COS(F192*PI()/180)*COS(K192*PI()/180)*COS((J192-E192)*PI()/180)+SIN(F192*PI()/180)*SIN(K192*PI()/180)))</x:f>
        <x:v>205.5647125663095</x:v>
      </x:c>
      <x:c r="M192" s="21" t="n">
        <x:f>L192*'情景参数模板'!$D$31</x:f>
        <x:v>246.6776550795714</x:v>
      </x:c>
      <x:c r="N192" s="21" t="n">
        <x:f>IF(C192="source",'情景参数模板'!$D$12,IF(H192="echelon",'情景参数模板'!$D$13,'情景参数模板'!$D$14))</x:f>
        <x:v>0.49</x:v>
      </x:c>
      <x:c r="O192" s="21" t="n">
        <x:f>IF(C192="source",'情景参数模板'!$D$18,IF(H192="echelon",'情景参数模板'!$D$19,'情景参数模板'!$D$20))</x:f>
        <x:v>150</x:v>
      </x:c>
      <x:c r="P192" s="17" t="n">
        <x:f>IF(M192&lt;=O192,1,0)</x:f>
        <x:v>0</x:v>
      </x:c>
      <x:c r="Q192" s="17" t="str">
        <x:v>D-road proxy; B-coordinates</x:v>
      </x:c>
    </x:row>
    <x:row r="193">
      <x:c r="A193" s="17" t="str">
        <x:v>A0189</x:v>
      </x:c>
      <x:c r="B193" s="17" t="str">
        <x:v>GD09</x:v>
      </x:c>
      <x:c r="C193" s="17" t="str">
        <x:v>source</x:v>
      </x:c>
      <x:c r="D193" s="17" t="str">
        <x:v>惠州</x:v>
      </x:c>
      <x:c r="E193" s="24" t="n">
        <x:v>114.4127007</x:v>
      </x:c>
      <x:c r="F193" s="24" t="n">
        <x:v>23.1125153</x:v>
      </x:c>
      <x:c r="G193" s="17" t="str">
        <x:v>C21</x:v>
      </x:c>
      <x:c r="H193" s="17" t="str">
        <x:v>collection</x:v>
      </x:c>
      <x:c r="I193" s="17" t="str">
        <x:v>云浮虚拟回收/检测中心</x:v>
      </x:c>
      <x:c r="J193" s="24" t="n">
        <x:v>111.8078586</x:v>
      </x:c>
      <x:c r="K193" s="24" t="n">
        <x:v>22.8546663</x:v>
      </x:c>
      <x:c r="L193" s="21" t="n">
        <x:f>6371*ACOS(MIN(1,COS(F193*PI()/180)*COS(K193*PI()/180)*COS((J193-E193)*PI()/180)+SIN(F193*PI()/180)*SIN(K193*PI()/180)))</x:f>
        <x:v>268.1854182947875</x:v>
      </x:c>
      <x:c r="M193" s="21" t="n">
        <x:f>L193*'情景参数模板'!$D$31</x:f>
        <x:v>321.82250195374496</x:v>
      </x:c>
      <x:c r="N193" s="21" t="n">
        <x:f>IF(C193="source",'情景参数模板'!$D$12,IF(H193="echelon",'情景参数模板'!$D$13,'情景参数模板'!$D$14))</x:f>
        <x:v>0.49</x:v>
      </x:c>
      <x:c r="O193" s="21" t="n">
        <x:f>IF(C193="source",'情景参数模板'!$D$18,IF(H193="echelon",'情景参数模板'!$D$19,'情景参数模板'!$D$20))</x:f>
        <x:v>150</x:v>
      </x:c>
      <x:c r="P193" s="17" t="n">
        <x:f>IF(M193&lt;=O193,1,0)</x:f>
        <x:v>0</x:v>
      </x:c>
      <x:c r="Q193" s="17" t="str">
        <x:v>D-road proxy; B-coordinates</x:v>
      </x:c>
    </x:row>
    <x:row r="194">
      <x:c r="A194" s="17" t="str">
        <x:v>A0190</x:v>
      </x:c>
      <x:c r="B194" s="17" t="str">
        <x:v>GD10</x:v>
      </x:c>
      <x:c r="C194" s="17" t="str">
        <x:v>source</x:v>
      </x:c>
      <x:c r="D194" s="17" t="str">
        <x:v>汕尾</x:v>
      </x:c>
      <x:c r="E194" s="24" t="n">
        <x:v>115.5099937</x:v>
      </x:c>
      <x:c r="F194" s="24" t="n">
        <x:v>23.0123639</x:v>
      </x:c>
      <x:c r="G194" s="17" t="str">
        <x:v>C01</x:v>
      </x:c>
      <x:c r="H194" s="17" t="str">
        <x:v>collection</x:v>
      </x:c>
      <x:c r="I194" s="17" t="str">
        <x:v>广州虚拟回收/检测中心</x:v>
      </x:c>
      <x:c r="J194" s="24" t="n">
        <x:v>113.2589581</x:v>
      </x:c>
      <x:c r="K194" s="24" t="n">
        <x:v>23.1288429</x:v>
      </x:c>
      <x:c r="L194" s="21" t="n">
        <x:f>6371*ACOS(MIN(1,COS(F194*PI()/180)*COS(K194*PI()/180)*COS((J194-E194)*PI()/180)+SIN(F194*PI()/180)*SIN(K194*PI()/180)))</x:f>
        <x:v>230.6467190844284</x:v>
      </x:c>
      <x:c r="M194" s="21" t="n">
        <x:f>L194*'情景参数模板'!$D$31</x:f>
        <x:v>276.7760629013141</x:v>
      </x:c>
      <x:c r="N194" s="21" t="n">
        <x:f>IF(C194="source",'情景参数模板'!$D$12,IF(H194="echelon",'情景参数模板'!$D$13,'情景参数模板'!$D$14))</x:f>
        <x:v>0.49</x:v>
      </x:c>
      <x:c r="O194" s="21" t="n">
        <x:f>IF(C194="source",'情景参数模板'!$D$18,IF(H194="echelon",'情景参数模板'!$D$19,'情景参数模板'!$D$20))</x:f>
        <x:v>150</x:v>
      </x:c>
      <x:c r="P194" s="17" t="n">
        <x:f>IF(M194&lt;=O194,1,0)</x:f>
        <x:v>0</x:v>
      </x:c>
      <x:c r="Q194" s="17" t="str">
        <x:v>D-road proxy; B-coordinates</x:v>
      </x:c>
    </x:row>
    <x:row r="195">
      <x:c r="A195" s="17" t="str">
        <x:v>A0191</x:v>
      </x:c>
      <x:c r="B195" s="17" t="str">
        <x:v>GD10</x:v>
      </x:c>
      <x:c r="C195" s="17" t="str">
        <x:v>source</x:v>
      </x:c>
      <x:c r="D195" s="17" t="str">
        <x:v>汕尾</x:v>
      </x:c>
      <x:c r="E195" s="24" t="n">
        <x:v>115.5099937</x:v>
      </x:c>
      <x:c r="F195" s="24" t="n">
        <x:v>23.0123639</x:v>
      </x:c>
      <x:c r="G195" s="17" t="str">
        <x:v>C02</x:v>
      </x:c>
      <x:c r="H195" s="17" t="str">
        <x:v>collection</x:v>
      </x:c>
      <x:c r="I195" s="17" t="str">
        <x:v>深圳虚拟回收/检测中心</x:v>
      </x:c>
      <x:c r="J195" s="24" t="n">
        <x:v>114.0545429</x:v>
      </x:c>
      <x:c r="K195" s="24" t="n">
        <x:v>22.5445741</x:v>
      </x:c>
      <x:c r="L195" s="21" t="n">
        <x:f>6371*ACOS(MIN(1,COS(F195*PI()/180)*COS(K195*PI()/180)*COS((J195-E195)*PI()/180)+SIN(F195*PI()/180)*SIN(K195*PI()/180)))</x:f>
        <x:v>158.02187678789332</x:v>
      </x:c>
      <x:c r="M195" s="21" t="n">
        <x:f>L195*'情景参数模板'!$D$31</x:f>
        <x:v>189.62625214547197</x:v>
      </x:c>
      <x:c r="N195" s="21" t="n">
        <x:f>IF(C195="source",'情景参数模板'!$D$12,IF(H195="echelon",'情景参数模板'!$D$13,'情景参数模板'!$D$14))</x:f>
        <x:v>0.49</x:v>
      </x:c>
      <x:c r="O195" s="21" t="n">
        <x:f>IF(C195="source",'情景参数模板'!$D$18,IF(H195="echelon",'情景参数模板'!$D$19,'情景参数模板'!$D$20))</x:f>
        <x:v>150</x:v>
      </x:c>
      <x:c r="P195" s="17" t="n">
        <x:f>IF(M195&lt;=O195,1,0)</x:f>
        <x:v>0</x:v>
      </x:c>
      <x:c r="Q195" s="17" t="str">
        <x:v>D-road proxy; B-coordinates</x:v>
      </x:c>
    </x:row>
    <x:row r="196">
      <x:c r="A196" s="17" t="str">
        <x:v>A0192</x:v>
      </x:c>
      <x:c r="B196" s="17" t="str">
        <x:v>GD10</x:v>
      </x:c>
      <x:c r="C196" s="17" t="str">
        <x:v>source</x:v>
      </x:c>
      <x:c r="D196" s="17" t="str">
        <x:v>汕尾</x:v>
      </x:c>
      <x:c r="E196" s="24" t="n">
        <x:v>115.5099937</x:v>
      </x:c>
      <x:c r="F196" s="24" t="n">
        <x:v>23.0123639</x:v>
      </x:c>
      <x:c r="G196" s="17" t="str">
        <x:v>C03</x:v>
      </x:c>
      <x:c r="H196" s="17" t="str">
        <x:v>collection</x:v>
      </x:c>
      <x:c r="I196" s="17" t="str">
        <x:v>珠海虚拟回收/检测中心</x:v>
      </x:c>
      <x:c r="J196" s="24" t="n">
        <x:v>113.5721327</x:v>
      </x:c>
      <x:c r="K196" s="24" t="n">
        <x:v>22.273734</x:v>
      </x:c>
      <x:c r="L196" s="21" t="n">
        <x:f>6371*ACOS(MIN(1,COS(F196*PI()/180)*COS(K196*PI()/180)*COS((J196-E196)*PI()/180)+SIN(F196*PI()/180)*SIN(K196*PI()/180)))</x:f>
        <x:v>215.16056931228954</x:v>
      </x:c>
      <x:c r="M196" s="21" t="n">
        <x:f>L196*'情景参数模板'!$D$31</x:f>
        <x:v>258.19268317474746</x:v>
      </x:c>
      <x:c r="N196" s="21" t="n">
        <x:f>IF(C196="source",'情景参数模板'!$D$12,IF(H196="echelon",'情景参数模板'!$D$13,'情景参数模板'!$D$14))</x:f>
        <x:v>0.49</x:v>
      </x:c>
      <x:c r="O196" s="21" t="n">
        <x:f>IF(C196="source",'情景参数模板'!$D$18,IF(H196="echelon",'情景参数模板'!$D$19,'情景参数模板'!$D$20))</x:f>
        <x:v>150</x:v>
      </x:c>
      <x:c r="P196" s="17" t="n">
        <x:f>IF(M196&lt;=O196,1,0)</x:f>
        <x:v>0</x:v>
      </x:c>
      <x:c r="Q196" s="17" t="str">
        <x:v>D-road proxy; B-coordinates</x:v>
      </x:c>
    </x:row>
    <x:row r="197">
      <x:c r="A197" s="17" t="str">
        <x:v>A0193</x:v>
      </x:c>
      <x:c r="B197" s="17" t="str">
        <x:v>GD10</x:v>
      </x:c>
      <x:c r="C197" s="17" t="str">
        <x:v>source</x:v>
      </x:c>
      <x:c r="D197" s="17" t="str">
        <x:v>汕尾</x:v>
      </x:c>
      <x:c r="E197" s="24" t="n">
        <x:v>115.5099937</x:v>
      </x:c>
      <x:c r="F197" s="24" t="n">
        <x:v>23.0123639</x:v>
      </x:c>
      <x:c r="G197" s="17" t="str">
        <x:v>C04</x:v>
      </x:c>
      <x:c r="H197" s="17" t="str">
        <x:v>collection</x:v>
      </x:c>
      <x:c r="I197" s="17" t="str">
        <x:v>汕头虚拟回收/检测中心</x:v>
      </x:c>
      <x:c r="J197" s="24" t="n">
        <x:v>116.6775856</x:v>
      </x:c>
      <x:c r="K197" s="24" t="n">
        <x:v>23.3563921</x:v>
      </x:c>
      <x:c r="L197" s="21" t="n">
        <x:f>6371*ACOS(MIN(1,COS(F197*PI()/180)*COS(K197*PI()/180)*COS((J197-E197)*PI()/180)+SIN(F197*PI()/180)*SIN(K197*PI()/180)))</x:f>
        <x:v>125.32598093140014</x:v>
      </x:c>
      <x:c r="M197" s="21" t="n">
        <x:f>L197*'情景参数模板'!$D$31</x:f>
        <x:v>150.39117711768017</x:v>
      </x:c>
      <x:c r="N197" s="21" t="n">
        <x:f>IF(C197="source",'情景参数模板'!$D$12,IF(H197="echelon",'情景参数模板'!$D$13,'情景参数模板'!$D$14))</x:f>
        <x:v>0.49</x:v>
      </x:c>
      <x:c r="O197" s="21" t="n">
        <x:f>IF(C197="source",'情景参数模板'!$D$18,IF(H197="echelon",'情景参数模板'!$D$19,'情景参数模板'!$D$20))</x:f>
        <x:v>150</x:v>
      </x:c>
      <x:c r="P197" s="17" t="n">
        <x:f>IF(M197&lt;=O197,1,0)</x:f>
        <x:v>0</x:v>
      </x:c>
      <x:c r="Q197" s="17" t="str">
        <x:v>D-road proxy; B-coordinates</x:v>
      </x:c>
    </x:row>
    <x:row r="198">
      <x:c r="A198" s="17" t="str">
        <x:v>A0194</x:v>
      </x:c>
      <x:c r="B198" s="17" t="str">
        <x:v>GD10</x:v>
      </x:c>
      <x:c r="C198" s="17" t="str">
        <x:v>source</x:v>
      </x:c>
      <x:c r="D198" s="17" t="str">
        <x:v>汕尾</x:v>
      </x:c>
      <x:c r="E198" s="24" t="n">
        <x:v>115.5099937</x:v>
      </x:c>
      <x:c r="F198" s="24" t="n">
        <x:v>23.0123639</x:v>
      </x:c>
      <x:c r="G198" s="17" t="str">
        <x:v>C05</x:v>
      </x:c>
      <x:c r="H198" s="17" t="str">
        <x:v>collection</x:v>
      </x:c>
      <x:c r="I198" s="17" t="str">
        <x:v>佛山虚拟回收/检测中心</x:v>
      </x:c>
      <x:c r="J198" s="24" t="n">
        <x:v>113.1159558</x:v>
      </x:c>
      <x:c r="K198" s="24" t="n">
        <x:v>23.0239788</x:v>
      </x:c>
      <x:c r="L198" s="21" t="n">
        <x:f>6371*ACOS(MIN(1,COS(F198*PI()/180)*COS(K198*PI()/180)*COS((J198-E198)*PI()/180)+SIN(F198*PI()/180)*SIN(K198*PI()/180)))</x:f>
        <x:v>245.01055089313536</x:v>
      </x:c>
      <x:c r="M198" s="21" t="n">
        <x:f>L198*'情景参数模板'!$D$31</x:f>
        <x:v>294.0126610717624</x:v>
      </x:c>
      <x:c r="N198" s="21" t="n">
        <x:f>IF(C198="source",'情景参数模板'!$D$12,IF(H198="echelon",'情景参数模板'!$D$13,'情景参数模板'!$D$14))</x:f>
        <x:v>0.49</x:v>
      </x:c>
      <x:c r="O198" s="21" t="n">
        <x:f>IF(C198="source",'情景参数模板'!$D$18,IF(H198="echelon",'情景参数模板'!$D$19,'情景参数模板'!$D$20))</x:f>
        <x:v>150</x:v>
      </x:c>
      <x:c r="P198" s="17" t="n">
        <x:f>IF(M198&lt;=O198,1,0)</x:f>
        <x:v>0</x:v>
      </x:c>
      <x:c r="Q198" s="17" t="str">
        <x:v>D-road proxy; B-coordinates</x:v>
      </x:c>
    </x:row>
    <x:row r="199">
      <x:c r="A199" s="17" t="str">
        <x:v>A0195</x:v>
      </x:c>
      <x:c r="B199" s="17" t="str">
        <x:v>GD10</x:v>
      </x:c>
      <x:c r="C199" s="17" t="str">
        <x:v>source</x:v>
      </x:c>
      <x:c r="D199" s="17" t="str">
        <x:v>汕尾</x:v>
      </x:c>
      <x:c r="E199" s="24" t="n">
        <x:v>115.5099937</x:v>
      </x:c>
      <x:c r="F199" s="24" t="n">
        <x:v>23.0123639</x:v>
      </x:c>
      <x:c r="G199" s="17" t="str">
        <x:v>C06</x:v>
      </x:c>
      <x:c r="H199" s="17" t="str">
        <x:v>collection</x:v>
      </x:c>
      <x:c r="I199" s="17" t="str">
        <x:v>韶关虚拟回收/检测中心</x:v>
      </x:c>
      <x:c r="J199" s="24" t="n">
        <x:v>113.8155263</x:v>
      </x:c>
      <x:c r="K199" s="24" t="n">
        <x:v>24.8309489</x:v>
      </x:c>
      <x:c r="L199" s="21" t="n">
        <x:f>6371*ACOS(MIN(1,COS(F199*PI()/180)*COS(K199*PI()/180)*COS((J199-E199)*PI()/180)+SIN(F199*PI()/180)*SIN(K199*PI()/180)))</x:f>
        <x:v>265.61478907353063</x:v>
      </x:c>
      <x:c r="M199" s="21" t="n">
        <x:f>L199*'情景参数模板'!$D$31</x:f>
        <x:v>318.73774688823676</x:v>
      </x:c>
      <x:c r="N199" s="21" t="n">
        <x:f>IF(C199="source",'情景参数模板'!$D$12,IF(H199="echelon",'情景参数模板'!$D$13,'情景参数模板'!$D$14))</x:f>
        <x:v>0.49</x:v>
      </x:c>
      <x:c r="O199" s="21" t="n">
        <x:f>IF(C199="source",'情景参数模板'!$D$18,IF(H199="echelon",'情景参数模板'!$D$19,'情景参数模板'!$D$20))</x:f>
        <x:v>150</x:v>
      </x:c>
      <x:c r="P199" s="17" t="n">
        <x:f>IF(M199&lt;=O199,1,0)</x:f>
        <x:v>0</x:v>
      </x:c>
      <x:c r="Q199" s="17" t="str">
        <x:v>D-road proxy; B-coordinates</x:v>
      </x:c>
    </x:row>
    <x:row r="200">
      <x:c r="A200" s="17" t="str">
        <x:v>A0196</x:v>
      </x:c>
      <x:c r="B200" s="17" t="str">
        <x:v>GD10</x:v>
      </x:c>
      <x:c r="C200" s="17" t="str">
        <x:v>source</x:v>
      </x:c>
      <x:c r="D200" s="17" t="str">
        <x:v>汕尾</x:v>
      </x:c>
      <x:c r="E200" s="24" t="n">
        <x:v>115.5099937</x:v>
      </x:c>
      <x:c r="F200" s="24" t="n">
        <x:v>23.0123639</x:v>
      </x:c>
      <x:c r="G200" s="17" t="str">
        <x:v>C07</x:v>
      </x:c>
      <x:c r="H200" s="17" t="str">
        <x:v>collection</x:v>
      </x:c>
      <x:c r="I200" s="17" t="str">
        <x:v>河源虚拟回收/检测中心</x:v>
      </x:c>
      <x:c r="J200" s="24" t="n">
        <x:v>115.0577538</x:v>
      </x:c>
      <x:c r="K200" s="24" t="n">
        <x:v>24.1014769</x:v>
      </x:c>
      <x:c r="L200" s="21" t="n">
        <x:f>6371*ACOS(MIN(1,COS(F200*PI()/180)*COS(K200*PI()/180)*COS((J200-E200)*PI()/180)+SIN(F200*PI()/180)*SIN(K200*PI()/180)))</x:f>
        <x:v>129.57964487920876</x:v>
      </x:c>
      <x:c r="M200" s="21" t="n">
        <x:f>L200*'情景参数模板'!$D$31</x:f>
        <x:v>155.4955738550505</x:v>
      </x:c>
      <x:c r="N200" s="21" t="n">
        <x:f>IF(C200="source",'情景参数模板'!$D$12,IF(H200="echelon",'情景参数模板'!$D$13,'情景参数模板'!$D$14))</x:f>
        <x:v>0.49</x:v>
      </x:c>
      <x:c r="O200" s="21" t="n">
        <x:f>IF(C200="source",'情景参数模板'!$D$18,IF(H200="echelon",'情景参数模板'!$D$19,'情景参数模板'!$D$20))</x:f>
        <x:v>150</x:v>
      </x:c>
      <x:c r="P200" s="17" t="n">
        <x:f>IF(M200&lt;=O200,1,0)</x:f>
        <x:v>0</x:v>
      </x:c>
      <x:c r="Q200" s="17" t="str">
        <x:v>D-road proxy; B-coordinates</x:v>
      </x:c>
    </x:row>
    <x:row r="201">
      <x:c r="A201" s="17" t="str">
        <x:v>A0197</x:v>
      </x:c>
      <x:c r="B201" s="17" t="str">
        <x:v>GD10</x:v>
      </x:c>
      <x:c r="C201" s="17" t="str">
        <x:v>source</x:v>
      </x:c>
      <x:c r="D201" s="17" t="str">
        <x:v>汕尾</x:v>
      </x:c>
      <x:c r="E201" s="24" t="n">
        <x:v>115.5099937</x:v>
      </x:c>
      <x:c r="F201" s="24" t="n">
        <x:v>23.0123639</x:v>
      </x:c>
      <x:c r="G201" s="17" t="str">
        <x:v>C08</x:v>
      </x:c>
      <x:c r="H201" s="17" t="str">
        <x:v>collection</x:v>
      </x:c>
      <x:c r="I201" s="17" t="str">
        <x:v>梅州虚拟回收/检测中心</x:v>
      </x:c>
      <x:c r="J201" s="24" t="n">
        <x:v>116.1171428</x:v>
      </x:c>
      <x:c r="K201" s="24" t="n">
        <x:v>24.2918414</x:v>
      </x:c>
      <x:c r="L201" s="21" t="n">
        <x:f>6371*ACOS(MIN(1,COS(F201*PI()/180)*COS(K201*PI()/180)*COS((J201-E201)*PI()/180)+SIN(F201*PI()/180)*SIN(K201*PI()/180)))</x:f>
        <x:v>155.1295576754154</x:v>
      </x:c>
      <x:c r="M201" s="21" t="n">
        <x:f>L201*'情景参数模板'!$D$31</x:f>
        <x:v>186.1554692104985</x:v>
      </x:c>
      <x:c r="N201" s="21" t="n">
        <x:f>IF(C201="source",'情景参数模板'!$D$12,IF(H201="echelon",'情景参数模板'!$D$13,'情景参数模板'!$D$14))</x:f>
        <x:v>0.49</x:v>
      </x:c>
      <x:c r="O201" s="21" t="n">
        <x:f>IF(C201="source",'情景参数模板'!$D$18,IF(H201="echelon",'情景参数模板'!$D$19,'情景参数模板'!$D$20))</x:f>
        <x:v>150</x:v>
      </x:c>
      <x:c r="P201" s="17" t="n">
        <x:f>IF(M201&lt;=O201,1,0)</x:f>
        <x:v>0</x:v>
      </x:c>
      <x:c r="Q201" s="17" t="str">
        <x:v>D-road proxy; B-coordinates</x:v>
      </x:c>
    </x:row>
    <x:row r="202">
      <x:c r="A202" s="17" t="str">
        <x:v>A0198</x:v>
      </x:c>
      <x:c r="B202" s="17" t="str">
        <x:v>GD10</x:v>
      </x:c>
      <x:c r="C202" s="17" t="str">
        <x:v>source</x:v>
      </x:c>
      <x:c r="D202" s="17" t="str">
        <x:v>汕尾</x:v>
      </x:c>
      <x:c r="E202" s="24" t="n">
        <x:v>115.5099937</x:v>
      </x:c>
      <x:c r="F202" s="24" t="n">
        <x:v>23.0123639</x:v>
      </x:c>
      <x:c r="G202" s="17" t="str">
        <x:v>C09</x:v>
      </x:c>
      <x:c r="H202" s="17" t="str">
        <x:v>collection</x:v>
      </x:c>
      <x:c r="I202" s="17" t="str">
        <x:v>惠州虚拟回收/检测中心</x:v>
      </x:c>
      <x:c r="J202" s="24" t="n">
        <x:v>114.4127007</x:v>
      </x:c>
      <x:c r="K202" s="24" t="n">
        <x:v>23.1125153</x:v>
      </x:c>
      <x:c r="L202" s="21" t="n">
        <x:f>6371*ACOS(MIN(1,COS(F202*PI()/180)*COS(K202*PI()/180)*COS((J202-E202)*PI()/180)+SIN(F202*PI()/180)*SIN(K202*PI()/180)))</x:f>
        <x:v>112.81264213991685</x:v>
      </x:c>
      <x:c r="M202" s="21" t="n">
        <x:f>L202*'情景参数模板'!$D$31</x:f>
        <x:v>135.3751705679002</x:v>
      </x:c>
      <x:c r="N202" s="21" t="n">
        <x:f>IF(C202="source",'情景参数模板'!$D$12,IF(H202="echelon",'情景参数模板'!$D$13,'情景参数模板'!$D$14))</x:f>
        <x:v>0.49</x:v>
      </x:c>
      <x:c r="O202" s="21" t="n">
        <x:f>IF(C202="source",'情景参数模板'!$D$18,IF(H202="echelon",'情景参数模板'!$D$19,'情景参数模板'!$D$20))</x:f>
        <x:v>150</x:v>
      </x:c>
      <x:c r="P202" s="17" t="n">
        <x:f>IF(M202&lt;=O202,1,0)</x:f>
        <x:v>1</x:v>
      </x:c>
      <x:c r="Q202" s="17" t="str">
        <x:v>D-road proxy; B-coordinates</x:v>
      </x:c>
    </x:row>
    <x:row r="203">
      <x:c r="A203" s="17" t="str">
        <x:v>A0199</x:v>
      </x:c>
      <x:c r="B203" s="17" t="str">
        <x:v>GD10</x:v>
      </x:c>
      <x:c r="C203" s="17" t="str">
        <x:v>source</x:v>
      </x:c>
      <x:c r="D203" s="17" t="str">
        <x:v>汕尾</x:v>
      </x:c>
      <x:c r="E203" s="24" t="n">
        <x:v>115.5099937</x:v>
      </x:c>
      <x:c r="F203" s="24" t="n">
        <x:v>23.0123639</x:v>
      </x:c>
      <x:c r="G203" s="17" t="str">
        <x:v>C10</x:v>
      </x:c>
      <x:c r="H203" s="17" t="str">
        <x:v>collection</x:v>
      </x:c>
      <x:c r="I203" s="17" t="str">
        <x:v>汕尾虚拟回收/检测中心</x:v>
      </x:c>
      <x:c r="J203" s="24" t="n">
        <x:v>115.5099937</x:v>
      </x:c>
      <x:c r="K203" s="24" t="n">
        <x:v>23.0123639</x:v>
      </x:c>
      <x:c r="L203" s="21" t="n">
        <x:f>6371*ACOS(MIN(1,COS(F203*PI()/180)*COS(K203*PI()/180)*COS((J203-E203)*PI()/180)+SIN(F203*PI()/180)*SIN(K203*PI()/180)))</x:f>
        <x:v>0</x:v>
      </x:c>
      <x:c r="M203" s="21" t="n">
        <x:f>L203*'情景参数模板'!$D$31</x:f>
        <x:v>0</x:v>
      </x:c>
      <x:c r="N203" s="21" t="n">
        <x:f>IF(C203="source",'情景参数模板'!$D$12,IF(H203="echelon",'情景参数模板'!$D$13,'情景参数模板'!$D$14))</x:f>
        <x:v>0.49</x:v>
      </x:c>
      <x:c r="O203" s="21" t="n">
        <x:f>IF(C203="source",'情景参数模板'!$D$18,IF(H203="echelon",'情景参数模板'!$D$19,'情景参数模板'!$D$20))</x:f>
        <x:v>150</x:v>
      </x:c>
      <x:c r="P203" s="17" t="n">
        <x:f>IF(M203&lt;=O203,1,0)</x:f>
        <x:v>1</x:v>
      </x:c>
      <x:c r="Q203" s="17" t="str">
        <x:v>D-road proxy; B-coordinates</x:v>
      </x:c>
    </x:row>
    <x:row r="204">
      <x:c r="A204" s="17" t="str">
        <x:v>A0200</x:v>
      </x:c>
      <x:c r="B204" s="17" t="str">
        <x:v>GD10</x:v>
      </x:c>
      <x:c r="C204" s="17" t="str">
        <x:v>source</x:v>
      </x:c>
      <x:c r="D204" s="17" t="str">
        <x:v>汕尾</x:v>
      </x:c>
      <x:c r="E204" s="24" t="n">
        <x:v>115.5099937</x:v>
      </x:c>
      <x:c r="F204" s="24" t="n">
        <x:v>23.0123639</x:v>
      </x:c>
      <x:c r="G204" s="17" t="str">
        <x:v>C11</x:v>
      </x:c>
      <x:c r="H204" s="17" t="str">
        <x:v>collection</x:v>
      </x:c>
      <x:c r="I204" s="17" t="str">
        <x:v>东莞虚拟回收/检测中心</x:v>
      </x:c>
      <x:c r="J204" s="24" t="n">
        <x:v>113.7452332</x:v>
      </x:c>
      <x:c r="K204" s="24" t="n">
        <x:v>23.0183568</x:v>
      </x:c>
      <x:c r="L204" s="21" t="n">
        <x:f>6371*ACOS(MIN(1,COS(F204*PI()/180)*COS(K204*PI()/180)*COS((J204-E204)*PI()/180)+SIN(F204*PI()/180)*SIN(K204*PI()/180)))</x:f>
        <x:v>180.61246561279575</x:v>
      </x:c>
      <x:c r="M204" s="21" t="n">
        <x:f>L204*'情景参数模板'!$D$31</x:f>
        <x:v>216.7349587353549</x:v>
      </x:c>
      <x:c r="N204" s="21" t="n">
        <x:f>IF(C204="source",'情景参数模板'!$D$12,IF(H204="echelon",'情景参数模板'!$D$13,'情景参数模板'!$D$14))</x:f>
        <x:v>0.49</x:v>
      </x:c>
      <x:c r="O204" s="21" t="n">
        <x:f>IF(C204="source",'情景参数模板'!$D$18,IF(H204="echelon",'情景参数模板'!$D$19,'情景参数模板'!$D$20))</x:f>
        <x:v>150</x:v>
      </x:c>
      <x:c r="P204" s="17" t="n">
        <x:f>IF(M204&lt;=O204,1,0)</x:f>
        <x:v>0</x:v>
      </x:c>
      <x:c r="Q204" s="17" t="str">
        <x:v>D-road proxy; B-coordinates</x:v>
      </x:c>
    </x:row>
    <x:row r="205">
      <x:c r="A205" s="17" t="str">
        <x:v>A0201</x:v>
      </x:c>
      <x:c r="B205" s="17" t="str">
        <x:v>GD10</x:v>
      </x:c>
      <x:c r="C205" s="17" t="str">
        <x:v>source</x:v>
      </x:c>
      <x:c r="D205" s="17" t="str">
        <x:v>汕尾</x:v>
      </x:c>
      <x:c r="E205" s="24" t="n">
        <x:v>115.5099937</x:v>
      </x:c>
      <x:c r="F205" s="24" t="n">
        <x:v>23.0123639</x:v>
      </x:c>
      <x:c r="G205" s="17" t="str">
        <x:v>C12</x:v>
      </x:c>
      <x:c r="H205" s="17" t="str">
        <x:v>collection</x:v>
      </x:c>
      <x:c r="I205" s="17" t="str">
        <x:v>中山虚拟回收/检测中心</x:v>
      </x:c>
      <x:c r="J205" s="24" t="n">
        <x:v>113.3872302</x:v>
      </x:c>
      <x:c r="K205" s="24" t="n">
        <x:v>22.5197073</x:v>
      </x:c>
      <x:c r="L205" s="21" t="n">
        <x:f>6371*ACOS(MIN(1,COS(F205*PI()/180)*COS(K205*PI()/180)*COS((J205-E205)*PI()/180)+SIN(F205*PI()/180)*SIN(K205*PI()/180)))</x:f>
        <x:v>224.4365359002932</x:v>
      </x:c>
      <x:c r="M205" s="21" t="n">
        <x:f>L205*'情景参数模板'!$D$31</x:f>
        <x:v>269.3238430803518</x:v>
      </x:c>
      <x:c r="N205" s="21" t="n">
        <x:f>IF(C205="source",'情景参数模板'!$D$12,IF(H205="echelon",'情景参数模板'!$D$13,'情景参数模板'!$D$14))</x:f>
        <x:v>0.49</x:v>
      </x:c>
      <x:c r="O205" s="21" t="n">
        <x:f>IF(C205="source",'情景参数模板'!$D$18,IF(H205="echelon",'情景参数模板'!$D$19,'情景参数模板'!$D$20))</x:f>
        <x:v>150</x:v>
      </x:c>
      <x:c r="P205" s="17" t="n">
        <x:f>IF(M205&lt;=O205,1,0)</x:f>
        <x:v>0</x:v>
      </x:c>
      <x:c r="Q205" s="17" t="str">
        <x:v>D-road proxy; B-coordinates</x:v>
      </x:c>
    </x:row>
    <x:row r="206">
      <x:c r="A206" s="17" t="str">
        <x:v>A0202</x:v>
      </x:c>
      <x:c r="B206" s="17" t="str">
        <x:v>GD10</x:v>
      </x:c>
      <x:c r="C206" s="17" t="str">
        <x:v>source</x:v>
      </x:c>
      <x:c r="D206" s="17" t="str">
        <x:v>汕尾</x:v>
      </x:c>
      <x:c r="E206" s="24" t="n">
        <x:v>115.5099937</x:v>
      </x:c>
      <x:c r="F206" s="24" t="n">
        <x:v>23.0123639</x:v>
      </x:c>
      <x:c r="G206" s="17" t="str">
        <x:v>C13</x:v>
      </x:c>
      <x:c r="H206" s="17" t="str">
        <x:v>collection</x:v>
      </x:c>
      <x:c r="I206" s="17" t="str">
        <x:v>江门虚拟回收/检测中心</x:v>
      </x:c>
      <x:c r="J206" s="24" t="n">
        <x:v>113.0761073</x:v>
      </x:c>
      <x:c r="K206" s="24" t="n">
        <x:v>22.5816619</x:v>
      </x:c>
      <x:c r="L206" s="21" t="n">
        <x:f>6371*ACOS(MIN(1,COS(F206*PI()/180)*COS(K206*PI()/180)*COS((J206-E206)*PI()/180)+SIN(F206*PI()/180)*SIN(K206*PI()/180)))</x:f>
        <x:v>254.0459836486194</x:v>
      </x:c>
      <x:c r="M206" s="21" t="n">
        <x:f>L206*'情景参数模板'!$D$31</x:f>
        <x:v>304.8551803783433</x:v>
      </x:c>
      <x:c r="N206" s="21" t="n">
        <x:f>IF(C206="source",'情景参数模板'!$D$12,IF(H206="echelon",'情景参数模板'!$D$13,'情景参数模板'!$D$14))</x:f>
        <x:v>0.49</x:v>
      </x:c>
      <x:c r="O206" s="21" t="n">
        <x:f>IF(C206="source",'情景参数模板'!$D$18,IF(H206="echelon",'情景参数模板'!$D$19,'情景参数模板'!$D$20))</x:f>
        <x:v>150</x:v>
      </x:c>
      <x:c r="P206" s="17" t="n">
        <x:f>IF(M206&lt;=O206,1,0)</x:f>
        <x:v>0</x:v>
      </x:c>
      <x:c r="Q206" s="17" t="str">
        <x:v>D-road proxy; B-coordinates</x:v>
      </x:c>
    </x:row>
    <x:row r="207">
      <x:c r="A207" s="17" t="str">
        <x:v>A0203</x:v>
      </x:c>
      <x:c r="B207" s="17" t="str">
        <x:v>GD10</x:v>
      </x:c>
      <x:c r="C207" s="17" t="str">
        <x:v>source</x:v>
      </x:c>
      <x:c r="D207" s="17" t="str">
        <x:v>汕尾</x:v>
      </x:c>
      <x:c r="E207" s="24" t="n">
        <x:v>115.5099937</x:v>
      </x:c>
      <x:c r="F207" s="24" t="n">
        <x:v>23.0123639</x:v>
      </x:c>
      <x:c r="G207" s="17" t="str">
        <x:v>C14</x:v>
      </x:c>
      <x:c r="H207" s="17" t="str">
        <x:v>collection</x:v>
      </x:c>
      <x:c r="I207" s="17" t="str">
        <x:v>阳江虚拟回收/检测中心</x:v>
      </x:c>
      <x:c r="J207" s="24" t="n">
        <x:v>111.7831393</x:v>
      </x:c>
      <x:c r="K207" s="24" t="n">
        <x:v>22.0958223</x:v>
      </x:c>
      <x:c r="L207" s="21" t="n">
        <x:f>6371*ACOS(MIN(1,COS(F207*PI()/180)*COS(K207*PI()/180)*COS((J207-E207)*PI()/180)+SIN(F207*PI()/180)*SIN(K207*PI()/180)))</x:f>
        <x:v>396.03429540890875</x:v>
      </x:c>
      <x:c r="M207" s="21" t="n">
        <x:f>L207*'情景参数模板'!$D$31</x:f>
        <x:v>475.24115449069046</x:v>
      </x:c>
      <x:c r="N207" s="21" t="n">
        <x:f>IF(C207="source",'情景参数模板'!$D$12,IF(H207="echelon",'情景参数模板'!$D$13,'情景参数模板'!$D$14))</x:f>
        <x:v>0.49</x:v>
      </x:c>
      <x:c r="O207" s="21" t="n">
        <x:f>IF(C207="source",'情景参数模板'!$D$18,IF(H207="echelon",'情景参数模板'!$D$19,'情景参数模板'!$D$20))</x:f>
        <x:v>150</x:v>
      </x:c>
      <x:c r="P207" s="17" t="n">
        <x:f>IF(M207&lt;=O207,1,0)</x:f>
        <x:v>0</x:v>
      </x:c>
      <x:c r="Q207" s="17" t="str">
        <x:v>D-road proxy; B-coordinates</x:v>
      </x:c>
    </x:row>
    <x:row r="208">
      <x:c r="A208" s="17" t="str">
        <x:v>A0204</x:v>
      </x:c>
      <x:c r="B208" s="17" t="str">
        <x:v>GD10</x:v>
      </x:c>
      <x:c r="C208" s="17" t="str">
        <x:v>source</x:v>
      </x:c>
      <x:c r="D208" s="17" t="str">
        <x:v>汕尾</x:v>
      </x:c>
      <x:c r="E208" s="24" t="n">
        <x:v>115.5099937</x:v>
      </x:c>
      <x:c r="F208" s="24" t="n">
        <x:v>23.0123639</x:v>
      </x:c>
      <x:c r="G208" s="17" t="str">
        <x:v>C15</x:v>
      </x:c>
      <x:c r="H208" s="17" t="str">
        <x:v>collection</x:v>
      </x:c>
      <x:c r="I208" s="17" t="str">
        <x:v>湛江虚拟回收/检测中心</x:v>
      </x:c>
      <x:c r="J208" s="24" t="n">
        <x:v>110.3548318</x:v>
      </x:c>
      <x:c r="K208" s="24" t="n">
        <x:v>21.2737079</x:v>
      </x:c>
      <x:c r="L208" s="21" t="n">
        <x:f>6371*ACOS(MIN(1,COS(F208*PI()/180)*COS(K208*PI()/180)*COS((J208-E208)*PI()/180)+SIN(F208*PI()/180)*SIN(K208*PI()/180)))</x:f>
        <x:v>564.9997631187175</x:v>
      </x:c>
      <x:c r="M208" s="21" t="n">
        <x:f>L208*'情景参数模板'!$D$31</x:f>
        <x:v>677.999715742461</x:v>
      </x:c>
      <x:c r="N208" s="21" t="n">
        <x:f>IF(C208="source",'情景参数模板'!$D$12,IF(H208="echelon",'情景参数模板'!$D$13,'情景参数模板'!$D$14))</x:f>
        <x:v>0.49</x:v>
      </x:c>
      <x:c r="O208" s="21" t="n">
        <x:f>IF(C208="source",'情景参数模板'!$D$18,IF(H208="echelon",'情景参数模板'!$D$19,'情景参数模板'!$D$20))</x:f>
        <x:v>150</x:v>
      </x:c>
      <x:c r="P208" s="17" t="n">
        <x:f>IF(M208&lt;=O208,1,0)</x:f>
        <x:v>0</x:v>
      </x:c>
      <x:c r="Q208" s="17" t="str">
        <x:v>D-road proxy; B-coordinates</x:v>
      </x:c>
    </x:row>
    <x:row r="209">
      <x:c r="A209" s="17" t="str">
        <x:v>A0205</x:v>
      </x:c>
      <x:c r="B209" s="17" t="str">
        <x:v>GD10</x:v>
      </x:c>
      <x:c r="C209" s="17" t="str">
        <x:v>source</x:v>
      </x:c>
      <x:c r="D209" s="17" t="str">
        <x:v>汕尾</x:v>
      </x:c>
      <x:c r="E209" s="24" t="n">
        <x:v>115.5099937</x:v>
      </x:c>
      <x:c r="F209" s="24" t="n">
        <x:v>23.0123639</x:v>
      </x:c>
      <x:c r="G209" s="17" t="str">
        <x:v>C16</x:v>
      </x:c>
      <x:c r="H209" s="17" t="str">
        <x:v>collection</x:v>
      </x:c>
      <x:c r="I209" s="17" t="str">
        <x:v>茂名虚拟回收/检测中心</x:v>
      </x:c>
      <x:c r="J209" s="24" t="n">
        <x:v>110.9209511</x:v>
      </x:c>
      <x:c r="K209" s="24" t="n">
        <x:v>21.6656961</x:v>
      </x:c>
      <x:c r="L209" s="21" t="n">
        <x:f>6371*ACOS(MIN(1,COS(F209*PI()/180)*COS(K209*PI()/180)*COS((J209-E209)*PI()/180)+SIN(F209*PI()/180)*SIN(K209*PI()/180)))</x:f>
        <x:v>495.1338872559812</x:v>
      </x:c>
      <x:c r="M209" s="21" t="n">
        <x:f>L209*'情景参数模板'!$D$31</x:f>
        <x:v>594.1606647071775</x:v>
      </x:c>
      <x:c r="N209" s="21" t="n">
        <x:f>IF(C209="source",'情景参数模板'!$D$12,IF(H209="echelon",'情景参数模板'!$D$13,'情景参数模板'!$D$14))</x:f>
        <x:v>0.49</x:v>
      </x:c>
      <x:c r="O209" s="21" t="n">
        <x:f>IF(C209="source",'情景参数模板'!$D$18,IF(H209="echelon",'情景参数模板'!$D$19,'情景参数模板'!$D$20))</x:f>
        <x:v>150</x:v>
      </x:c>
      <x:c r="P209" s="17" t="n">
        <x:f>IF(M209&lt;=O209,1,0)</x:f>
        <x:v>0</x:v>
      </x:c>
      <x:c r="Q209" s="17" t="str">
        <x:v>D-road proxy; B-coordinates</x:v>
      </x:c>
    </x:row>
    <x:row r="210">
      <x:c r="A210" s="17" t="str">
        <x:v>A0206</x:v>
      </x:c>
      <x:c r="B210" s="17" t="str">
        <x:v>GD10</x:v>
      </x:c>
      <x:c r="C210" s="17" t="str">
        <x:v>source</x:v>
      </x:c>
      <x:c r="D210" s="17" t="str">
        <x:v>汕尾</x:v>
      </x:c>
      <x:c r="E210" s="24" t="n">
        <x:v>115.5099937</x:v>
      </x:c>
      <x:c r="F210" s="24" t="n">
        <x:v>23.0123639</x:v>
      </x:c>
      <x:c r="G210" s="17" t="str">
        <x:v>C17</x:v>
      </x:c>
      <x:c r="H210" s="17" t="str">
        <x:v>collection</x:v>
      </x:c>
      <x:c r="I210" s="17" t="str">
        <x:v>肇庆虚拟回收/检测中心</x:v>
      </x:c>
      <x:c r="J210" s="24" t="n">
        <x:v>112.4603629</x:v>
      </x:c>
      <x:c r="K210" s="24" t="n">
        <x:v>23.0501661</x:v>
      </x:c>
      <x:c r="L210" s="21" t="n">
        <x:f>6371*ACOS(MIN(1,COS(F210*PI()/180)*COS(K210*PI()/180)*COS((J210-E210)*PI()/180)+SIN(F210*PI()/180)*SIN(K210*PI()/180)))</x:f>
        <x:v>312.0967041495048</x:v>
      </x:c>
      <x:c r="M210" s="21" t="n">
        <x:f>L210*'情景参数模板'!$D$31</x:f>
        <x:v>374.5160449794057</x:v>
      </x:c>
      <x:c r="N210" s="21" t="n">
        <x:f>IF(C210="source",'情景参数模板'!$D$12,IF(H210="echelon",'情景参数模板'!$D$13,'情景参数模板'!$D$14))</x:f>
        <x:v>0.49</x:v>
      </x:c>
      <x:c r="O210" s="21" t="n">
        <x:f>IF(C210="source",'情景参数模板'!$D$18,IF(H210="echelon",'情景参数模板'!$D$19,'情景参数模板'!$D$20))</x:f>
        <x:v>150</x:v>
      </x:c>
      <x:c r="P210" s="17" t="n">
        <x:f>IF(M210&lt;=O210,1,0)</x:f>
        <x:v>0</x:v>
      </x:c>
      <x:c r="Q210" s="17" t="str">
        <x:v>D-road proxy; B-coordinates</x:v>
      </x:c>
    </x:row>
    <x:row r="211">
      <x:c r="A211" s="17" t="str">
        <x:v>A0207</x:v>
      </x:c>
      <x:c r="B211" s="17" t="str">
        <x:v>GD10</x:v>
      </x:c>
      <x:c r="C211" s="17" t="str">
        <x:v>source</x:v>
      </x:c>
      <x:c r="D211" s="17" t="str">
        <x:v>汕尾</x:v>
      </x:c>
      <x:c r="E211" s="24" t="n">
        <x:v>115.5099937</x:v>
      </x:c>
      <x:c r="F211" s="24" t="n">
        <x:v>23.0123639</x:v>
      </x:c>
      <x:c r="G211" s="17" t="str">
        <x:v>C18</x:v>
      </x:c>
      <x:c r="H211" s="17" t="str">
        <x:v>collection</x:v>
      </x:c>
      <x:c r="I211" s="17" t="str">
        <x:v>清远虚拟回收/检测中心</x:v>
      </x:c>
      <x:c r="J211" s="24" t="n">
        <x:v>113.0505994</x:v>
      </x:c>
      <x:c r="K211" s="24" t="n">
        <x:v>23.6832984</x:v>
      </x:c>
      <x:c r="L211" s="21" t="n">
        <x:f>6371*ACOS(MIN(1,COS(F211*PI()/180)*COS(K211*PI()/180)*COS((J211-E211)*PI()/180)+SIN(F211*PI()/180)*SIN(K211*PI()/180)))</x:f>
        <x:v>261.9235028063955</x:v>
      </x:c>
      <x:c r="M211" s="21" t="n">
        <x:f>L211*'情景参数模板'!$D$31</x:f>
        <x:v>314.3082033676746</x:v>
      </x:c>
      <x:c r="N211" s="21" t="n">
        <x:f>IF(C211="source",'情景参数模板'!$D$12,IF(H211="echelon",'情景参数模板'!$D$13,'情景参数模板'!$D$14))</x:f>
        <x:v>0.49</x:v>
      </x:c>
      <x:c r="O211" s="21" t="n">
        <x:f>IF(C211="source",'情景参数模板'!$D$18,IF(H211="echelon",'情景参数模板'!$D$19,'情景参数模板'!$D$20))</x:f>
        <x:v>150</x:v>
      </x:c>
      <x:c r="P211" s="17" t="n">
        <x:f>IF(M211&lt;=O211,1,0)</x:f>
        <x:v>0</x:v>
      </x:c>
      <x:c r="Q211" s="17" t="str">
        <x:v>D-road proxy; B-coordinates</x:v>
      </x:c>
    </x:row>
    <x:row r="212">
      <x:c r="A212" s="17" t="str">
        <x:v>A0208</x:v>
      </x:c>
      <x:c r="B212" s="17" t="str">
        <x:v>GD10</x:v>
      </x:c>
      <x:c r="C212" s="17" t="str">
        <x:v>source</x:v>
      </x:c>
      <x:c r="D212" s="17" t="str">
        <x:v>汕尾</x:v>
      </x:c>
      <x:c r="E212" s="24" t="n">
        <x:v>115.5099937</x:v>
      </x:c>
      <x:c r="F212" s="24" t="n">
        <x:v>23.0123639</x:v>
      </x:c>
      <x:c r="G212" s="17" t="str">
        <x:v>C19</x:v>
      </x:c>
      <x:c r="H212" s="17" t="str">
        <x:v>collection</x:v>
      </x:c>
      <x:c r="I212" s="17" t="str">
        <x:v>潮州虚拟回收/检测中心</x:v>
      </x:c>
      <x:c r="J212" s="24" t="n">
        <x:v>116.6204223</x:v>
      </x:c>
      <x:c r="K212" s="24" t="n">
        <x:v>23.656593</x:v>
      </x:c>
      <x:c r="L212" s="21" t="n">
        <x:f>6371*ACOS(MIN(1,COS(F212*PI()/180)*COS(K212*PI()/180)*COS((J212-E212)*PI()/180)+SIN(F212*PI()/180)*SIN(K212*PI()/180)))</x:f>
        <x:v>134.10876046805132</x:v>
      </x:c>
      <x:c r="M212" s="21" t="n">
        <x:f>L212*'情景参数模板'!$D$31</x:f>
        <x:v>160.93051256166157</x:v>
      </x:c>
      <x:c r="N212" s="21" t="n">
        <x:f>IF(C212="source",'情景参数模板'!$D$12,IF(H212="echelon",'情景参数模板'!$D$13,'情景参数模板'!$D$14))</x:f>
        <x:v>0.49</x:v>
      </x:c>
      <x:c r="O212" s="21" t="n">
        <x:f>IF(C212="source",'情景参数模板'!$D$18,IF(H212="echelon",'情景参数模板'!$D$19,'情景参数模板'!$D$20))</x:f>
        <x:v>150</x:v>
      </x:c>
      <x:c r="P212" s="17" t="n">
        <x:f>IF(M212&lt;=O212,1,0)</x:f>
        <x:v>0</x:v>
      </x:c>
      <x:c r="Q212" s="17" t="str">
        <x:v>D-road proxy; B-coordinates</x:v>
      </x:c>
    </x:row>
    <x:row r="213">
      <x:c r="A213" s="17" t="str">
        <x:v>A0209</x:v>
      </x:c>
      <x:c r="B213" s="17" t="str">
        <x:v>GD10</x:v>
      </x:c>
      <x:c r="C213" s="17" t="str">
        <x:v>source</x:v>
      </x:c>
      <x:c r="D213" s="17" t="str">
        <x:v>汕尾</x:v>
      </x:c>
      <x:c r="E213" s="24" t="n">
        <x:v>115.5099937</x:v>
      </x:c>
      <x:c r="F213" s="24" t="n">
        <x:v>23.0123639</x:v>
      </x:c>
      <x:c r="G213" s="17" t="str">
        <x:v>C20</x:v>
      </x:c>
      <x:c r="H213" s="17" t="str">
        <x:v>collection</x:v>
      </x:c>
      <x:c r="I213" s="17" t="str">
        <x:v>揭阳虚拟回收/检测中心</x:v>
      </x:c>
      <x:c r="J213" s="24" t="n">
        <x:v>116.3680354</x:v>
      </x:c>
      <x:c r="K213" s="24" t="n">
        <x:v>23.553156</x:v>
      </x:c>
      <x:c r="L213" s="21" t="n">
        <x:f>6371*ACOS(MIN(1,COS(F213*PI()/180)*COS(K213*PI()/180)*COS((J213-E213)*PI()/180)+SIN(F213*PI()/180)*SIN(K213*PI()/180)))</x:f>
        <x:v>106.28600251464582</x:v>
      </x:c>
      <x:c r="M213" s="21" t="n">
        <x:f>L213*'情景参数模板'!$D$31</x:f>
        <x:v>127.54320301757497</x:v>
      </x:c>
      <x:c r="N213" s="21" t="n">
        <x:f>IF(C213="source",'情景参数模板'!$D$12,IF(H213="echelon",'情景参数模板'!$D$13,'情景参数模板'!$D$14))</x:f>
        <x:v>0.49</x:v>
      </x:c>
      <x:c r="O213" s="21" t="n">
        <x:f>IF(C213="source",'情景参数模板'!$D$18,IF(H213="echelon",'情景参数模板'!$D$19,'情景参数模板'!$D$20))</x:f>
        <x:v>150</x:v>
      </x:c>
      <x:c r="P213" s="17" t="n">
        <x:f>IF(M213&lt;=O213,1,0)</x:f>
        <x:v>1</x:v>
      </x:c>
      <x:c r="Q213" s="17" t="str">
        <x:v>D-road proxy; B-coordinates</x:v>
      </x:c>
    </x:row>
    <x:row r="214">
      <x:c r="A214" s="17" t="str">
        <x:v>A0210</x:v>
      </x:c>
      <x:c r="B214" s="17" t="str">
        <x:v>GD10</x:v>
      </x:c>
      <x:c r="C214" s="17" t="str">
        <x:v>source</x:v>
      </x:c>
      <x:c r="D214" s="17" t="str">
        <x:v>汕尾</x:v>
      </x:c>
      <x:c r="E214" s="24" t="n">
        <x:v>115.5099937</x:v>
      </x:c>
      <x:c r="F214" s="24" t="n">
        <x:v>23.0123639</x:v>
      </x:c>
      <x:c r="G214" s="17" t="str">
        <x:v>C21</x:v>
      </x:c>
      <x:c r="H214" s="17" t="str">
        <x:v>collection</x:v>
      </x:c>
      <x:c r="I214" s="17" t="str">
        <x:v>云浮虚拟回收/检测中心</x:v>
      </x:c>
      <x:c r="J214" s="24" t="n">
        <x:v>111.8078586</x:v>
      </x:c>
      <x:c r="K214" s="24" t="n">
        <x:v>22.8546663</x:v>
      </x:c>
      <x:c r="L214" s="21" t="n">
        <x:f>6371*ACOS(MIN(1,COS(F214*PI()/180)*COS(K214*PI()/180)*COS((J214-E214)*PI()/180)+SIN(F214*PI()/180)*SIN(K214*PI()/180)))</x:f>
        <x:v>379.5152802491003</x:v>
      </x:c>
      <x:c r="M214" s="21" t="n">
        <x:f>L214*'情景参数模板'!$D$31</x:f>
        <x:v>455.41833629892034</x:v>
      </x:c>
      <x:c r="N214" s="21" t="n">
        <x:f>IF(C214="source",'情景参数模板'!$D$12,IF(H214="echelon",'情景参数模板'!$D$13,'情景参数模板'!$D$14))</x:f>
        <x:v>0.49</x:v>
      </x:c>
      <x:c r="O214" s="21" t="n">
        <x:f>IF(C214="source",'情景参数模板'!$D$18,IF(H214="echelon",'情景参数模板'!$D$19,'情景参数模板'!$D$20))</x:f>
        <x:v>150</x:v>
      </x:c>
      <x:c r="P214" s="17" t="n">
        <x:f>IF(M214&lt;=O214,1,0)</x:f>
        <x:v>0</x:v>
      </x:c>
      <x:c r="Q214" s="17" t="str">
        <x:v>D-road proxy; B-coordinates</x:v>
      </x:c>
    </x:row>
    <x:row r="215">
      <x:c r="A215" s="17" t="str">
        <x:v>A0211</x:v>
      </x:c>
      <x:c r="B215" s="17" t="str">
        <x:v>GD11</x:v>
      </x:c>
      <x:c r="C215" s="17" t="str">
        <x:v>source</x:v>
      </x:c>
      <x:c r="D215" s="17" t="str">
        <x:v>东莞</x:v>
      </x:c>
      <x:c r="E215" s="24" t="n">
        <x:v>113.7452332</x:v>
      </x:c>
      <x:c r="F215" s="24" t="n">
        <x:v>23.0183568</x:v>
      </x:c>
      <x:c r="G215" s="17" t="str">
        <x:v>C01</x:v>
      </x:c>
      <x:c r="H215" s="17" t="str">
        <x:v>collection</x:v>
      </x:c>
      <x:c r="I215" s="17" t="str">
        <x:v>广州虚拟回收/检测中心</x:v>
      </x:c>
      <x:c r="J215" s="24" t="n">
        <x:v>113.2589581</x:v>
      </x:c>
      <x:c r="K215" s="24" t="n">
        <x:v>23.1288429</x:v>
      </x:c>
      <x:c r="L215" s="21" t="n">
        <x:f>6371*ACOS(MIN(1,COS(F215*PI()/180)*COS(K215*PI()/180)*COS((J215-E215)*PI()/180)+SIN(F215*PI()/180)*SIN(K215*PI()/180)))</x:f>
        <x:v>51.240297874016186</x:v>
      </x:c>
      <x:c r="M215" s="21" t="n">
        <x:f>L215*'情景参数模板'!$D$31</x:f>
        <x:v>61.48835744881942</x:v>
      </x:c>
      <x:c r="N215" s="21" t="n">
        <x:f>IF(C215="source",'情景参数模板'!$D$12,IF(H215="echelon",'情景参数模板'!$D$13,'情景参数模板'!$D$14))</x:f>
        <x:v>0.49</x:v>
      </x:c>
      <x:c r="O215" s="21" t="n">
        <x:f>IF(C215="source",'情景参数模板'!$D$18,IF(H215="echelon",'情景参数模板'!$D$19,'情景参数模板'!$D$20))</x:f>
        <x:v>150</x:v>
      </x:c>
      <x:c r="P215" s="17" t="n">
        <x:f>IF(M215&lt;=O215,1,0)</x:f>
        <x:v>1</x:v>
      </x:c>
      <x:c r="Q215" s="17" t="str">
        <x:v>D-road proxy; B-coordinates</x:v>
      </x:c>
    </x:row>
    <x:row r="216">
      <x:c r="A216" s="17" t="str">
        <x:v>A0212</x:v>
      </x:c>
      <x:c r="B216" s="17" t="str">
        <x:v>GD11</x:v>
      </x:c>
      <x:c r="C216" s="17" t="str">
        <x:v>source</x:v>
      </x:c>
      <x:c r="D216" s="17" t="str">
        <x:v>东莞</x:v>
      </x:c>
      <x:c r="E216" s="24" t="n">
        <x:v>113.7452332</x:v>
      </x:c>
      <x:c r="F216" s="24" t="n">
        <x:v>23.0183568</x:v>
      </x:c>
      <x:c r="G216" s="17" t="str">
        <x:v>C02</x:v>
      </x:c>
      <x:c r="H216" s="17" t="str">
        <x:v>collection</x:v>
      </x:c>
      <x:c r="I216" s="17" t="str">
        <x:v>深圳虚拟回收/检测中心</x:v>
      </x:c>
      <x:c r="J216" s="24" t="n">
        <x:v>114.0545429</x:v>
      </x:c>
      <x:c r="K216" s="24" t="n">
        <x:v>22.5445741</x:v>
      </x:c>
      <x:c r="L216" s="21" t="n">
        <x:f>6371*ACOS(MIN(1,COS(F216*PI()/180)*COS(K216*PI()/180)*COS((J216-E216)*PI()/180)+SIN(F216*PI()/180)*SIN(K216*PI()/180)))</x:f>
        <x:v>61.48958054626042</x:v>
      </x:c>
      <x:c r="M216" s="21" t="n">
        <x:f>L216*'情景参数模板'!$D$31</x:f>
        <x:v>73.7874966555125</x:v>
      </x:c>
      <x:c r="N216" s="21" t="n">
        <x:f>IF(C216="source",'情景参数模板'!$D$12,IF(H216="echelon",'情景参数模板'!$D$13,'情景参数模板'!$D$14))</x:f>
        <x:v>0.49</x:v>
      </x:c>
      <x:c r="O216" s="21" t="n">
        <x:f>IF(C216="source",'情景参数模板'!$D$18,IF(H216="echelon",'情景参数模板'!$D$19,'情景参数模板'!$D$20))</x:f>
        <x:v>150</x:v>
      </x:c>
      <x:c r="P216" s="17" t="n">
        <x:f>IF(M216&lt;=O216,1,0)</x:f>
        <x:v>1</x:v>
      </x:c>
      <x:c r="Q216" s="17" t="str">
        <x:v>D-road proxy; B-coordinates</x:v>
      </x:c>
    </x:row>
    <x:row r="217">
      <x:c r="A217" s="17" t="str">
        <x:v>A0213</x:v>
      </x:c>
      <x:c r="B217" s="17" t="str">
        <x:v>GD11</x:v>
      </x:c>
      <x:c r="C217" s="17" t="str">
        <x:v>source</x:v>
      </x:c>
      <x:c r="D217" s="17" t="str">
        <x:v>东莞</x:v>
      </x:c>
      <x:c r="E217" s="24" t="n">
        <x:v>113.7452332</x:v>
      </x:c>
      <x:c r="F217" s="24" t="n">
        <x:v>23.0183568</x:v>
      </x:c>
      <x:c r="G217" s="17" t="str">
        <x:v>C03</x:v>
      </x:c>
      <x:c r="H217" s="17" t="str">
        <x:v>collection</x:v>
      </x:c>
      <x:c r="I217" s="17" t="str">
        <x:v>珠海虚拟回收/检测中心</x:v>
      </x:c>
      <x:c r="J217" s="24" t="n">
        <x:v>113.5721327</x:v>
      </x:c>
      <x:c r="K217" s="24" t="n">
        <x:v>22.273734</x:v>
      </x:c>
      <x:c r="L217" s="21" t="n">
        <x:f>6371*ACOS(MIN(1,COS(F217*PI()/180)*COS(K217*PI()/180)*COS((J217-E217)*PI()/180)+SIN(F217*PI()/180)*SIN(K217*PI()/180)))</x:f>
        <x:v>84.68237310278309</x:v>
      </x:c>
      <x:c r="M217" s="21" t="n">
        <x:f>L217*'情景参数模板'!$D$31</x:f>
        <x:v>101.6188477233397</x:v>
      </x:c>
      <x:c r="N217" s="21" t="n">
        <x:f>IF(C217="source",'情景参数模板'!$D$12,IF(H217="echelon",'情景参数模板'!$D$13,'情景参数模板'!$D$14))</x:f>
        <x:v>0.49</x:v>
      </x:c>
      <x:c r="O217" s="21" t="n">
        <x:f>IF(C217="source",'情景参数模板'!$D$18,IF(H217="echelon",'情景参数模板'!$D$19,'情景参数模板'!$D$20))</x:f>
        <x:v>150</x:v>
      </x:c>
      <x:c r="P217" s="17" t="n">
        <x:f>IF(M217&lt;=O217,1,0)</x:f>
        <x:v>1</x:v>
      </x:c>
      <x:c r="Q217" s="17" t="str">
        <x:v>D-road proxy; B-coordinates</x:v>
      </x:c>
    </x:row>
    <x:row r="218">
      <x:c r="A218" s="17" t="str">
        <x:v>A0214</x:v>
      </x:c>
      <x:c r="B218" s="17" t="str">
        <x:v>GD11</x:v>
      </x:c>
      <x:c r="C218" s="17" t="str">
        <x:v>source</x:v>
      </x:c>
      <x:c r="D218" s="17" t="str">
        <x:v>东莞</x:v>
      </x:c>
      <x:c r="E218" s="24" t="n">
        <x:v>113.7452332</x:v>
      </x:c>
      <x:c r="F218" s="24" t="n">
        <x:v>23.0183568</x:v>
      </x:c>
      <x:c r="G218" s="17" t="str">
        <x:v>C04</x:v>
      </x:c>
      <x:c r="H218" s="17" t="str">
        <x:v>collection</x:v>
      </x:c>
      <x:c r="I218" s="17" t="str">
        <x:v>汕头虚拟回收/检测中心</x:v>
      </x:c>
      <x:c r="J218" s="24" t="n">
        <x:v>116.6775856</x:v>
      </x:c>
      <x:c r="K218" s="24" t="n">
        <x:v>23.3563921</x:v>
      </x:c>
      <x:c r="L218" s="21" t="n">
        <x:f>6371*ACOS(MIN(1,COS(F218*PI()/180)*COS(K218*PI()/180)*COS((J218-E218)*PI()/180)+SIN(F218*PI()/180)*SIN(K218*PI()/180)))</x:f>
        <x:v>302.0660678063366</x:v>
      </x:c>
      <x:c r="M218" s="21" t="n">
        <x:f>L218*'情景参数模板'!$D$31</x:f>
        <x:v>362.4792813676039</x:v>
      </x:c>
      <x:c r="N218" s="21" t="n">
        <x:f>IF(C218="source",'情景参数模板'!$D$12,IF(H218="echelon",'情景参数模板'!$D$13,'情景参数模板'!$D$14))</x:f>
        <x:v>0.49</x:v>
      </x:c>
      <x:c r="O218" s="21" t="n">
        <x:f>IF(C218="source",'情景参数模板'!$D$18,IF(H218="echelon",'情景参数模板'!$D$19,'情景参数模板'!$D$20))</x:f>
        <x:v>150</x:v>
      </x:c>
      <x:c r="P218" s="17" t="n">
        <x:f>IF(M218&lt;=O218,1,0)</x:f>
        <x:v>0</x:v>
      </x:c>
      <x:c r="Q218" s="17" t="str">
        <x:v>D-road proxy; B-coordinates</x:v>
      </x:c>
    </x:row>
    <x:row r="219">
      <x:c r="A219" s="17" t="str">
        <x:v>A0215</x:v>
      </x:c>
      <x:c r="B219" s="17" t="str">
        <x:v>GD11</x:v>
      </x:c>
      <x:c r="C219" s="17" t="str">
        <x:v>source</x:v>
      </x:c>
      <x:c r="D219" s="17" t="str">
        <x:v>东莞</x:v>
      </x:c>
      <x:c r="E219" s="24" t="n">
        <x:v>113.7452332</x:v>
      </x:c>
      <x:c r="F219" s="24" t="n">
        <x:v>23.0183568</x:v>
      </x:c>
      <x:c r="G219" s="17" t="str">
        <x:v>C05</x:v>
      </x:c>
      <x:c r="H219" s="17" t="str">
        <x:v>collection</x:v>
      </x:c>
      <x:c r="I219" s="17" t="str">
        <x:v>佛山虚拟回收/检测中心</x:v>
      </x:c>
      <x:c r="J219" s="24" t="n">
        <x:v>113.1159558</x:v>
      </x:c>
      <x:c r="K219" s="24" t="n">
        <x:v>23.0239788</x:v>
      </x:c>
      <x:c r="L219" s="21" t="n">
        <x:f>6371*ACOS(MIN(1,COS(F219*PI()/180)*COS(K219*PI()/180)*COS((J219-E219)*PI()/180)+SIN(F219*PI()/180)*SIN(K219*PI()/180)))</x:f>
        <x:v>64.40286310353615</x:v>
      </x:c>
      <x:c r="M219" s="21" t="n">
        <x:f>L219*'情景参数模板'!$D$31</x:f>
        <x:v>77.28343572424338</x:v>
      </x:c>
      <x:c r="N219" s="21" t="n">
        <x:f>IF(C219="source",'情景参数模板'!$D$12,IF(H219="echelon",'情景参数模板'!$D$13,'情景参数模板'!$D$14))</x:f>
        <x:v>0.49</x:v>
      </x:c>
      <x:c r="O219" s="21" t="n">
        <x:f>IF(C219="source",'情景参数模板'!$D$18,IF(H219="echelon",'情景参数模板'!$D$19,'情景参数模板'!$D$20))</x:f>
        <x:v>150</x:v>
      </x:c>
      <x:c r="P219" s="17" t="n">
        <x:f>IF(M219&lt;=O219,1,0)</x:f>
        <x:v>1</x:v>
      </x:c>
      <x:c r="Q219" s="17" t="str">
        <x:v>D-road proxy; B-coordinates</x:v>
      </x:c>
    </x:row>
    <x:row r="220">
      <x:c r="A220" s="17" t="str">
        <x:v>A0216</x:v>
      </x:c>
      <x:c r="B220" s="17" t="str">
        <x:v>GD11</x:v>
      </x:c>
      <x:c r="C220" s="17" t="str">
        <x:v>source</x:v>
      </x:c>
      <x:c r="D220" s="17" t="str">
        <x:v>东莞</x:v>
      </x:c>
      <x:c r="E220" s="24" t="n">
        <x:v>113.7452332</x:v>
      </x:c>
      <x:c r="F220" s="24" t="n">
        <x:v>23.0183568</x:v>
      </x:c>
      <x:c r="G220" s="17" t="str">
        <x:v>C06</x:v>
      </x:c>
      <x:c r="H220" s="17" t="str">
        <x:v>collection</x:v>
      </x:c>
      <x:c r="I220" s="17" t="str">
        <x:v>韶关虚拟回收/检测中心</x:v>
      </x:c>
      <x:c r="J220" s="24" t="n">
        <x:v>113.8155263</x:v>
      </x:c>
      <x:c r="K220" s="24" t="n">
        <x:v>24.8309489</x:v>
      </x:c>
      <x:c r="L220" s="21" t="n">
        <x:f>6371*ACOS(MIN(1,COS(F220*PI()/180)*COS(K220*PI()/180)*COS((J220-E220)*PI()/180)+SIN(F220*PI()/180)*SIN(K220*PI()/180)))</x:f>
        <x:v>201.67762245027922</x:v>
      </x:c>
      <x:c r="M220" s="21" t="n">
        <x:f>L220*'情景参数模板'!$D$31</x:f>
        <x:v>242.01314694033505</x:v>
      </x:c>
      <x:c r="N220" s="21" t="n">
        <x:f>IF(C220="source",'情景参数模板'!$D$12,IF(H220="echelon",'情景参数模板'!$D$13,'情景参数模板'!$D$14))</x:f>
        <x:v>0.49</x:v>
      </x:c>
      <x:c r="O220" s="21" t="n">
        <x:f>IF(C220="source",'情景参数模板'!$D$18,IF(H220="echelon",'情景参数模板'!$D$19,'情景参数模板'!$D$20))</x:f>
        <x:v>150</x:v>
      </x:c>
      <x:c r="P220" s="17" t="n">
        <x:f>IF(M220&lt;=O220,1,0)</x:f>
        <x:v>0</x:v>
      </x:c>
      <x:c r="Q220" s="17" t="str">
        <x:v>D-road proxy; B-coordinates</x:v>
      </x:c>
    </x:row>
    <x:row r="221">
      <x:c r="A221" s="17" t="str">
        <x:v>A0217</x:v>
      </x:c>
      <x:c r="B221" s="17" t="str">
        <x:v>GD11</x:v>
      </x:c>
      <x:c r="C221" s="17" t="str">
        <x:v>source</x:v>
      </x:c>
      <x:c r="D221" s="17" t="str">
        <x:v>东莞</x:v>
      </x:c>
      <x:c r="E221" s="24" t="n">
        <x:v>113.7452332</x:v>
      </x:c>
      <x:c r="F221" s="24" t="n">
        <x:v>23.0183568</x:v>
      </x:c>
      <x:c r="G221" s="17" t="str">
        <x:v>C07</x:v>
      </x:c>
      <x:c r="H221" s="17" t="str">
        <x:v>collection</x:v>
      </x:c>
      <x:c r="I221" s="17" t="str">
        <x:v>河源虚拟回收/检测中心</x:v>
      </x:c>
      <x:c r="J221" s="24" t="n">
        <x:v>115.0577538</x:v>
      </x:c>
      <x:c r="K221" s="24" t="n">
        <x:v>24.1014769</x:v>
      </x:c>
      <x:c r="L221" s="21" t="n">
        <x:f>6371*ACOS(MIN(1,COS(F221*PI()/180)*COS(K221*PI()/180)*COS((J221-E221)*PI()/180)+SIN(F221*PI()/180)*SIN(K221*PI()/180)))</x:f>
        <x:v>180.00361940870866</x:v>
      </x:c>
      <x:c r="M221" s="21" t="n">
        <x:f>L221*'情景参数模板'!$D$31</x:f>
        <x:v>216.00434329045038</x:v>
      </x:c>
      <x:c r="N221" s="21" t="n">
        <x:f>IF(C221="source",'情景参数模板'!$D$12,IF(H221="echelon",'情景参数模板'!$D$13,'情景参数模板'!$D$14))</x:f>
        <x:v>0.49</x:v>
      </x:c>
      <x:c r="O221" s="21" t="n">
        <x:f>IF(C221="source",'情景参数模板'!$D$18,IF(H221="echelon",'情景参数模板'!$D$19,'情景参数模板'!$D$20))</x:f>
        <x:v>150</x:v>
      </x:c>
      <x:c r="P221" s="17" t="n">
        <x:f>IF(M221&lt;=O221,1,0)</x:f>
        <x:v>0</x:v>
      </x:c>
      <x:c r="Q221" s="17" t="str">
        <x:v>D-road proxy; B-coordinates</x:v>
      </x:c>
    </x:row>
    <x:row r="222">
      <x:c r="A222" s="17" t="str">
        <x:v>A0218</x:v>
      </x:c>
      <x:c r="B222" s="17" t="str">
        <x:v>GD11</x:v>
      </x:c>
      <x:c r="C222" s="17" t="str">
        <x:v>source</x:v>
      </x:c>
      <x:c r="D222" s="17" t="str">
        <x:v>东莞</x:v>
      </x:c>
      <x:c r="E222" s="24" t="n">
        <x:v>113.7452332</x:v>
      </x:c>
      <x:c r="F222" s="24" t="n">
        <x:v>23.0183568</x:v>
      </x:c>
      <x:c r="G222" s="17" t="str">
        <x:v>C08</x:v>
      </x:c>
      <x:c r="H222" s="17" t="str">
        <x:v>collection</x:v>
      </x:c>
      <x:c r="I222" s="17" t="str">
        <x:v>梅州虚拟回收/检测中心</x:v>
      </x:c>
      <x:c r="J222" s="24" t="n">
        <x:v>116.1171428</x:v>
      </x:c>
      <x:c r="K222" s="24" t="n">
        <x:v>24.2918414</x:v>
      </x:c>
      <x:c r="L222" s="21" t="n">
        <x:f>6371*ACOS(MIN(1,COS(F222*PI()/180)*COS(K222*PI()/180)*COS((J222-E222)*PI()/180)+SIN(F222*PI()/180)*SIN(K222*PI()/180)))</x:f>
        <x:v>280.0171263652132</x:v>
      </x:c>
      <x:c r="M222" s="21" t="n">
        <x:f>L222*'情景参数模板'!$D$31</x:f>
        <x:v>336.0205516382558</x:v>
      </x:c>
      <x:c r="N222" s="21" t="n">
        <x:f>IF(C222="source",'情景参数模板'!$D$12,IF(H222="echelon",'情景参数模板'!$D$13,'情景参数模板'!$D$14))</x:f>
        <x:v>0.49</x:v>
      </x:c>
      <x:c r="O222" s="21" t="n">
        <x:f>IF(C222="source",'情景参数模板'!$D$18,IF(H222="echelon",'情景参数模板'!$D$19,'情景参数模板'!$D$20))</x:f>
        <x:v>150</x:v>
      </x:c>
      <x:c r="P222" s="17" t="n">
        <x:f>IF(M222&lt;=O222,1,0)</x:f>
        <x:v>0</x:v>
      </x:c>
      <x:c r="Q222" s="17" t="str">
        <x:v>D-road proxy; B-coordinates</x:v>
      </x:c>
    </x:row>
    <x:row r="223">
      <x:c r="A223" s="17" t="str">
        <x:v>A0219</x:v>
      </x:c>
      <x:c r="B223" s="17" t="str">
        <x:v>GD11</x:v>
      </x:c>
      <x:c r="C223" s="17" t="str">
        <x:v>source</x:v>
      </x:c>
      <x:c r="D223" s="17" t="str">
        <x:v>东莞</x:v>
      </x:c>
      <x:c r="E223" s="24" t="n">
        <x:v>113.7452332</x:v>
      </x:c>
      <x:c r="F223" s="24" t="n">
        <x:v>23.0183568</x:v>
      </x:c>
      <x:c r="G223" s="17" t="str">
        <x:v>C09</x:v>
      </x:c>
      <x:c r="H223" s="17" t="str">
        <x:v>collection</x:v>
      </x:c>
      <x:c r="I223" s="17" t="str">
        <x:v>惠州虚拟回收/检测中心</x:v>
      </x:c>
      <x:c r="J223" s="24" t="n">
        <x:v>114.4127007</x:v>
      </x:c>
      <x:c r="K223" s="24" t="n">
        <x:v>23.1125153</x:v>
      </x:c>
      <x:c r="L223" s="21" t="n">
        <x:f>6371*ACOS(MIN(1,COS(F223*PI()/180)*COS(K223*PI()/180)*COS((J223-E223)*PI()/180)+SIN(F223*PI()/180)*SIN(K223*PI()/180)))</x:f>
        <x:v>69.08370671447607</x:v>
      </x:c>
      <x:c r="M223" s="21" t="n">
        <x:f>L223*'情景参数模板'!$D$31</x:f>
        <x:v>82.90044805737128</x:v>
      </x:c>
      <x:c r="N223" s="21" t="n">
        <x:f>IF(C223="source",'情景参数模板'!$D$12,IF(H223="echelon",'情景参数模板'!$D$13,'情景参数模板'!$D$14))</x:f>
        <x:v>0.49</x:v>
      </x:c>
      <x:c r="O223" s="21" t="n">
        <x:f>IF(C223="source",'情景参数模板'!$D$18,IF(H223="echelon",'情景参数模板'!$D$19,'情景参数模板'!$D$20))</x:f>
        <x:v>150</x:v>
      </x:c>
      <x:c r="P223" s="17" t="n">
        <x:f>IF(M223&lt;=O223,1,0)</x:f>
        <x:v>1</x:v>
      </x:c>
      <x:c r="Q223" s="17" t="str">
        <x:v>D-road proxy; B-coordinates</x:v>
      </x:c>
    </x:row>
    <x:row r="224">
      <x:c r="A224" s="17" t="str">
        <x:v>A0220</x:v>
      </x:c>
      <x:c r="B224" s="17" t="str">
        <x:v>GD11</x:v>
      </x:c>
      <x:c r="C224" s="17" t="str">
        <x:v>source</x:v>
      </x:c>
      <x:c r="D224" s="17" t="str">
        <x:v>东莞</x:v>
      </x:c>
      <x:c r="E224" s="24" t="n">
        <x:v>113.7452332</x:v>
      </x:c>
      <x:c r="F224" s="24" t="n">
        <x:v>23.0183568</x:v>
      </x:c>
      <x:c r="G224" s="17" t="str">
        <x:v>C10</x:v>
      </x:c>
      <x:c r="H224" s="17" t="str">
        <x:v>collection</x:v>
      </x:c>
      <x:c r="I224" s="17" t="str">
        <x:v>汕尾虚拟回收/检测中心</x:v>
      </x:c>
      <x:c r="J224" s="24" t="n">
        <x:v>115.5099937</x:v>
      </x:c>
      <x:c r="K224" s="24" t="n">
        <x:v>23.0123639</x:v>
      </x:c>
      <x:c r="L224" s="21" t="n">
        <x:f>6371*ACOS(MIN(1,COS(F224*PI()/180)*COS(K224*PI()/180)*COS((J224-E224)*PI()/180)+SIN(F224*PI()/180)*SIN(K224*PI()/180)))</x:f>
        <x:v>180.61246561279575</x:v>
      </x:c>
      <x:c r="M224" s="21" t="n">
        <x:f>L224*'情景参数模板'!$D$31</x:f>
        <x:v>216.7349587353549</x:v>
      </x:c>
      <x:c r="N224" s="21" t="n">
        <x:f>IF(C224="source",'情景参数模板'!$D$12,IF(H224="echelon",'情景参数模板'!$D$13,'情景参数模板'!$D$14))</x:f>
        <x:v>0.49</x:v>
      </x:c>
      <x:c r="O224" s="21" t="n">
        <x:f>IF(C224="source",'情景参数模板'!$D$18,IF(H224="echelon",'情景参数模板'!$D$19,'情景参数模板'!$D$20))</x:f>
        <x:v>150</x:v>
      </x:c>
      <x:c r="P224" s="17" t="n">
        <x:f>IF(M224&lt;=O224,1,0)</x:f>
        <x:v>0</x:v>
      </x:c>
      <x:c r="Q224" s="17" t="str">
        <x:v>D-road proxy; B-coordinates</x:v>
      </x:c>
    </x:row>
    <x:row r="225">
      <x:c r="A225" s="17" t="str">
        <x:v>A0221</x:v>
      </x:c>
      <x:c r="B225" s="17" t="str">
        <x:v>GD11</x:v>
      </x:c>
      <x:c r="C225" s="17" t="str">
        <x:v>source</x:v>
      </x:c>
      <x:c r="D225" s="17" t="str">
        <x:v>东莞</x:v>
      </x:c>
      <x:c r="E225" s="24" t="n">
        <x:v>113.7452332</x:v>
      </x:c>
      <x:c r="F225" s="24" t="n">
        <x:v>23.0183568</x:v>
      </x:c>
      <x:c r="G225" s="17" t="str">
        <x:v>C11</x:v>
      </x:c>
      <x:c r="H225" s="17" t="str">
        <x:v>collection</x:v>
      </x:c>
      <x:c r="I225" s="17" t="str">
        <x:v>东莞虚拟回收/检测中心</x:v>
      </x:c>
      <x:c r="J225" s="24" t="n">
        <x:v>113.7452332</x:v>
      </x:c>
      <x:c r="K225" s="24" t="n">
        <x:v>23.0183568</x:v>
      </x:c>
      <x:c r="L225" s="21" t="n">
        <x:f>6371*ACOS(MIN(1,COS(F225*PI()/180)*COS(K225*PI()/180)*COS((J225-E225)*PI()/180)+SIN(F225*PI()/180)*SIN(K225*PI()/180)))</x:f>
        <x:v>0</x:v>
      </x:c>
      <x:c r="M225" s="21" t="n">
        <x:f>L225*'情景参数模板'!$D$31</x:f>
        <x:v>0</x:v>
      </x:c>
      <x:c r="N225" s="21" t="n">
        <x:f>IF(C225="source",'情景参数模板'!$D$12,IF(H225="echelon",'情景参数模板'!$D$13,'情景参数模板'!$D$14))</x:f>
        <x:v>0.49</x:v>
      </x:c>
      <x:c r="O225" s="21" t="n">
        <x:f>IF(C225="source",'情景参数模板'!$D$18,IF(H225="echelon",'情景参数模板'!$D$19,'情景参数模板'!$D$20))</x:f>
        <x:v>150</x:v>
      </x:c>
      <x:c r="P225" s="17" t="n">
        <x:f>IF(M225&lt;=O225,1,0)</x:f>
        <x:v>1</x:v>
      </x:c>
      <x:c r="Q225" s="17" t="str">
        <x:v>D-road proxy; B-coordinates</x:v>
      </x:c>
    </x:row>
    <x:row r="226">
      <x:c r="A226" s="17" t="str">
        <x:v>A0222</x:v>
      </x:c>
      <x:c r="B226" s="17" t="str">
        <x:v>GD11</x:v>
      </x:c>
      <x:c r="C226" s="17" t="str">
        <x:v>source</x:v>
      </x:c>
      <x:c r="D226" s="17" t="str">
        <x:v>东莞</x:v>
      </x:c>
      <x:c r="E226" s="24" t="n">
        <x:v>113.7452332</x:v>
      </x:c>
      <x:c r="F226" s="24" t="n">
        <x:v>23.0183568</x:v>
      </x:c>
      <x:c r="G226" s="17" t="str">
        <x:v>C12</x:v>
      </x:c>
      <x:c r="H226" s="17" t="str">
        <x:v>collection</x:v>
      </x:c>
      <x:c r="I226" s="17" t="str">
        <x:v>中山虚拟回收/检测中心</x:v>
      </x:c>
      <x:c r="J226" s="24" t="n">
        <x:v>113.3872302</x:v>
      </x:c>
      <x:c r="K226" s="24" t="n">
        <x:v>22.5197073</x:v>
      </x:c>
      <x:c r="L226" s="21" t="n">
        <x:f>6371*ACOS(MIN(1,COS(F226*PI()/180)*COS(K226*PI()/180)*COS((J226-E226)*PI()/180)+SIN(F226*PI()/180)*SIN(K226*PI()/180)))</x:f>
        <x:v>66.49599216706548</x:v>
      </x:c>
      <x:c r="M226" s="21" t="n">
        <x:f>L226*'情景参数模板'!$D$31</x:f>
        <x:v>79.79519060047858</x:v>
      </x:c>
      <x:c r="N226" s="21" t="n">
        <x:f>IF(C226="source",'情景参数模板'!$D$12,IF(H226="echelon",'情景参数模板'!$D$13,'情景参数模板'!$D$14))</x:f>
        <x:v>0.49</x:v>
      </x:c>
      <x:c r="O226" s="21" t="n">
        <x:f>IF(C226="source",'情景参数模板'!$D$18,IF(H226="echelon",'情景参数模板'!$D$19,'情景参数模板'!$D$20))</x:f>
        <x:v>150</x:v>
      </x:c>
      <x:c r="P226" s="17" t="n">
        <x:f>IF(M226&lt;=O226,1,0)</x:f>
        <x:v>1</x:v>
      </x:c>
      <x:c r="Q226" s="17" t="str">
        <x:v>D-road proxy; B-coordinates</x:v>
      </x:c>
    </x:row>
    <x:row r="227">
      <x:c r="A227" s="17" t="str">
        <x:v>A0223</x:v>
      </x:c>
      <x:c r="B227" s="17" t="str">
        <x:v>GD11</x:v>
      </x:c>
      <x:c r="C227" s="17" t="str">
        <x:v>source</x:v>
      </x:c>
      <x:c r="D227" s="17" t="str">
        <x:v>东莞</x:v>
      </x:c>
      <x:c r="E227" s="24" t="n">
        <x:v>113.7452332</x:v>
      </x:c>
      <x:c r="F227" s="24" t="n">
        <x:v>23.0183568</x:v>
      </x:c>
      <x:c r="G227" s="17" t="str">
        <x:v>C13</x:v>
      </x:c>
      <x:c r="H227" s="17" t="str">
        <x:v>collection</x:v>
      </x:c>
      <x:c r="I227" s="17" t="str">
        <x:v>江门虚拟回收/检测中心</x:v>
      </x:c>
      <x:c r="J227" s="24" t="n">
        <x:v>113.0761073</x:v>
      </x:c>
      <x:c r="K227" s="24" t="n">
        <x:v>22.5816619</x:v>
      </x:c>
      <x:c r="L227" s="21" t="n">
        <x:f>6371*ACOS(MIN(1,COS(F227*PI()/180)*COS(K227*PI()/180)*COS((J227-E227)*PI()/180)+SIN(F227*PI()/180)*SIN(K227*PI()/180)))</x:f>
        <x:v>84.0381800487033</x:v>
      </x:c>
      <x:c r="M227" s="21" t="n">
        <x:f>L227*'情景参数模板'!$D$31</x:f>
        <x:v>100.84581605844396</x:v>
      </x:c>
      <x:c r="N227" s="21" t="n">
        <x:f>IF(C227="source",'情景参数模板'!$D$12,IF(H227="echelon",'情景参数模板'!$D$13,'情景参数模板'!$D$14))</x:f>
        <x:v>0.49</x:v>
      </x:c>
      <x:c r="O227" s="21" t="n">
        <x:f>IF(C227="source",'情景参数模板'!$D$18,IF(H227="echelon",'情景参数模板'!$D$19,'情景参数模板'!$D$20))</x:f>
        <x:v>150</x:v>
      </x:c>
      <x:c r="P227" s="17" t="n">
        <x:f>IF(M227&lt;=O227,1,0)</x:f>
        <x:v>1</x:v>
      </x:c>
      <x:c r="Q227" s="17" t="str">
        <x:v>D-road proxy; B-coordinates</x:v>
      </x:c>
    </x:row>
    <x:row r="228">
      <x:c r="A228" s="17" t="str">
        <x:v>A0224</x:v>
      </x:c>
      <x:c r="B228" s="17" t="str">
        <x:v>GD11</x:v>
      </x:c>
      <x:c r="C228" s="17" t="str">
        <x:v>source</x:v>
      </x:c>
      <x:c r="D228" s="17" t="str">
        <x:v>东莞</x:v>
      </x:c>
      <x:c r="E228" s="24" t="n">
        <x:v>113.7452332</x:v>
      </x:c>
      <x:c r="F228" s="24" t="n">
        <x:v>23.0183568</x:v>
      </x:c>
      <x:c r="G228" s="17" t="str">
        <x:v>C14</x:v>
      </x:c>
      <x:c r="H228" s="17" t="str">
        <x:v>collection</x:v>
      </x:c>
      <x:c r="I228" s="17" t="str">
        <x:v>阳江虚拟回收/检测中心</x:v>
      </x:c>
      <x:c r="J228" s="24" t="n">
        <x:v>111.7831393</x:v>
      </x:c>
      <x:c r="K228" s="24" t="n">
        <x:v>22.0958223</x:v>
      </x:c>
      <x:c r="L228" s="21" t="n">
        <x:f>6371*ACOS(MIN(1,COS(F228*PI()/180)*COS(K228*PI()/180)*COS((J228-E228)*PI()/180)+SIN(F228*PI()/180)*SIN(K228*PI()/180)))</x:f>
        <x:v>226.09022435971104</x:v>
      </x:c>
      <x:c r="M228" s="21" t="n">
        <x:f>L228*'情景参数模板'!$D$31</x:f>
        <x:v>271.30826923165324</x:v>
      </x:c>
      <x:c r="N228" s="21" t="n">
        <x:f>IF(C228="source",'情景参数模板'!$D$12,IF(H228="echelon",'情景参数模板'!$D$13,'情景参数模板'!$D$14))</x:f>
        <x:v>0.49</x:v>
      </x:c>
      <x:c r="O228" s="21" t="n">
        <x:f>IF(C228="source",'情景参数模板'!$D$18,IF(H228="echelon",'情景参数模板'!$D$19,'情景参数模板'!$D$20))</x:f>
        <x:v>150</x:v>
      </x:c>
      <x:c r="P228" s="17" t="n">
        <x:f>IF(M228&lt;=O228,1,0)</x:f>
        <x:v>0</x:v>
      </x:c>
      <x:c r="Q228" s="17" t="str">
        <x:v>D-road proxy; B-coordinates</x:v>
      </x:c>
    </x:row>
    <x:row r="229">
      <x:c r="A229" s="17" t="str">
        <x:v>A0225</x:v>
      </x:c>
      <x:c r="B229" s="17" t="str">
        <x:v>GD11</x:v>
      </x:c>
      <x:c r="C229" s="17" t="str">
        <x:v>source</x:v>
      </x:c>
      <x:c r="D229" s="17" t="str">
        <x:v>东莞</x:v>
      </x:c>
      <x:c r="E229" s="24" t="n">
        <x:v>113.7452332</x:v>
      </x:c>
      <x:c r="F229" s="24" t="n">
        <x:v>23.0183568</x:v>
      </x:c>
      <x:c r="G229" s="17" t="str">
        <x:v>C15</x:v>
      </x:c>
      <x:c r="H229" s="17" t="str">
        <x:v>collection</x:v>
      </x:c>
      <x:c r="I229" s="17" t="str">
        <x:v>湛江虚拟回收/检测中心</x:v>
      </x:c>
      <x:c r="J229" s="24" t="n">
        <x:v>110.3548318</x:v>
      </x:c>
      <x:c r="K229" s="24" t="n">
        <x:v>21.2737079</x:v>
      </x:c>
      <x:c r="L229" s="21" t="n">
        <x:f>6371*ACOS(MIN(1,COS(F229*PI()/180)*COS(K229*PI()/180)*COS((J229-E229)*PI()/180)+SIN(F229*PI()/180)*SIN(K229*PI()/180)))</x:f>
        <x:v>399.42971195966777</x:v>
      </x:c>
      <x:c r="M229" s="21" t="n">
        <x:f>L229*'情景参数模板'!$D$31</x:f>
        <x:v>479.3156543516013</x:v>
      </x:c>
      <x:c r="N229" s="21" t="n">
        <x:f>IF(C229="source",'情景参数模板'!$D$12,IF(H229="echelon",'情景参数模板'!$D$13,'情景参数模板'!$D$14))</x:f>
        <x:v>0.49</x:v>
      </x:c>
      <x:c r="O229" s="21" t="n">
        <x:f>IF(C229="source",'情景参数模板'!$D$18,IF(H229="echelon",'情景参数模板'!$D$19,'情景参数模板'!$D$20))</x:f>
        <x:v>150</x:v>
      </x:c>
      <x:c r="P229" s="17" t="n">
        <x:f>IF(M229&lt;=O229,1,0)</x:f>
        <x:v>0</x:v>
      </x:c>
      <x:c r="Q229" s="17" t="str">
        <x:v>D-road proxy; B-coordinates</x:v>
      </x:c>
    </x:row>
    <x:row r="230">
      <x:c r="A230" s="17" t="str">
        <x:v>A0226</x:v>
      </x:c>
      <x:c r="B230" s="17" t="str">
        <x:v>GD11</x:v>
      </x:c>
      <x:c r="C230" s="17" t="str">
        <x:v>source</x:v>
      </x:c>
      <x:c r="D230" s="17" t="str">
        <x:v>东莞</x:v>
      </x:c>
      <x:c r="E230" s="24" t="n">
        <x:v>113.7452332</x:v>
      </x:c>
      <x:c r="F230" s="24" t="n">
        <x:v>23.0183568</x:v>
      </x:c>
      <x:c r="G230" s="17" t="str">
        <x:v>C16</x:v>
      </x:c>
      <x:c r="H230" s="17" t="str">
        <x:v>collection</x:v>
      </x:c>
      <x:c r="I230" s="17" t="str">
        <x:v>茂名虚拟回收/检测中心</x:v>
      </x:c>
      <x:c r="J230" s="24" t="n">
        <x:v>110.9209511</x:v>
      </x:c>
      <x:c r="K230" s="24" t="n">
        <x:v>21.6656961</x:v>
      </x:c>
      <x:c r="L230" s="21" t="n">
        <x:f>6371*ACOS(MIN(1,COS(F230*PI()/180)*COS(K230*PI()/180)*COS((J230-E230)*PI()/180)+SIN(F230*PI()/180)*SIN(K230*PI()/180)))</x:f>
        <x:v>327.0898464197607</x:v>
      </x:c>
      <x:c r="M230" s="21" t="n">
        <x:f>L230*'情景参数模板'!$D$31</x:f>
        <x:v>392.5078157037128</x:v>
      </x:c>
      <x:c r="N230" s="21" t="n">
        <x:f>IF(C230="source",'情景参数模板'!$D$12,IF(H230="echelon",'情景参数模板'!$D$13,'情景参数模板'!$D$14))</x:f>
        <x:v>0.49</x:v>
      </x:c>
      <x:c r="O230" s="21" t="n">
        <x:f>IF(C230="source",'情景参数模板'!$D$18,IF(H230="echelon",'情景参数模板'!$D$19,'情景参数模板'!$D$20))</x:f>
        <x:v>150</x:v>
      </x:c>
      <x:c r="P230" s="17" t="n">
        <x:f>IF(M230&lt;=O230,1,0)</x:f>
        <x:v>0</x:v>
      </x:c>
      <x:c r="Q230" s="17" t="str">
        <x:v>D-road proxy; B-coordinates</x:v>
      </x:c>
    </x:row>
    <x:row r="231">
      <x:c r="A231" s="17" t="str">
        <x:v>A0227</x:v>
      </x:c>
      <x:c r="B231" s="17" t="str">
        <x:v>GD11</x:v>
      </x:c>
      <x:c r="C231" s="17" t="str">
        <x:v>source</x:v>
      </x:c>
      <x:c r="D231" s="17" t="str">
        <x:v>东莞</x:v>
      </x:c>
      <x:c r="E231" s="24" t="n">
        <x:v>113.7452332</x:v>
      </x:c>
      <x:c r="F231" s="24" t="n">
        <x:v>23.0183568</x:v>
      </x:c>
      <x:c r="G231" s="17" t="str">
        <x:v>C17</x:v>
      </x:c>
      <x:c r="H231" s="17" t="str">
        <x:v>collection</x:v>
      </x:c>
      <x:c r="I231" s="17" t="str">
        <x:v>肇庆虚拟回收/检测中心</x:v>
      </x:c>
      <x:c r="J231" s="24" t="n">
        <x:v>112.4603629</x:v>
      </x:c>
      <x:c r="K231" s="24" t="n">
        <x:v>23.0501661</x:v>
      </x:c>
      <x:c r="L231" s="21" t="n">
        <x:f>6371*ACOS(MIN(1,COS(F231*PI()/180)*COS(K231*PI()/180)*COS((J231-E231)*PI()/180)+SIN(F231*PI()/180)*SIN(K231*PI()/180)))</x:f>
        <x:v>131.52724118580286</x:v>
      </x:c>
      <x:c r="M231" s="21" t="n">
        <x:f>L231*'情景参数模板'!$D$31</x:f>
        <x:v>157.83268942296343</x:v>
      </x:c>
      <x:c r="N231" s="21" t="n">
        <x:f>IF(C231="source",'情景参数模板'!$D$12,IF(H231="echelon",'情景参数模板'!$D$13,'情景参数模板'!$D$14))</x:f>
        <x:v>0.49</x:v>
      </x:c>
      <x:c r="O231" s="21" t="n">
        <x:f>IF(C231="source",'情景参数模板'!$D$18,IF(H231="echelon",'情景参数模板'!$D$19,'情景参数模板'!$D$20))</x:f>
        <x:v>150</x:v>
      </x:c>
      <x:c r="P231" s="17" t="n">
        <x:f>IF(M231&lt;=O231,1,0)</x:f>
        <x:v>0</x:v>
      </x:c>
      <x:c r="Q231" s="17" t="str">
        <x:v>D-road proxy; B-coordinates</x:v>
      </x:c>
    </x:row>
    <x:row r="232">
      <x:c r="A232" s="17" t="str">
        <x:v>A0228</x:v>
      </x:c>
      <x:c r="B232" s="17" t="str">
        <x:v>GD11</x:v>
      </x:c>
      <x:c r="C232" s="17" t="str">
        <x:v>source</x:v>
      </x:c>
      <x:c r="D232" s="17" t="str">
        <x:v>东莞</x:v>
      </x:c>
      <x:c r="E232" s="24" t="n">
        <x:v>113.7452332</x:v>
      </x:c>
      <x:c r="F232" s="24" t="n">
        <x:v>23.0183568</x:v>
      </x:c>
      <x:c r="G232" s="17" t="str">
        <x:v>C18</x:v>
      </x:c>
      <x:c r="H232" s="17" t="str">
        <x:v>collection</x:v>
      </x:c>
      <x:c r="I232" s="17" t="str">
        <x:v>清远虚拟回收/检测中心</x:v>
      </x:c>
      <x:c r="J232" s="24" t="n">
        <x:v>113.0505994</x:v>
      </x:c>
      <x:c r="K232" s="24" t="n">
        <x:v>23.6832984</x:v>
      </x:c>
      <x:c r="L232" s="21" t="n">
        <x:f>6371*ACOS(MIN(1,COS(F232*PI()/180)*COS(K232*PI()/180)*COS((J232-E232)*PI()/180)+SIN(F232*PI()/180)*SIN(K232*PI()/180)))</x:f>
        <x:v>102.44738181217072</x:v>
      </x:c>
      <x:c r="M232" s="21" t="n">
        <x:f>L232*'情景参数模板'!$D$31</x:f>
        <x:v>122.93685817460485</x:v>
      </x:c>
      <x:c r="N232" s="21" t="n">
        <x:f>IF(C232="source",'情景参数模板'!$D$12,IF(H232="echelon",'情景参数模板'!$D$13,'情景参数模板'!$D$14))</x:f>
        <x:v>0.49</x:v>
      </x:c>
      <x:c r="O232" s="21" t="n">
        <x:f>IF(C232="source",'情景参数模板'!$D$18,IF(H232="echelon",'情景参数模板'!$D$19,'情景参数模板'!$D$20))</x:f>
        <x:v>150</x:v>
      </x:c>
      <x:c r="P232" s="17" t="n">
        <x:f>IF(M232&lt;=O232,1,0)</x:f>
        <x:v>1</x:v>
      </x:c>
      <x:c r="Q232" s="17" t="str">
        <x:v>D-road proxy; B-coordinates</x:v>
      </x:c>
    </x:row>
    <x:row r="233">
      <x:c r="A233" s="17" t="str">
        <x:v>A0229</x:v>
      </x:c>
      <x:c r="B233" s="17" t="str">
        <x:v>GD11</x:v>
      </x:c>
      <x:c r="C233" s="17" t="str">
        <x:v>source</x:v>
      </x:c>
      <x:c r="D233" s="17" t="str">
        <x:v>东莞</x:v>
      </x:c>
      <x:c r="E233" s="24" t="n">
        <x:v>113.7452332</x:v>
      </x:c>
      <x:c r="F233" s="24" t="n">
        <x:v>23.0183568</x:v>
      </x:c>
      <x:c r="G233" s="17" t="str">
        <x:v>C19</x:v>
      </x:c>
      <x:c r="H233" s="17" t="str">
        <x:v>collection</x:v>
      </x:c>
      <x:c r="I233" s="17" t="str">
        <x:v>潮州虚拟回收/检测中心</x:v>
      </x:c>
      <x:c r="J233" s="24" t="n">
        <x:v>116.6204223</x:v>
      </x:c>
      <x:c r="K233" s="24" t="n">
        <x:v>23.656593</x:v>
      </x:c>
      <x:c r="L233" s="21" t="n">
        <x:f>6371*ACOS(MIN(1,COS(F233*PI()/180)*COS(K233*PI()/180)*COS((J233-E233)*PI()/180)+SIN(F233*PI()/180)*SIN(K233*PI()/180)))</x:f>
        <x:v>302.0003070616597</x:v>
      </x:c>
      <x:c r="M233" s="21" t="n">
        <x:f>L233*'情景参数模板'!$D$31</x:f>
        <x:v>362.40036847399165</x:v>
      </x:c>
      <x:c r="N233" s="21" t="n">
        <x:f>IF(C233="source",'情景参数模板'!$D$12,IF(H233="echelon",'情景参数模板'!$D$13,'情景参数模板'!$D$14))</x:f>
        <x:v>0.49</x:v>
      </x:c>
      <x:c r="O233" s="21" t="n">
        <x:f>IF(C233="source",'情景参数模板'!$D$18,IF(H233="echelon",'情景参数模板'!$D$19,'情景参数模板'!$D$20))</x:f>
        <x:v>150</x:v>
      </x:c>
      <x:c r="P233" s="17" t="n">
        <x:f>IF(M233&lt;=O233,1,0)</x:f>
        <x:v>0</x:v>
      </x:c>
      <x:c r="Q233" s="17" t="str">
        <x:v>D-road proxy; B-coordinates</x:v>
      </x:c>
    </x:row>
    <x:row r="234">
      <x:c r="A234" s="17" t="str">
        <x:v>A0230</x:v>
      </x:c>
      <x:c r="B234" s="17" t="str">
        <x:v>GD11</x:v>
      </x:c>
      <x:c r="C234" s="17" t="str">
        <x:v>source</x:v>
      </x:c>
      <x:c r="D234" s="17" t="str">
        <x:v>东莞</x:v>
      </x:c>
      <x:c r="E234" s="24" t="n">
        <x:v>113.7452332</x:v>
      </x:c>
      <x:c r="F234" s="24" t="n">
        <x:v>23.0183568</x:v>
      </x:c>
      <x:c r="G234" s="17" t="str">
        <x:v>C20</x:v>
      </x:c>
      <x:c r="H234" s="17" t="str">
        <x:v>collection</x:v>
      </x:c>
      <x:c r="I234" s="17" t="str">
        <x:v>揭阳虚拟回收/检测中心</x:v>
      </x:c>
      <x:c r="J234" s="24" t="n">
        <x:v>116.3680354</x:v>
      </x:c>
      <x:c r="K234" s="24" t="n">
        <x:v>23.553156</x:v>
      </x:c>
      <x:c r="L234" s="21" t="n">
        <x:f>6371*ACOS(MIN(1,COS(F234*PI()/180)*COS(K234*PI()/180)*COS((J234-E234)*PI()/180)+SIN(F234*PI()/180)*SIN(K234*PI()/180)))</x:f>
        <x:v>274.4024735528984</x:v>
      </x:c>
      <x:c r="M234" s="21" t="n">
        <x:f>L234*'情景参数模板'!$D$31</x:f>
        <x:v>329.2829682634781</x:v>
      </x:c>
      <x:c r="N234" s="21" t="n">
        <x:f>IF(C234="source",'情景参数模板'!$D$12,IF(H234="echelon",'情景参数模板'!$D$13,'情景参数模板'!$D$14))</x:f>
        <x:v>0.49</x:v>
      </x:c>
      <x:c r="O234" s="21" t="n">
        <x:f>IF(C234="source",'情景参数模板'!$D$18,IF(H234="echelon",'情景参数模板'!$D$19,'情景参数模板'!$D$20))</x:f>
        <x:v>150</x:v>
      </x:c>
      <x:c r="P234" s="17" t="n">
        <x:f>IF(M234&lt;=O234,1,0)</x:f>
        <x:v>0</x:v>
      </x:c>
      <x:c r="Q234" s="17" t="str">
        <x:v>D-road proxy; B-coordinates</x:v>
      </x:c>
    </x:row>
    <x:row r="235">
      <x:c r="A235" s="17" t="str">
        <x:v>A0231</x:v>
      </x:c>
      <x:c r="B235" s="17" t="str">
        <x:v>GD11</x:v>
      </x:c>
      <x:c r="C235" s="17" t="str">
        <x:v>source</x:v>
      </x:c>
      <x:c r="D235" s="17" t="str">
        <x:v>东莞</x:v>
      </x:c>
      <x:c r="E235" s="24" t="n">
        <x:v>113.7452332</x:v>
      </x:c>
      <x:c r="F235" s="24" t="n">
        <x:v>23.0183568</x:v>
      </x:c>
      <x:c r="G235" s="17" t="str">
        <x:v>C21</x:v>
      </x:c>
      <x:c r="H235" s="17" t="str">
        <x:v>collection</x:v>
      </x:c>
      <x:c r="I235" s="17" t="str">
        <x:v>云浮虚拟回收/检测中心</x:v>
      </x:c>
      <x:c r="J235" s="24" t="n">
        <x:v>111.8078586</x:v>
      </x:c>
      <x:c r="K235" s="24" t="n">
        <x:v>22.8546663</x:v>
      </x:c>
      <x:c r="L235" s="21" t="n">
        <x:f>6371*ACOS(MIN(1,COS(F235*PI()/180)*COS(K235*PI()/180)*COS((J235-E235)*PI()/180)+SIN(F235*PI()/180)*SIN(K235*PI()/180)))</x:f>
        <x:v>199.2257001173399</x:v>
      </x:c>
      <x:c r="M235" s="21" t="n">
        <x:f>L235*'情景参数模板'!$D$31</x:f>
        <x:v>239.07084014080786</x:v>
      </x:c>
      <x:c r="N235" s="21" t="n">
        <x:f>IF(C235="source",'情景参数模板'!$D$12,IF(H235="echelon",'情景参数模板'!$D$13,'情景参数模板'!$D$14))</x:f>
        <x:v>0.49</x:v>
      </x:c>
      <x:c r="O235" s="21" t="n">
        <x:f>IF(C235="source",'情景参数模板'!$D$18,IF(H235="echelon",'情景参数模板'!$D$19,'情景参数模板'!$D$20))</x:f>
        <x:v>150</x:v>
      </x:c>
      <x:c r="P235" s="17" t="n">
        <x:f>IF(M235&lt;=O235,1,0)</x:f>
        <x:v>0</x:v>
      </x:c>
      <x:c r="Q235" s="17" t="str">
        <x:v>D-road proxy; B-coordinates</x:v>
      </x:c>
    </x:row>
    <x:row r="236">
      <x:c r="A236" s="17" t="str">
        <x:v>A0232</x:v>
      </x:c>
      <x:c r="B236" s="17" t="str">
        <x:v>GD12</x:v>
      </x:c>
      <x:c r="C236" s="17" t="str">
        <x:v>source</x:v>
      </x:c>
      <x:c r="D236" s="17" t="str">
        <x:v>中山</x:v>
      </x:c>
      <x:c r="E236" s="24" t="n">
        <x:v>113.3872302</x:v>
      </x:c>
      <x:c r="F236" s="24" t="n">
        <x:v>22.5197073</x:v>
      </x:c>
      <x:c r="G236" s="17" t="str">
        <x:v>C01</x:v>
      </x:c>
      <x:c r="H236" s="17" t="str">
        <x:v>collection</x:v>
      </x:c>
      <x:c r="I236" s="17" t="str">
        <x:v>广州虚拟回收/检测中心</x:v>
      </x:c>
      <x:c r="J236" s="24" t="n">
        <x:v>113.2589581</x:v>
      </x:c>
      <x:c r="K236" s="24" t="n">
        <x:v>23.1288429</x:v>
      </x:c>
      <x:c r="L236" s="21" t="n">
        <x:f>6371*ACOS(MIN(1,COS(F236*PI()/180)*COS(K236*PI()/180)*COS((J236-E236)*PI()/180)+SIN(F236*PI()/180)*SIN(K236*PI()/180)))</x:f>
        <x:v>68.99677868461173</x:v>
      </x:c>
      <x:c r="M236" s="21" t="n">
        <x:f>L236*'情景参数模板'!$D$31</x:f>
        <x:v>82.79613442153406</x:v>
      </x:c>
      <x:c r="N236" s="21" t="n">
        <x:f>IF(C236="source",'情景参数模板'!$D$12,IF(H236="echelon",'情景参数模板'!$D$13,'情景参数模板'!$D$14))</x:f>
        <x:v>0.49</x:v>
      </x:c>
      <x:c r="O236" s="21" t="n">
        <x:f>IF(C236="source",'情景参数模板'!$D$18,IF(H236="echelon",'情景参数模板'!$D$19,'情景参数模板'!$D$20))</x:f>
        <x:v>150</x:v>
      </x:c>
      <x:c r="P236" s="17" t="n">
        <x:f>IF(M236&lt;=O236,1,0)</x:f>
        <x:v>1</x:v>
      </x:c>
      <x:c r="Q236" s="17" t="str">
        <x:v>D-road proxy; B-coordinates</x:v>
      </x:c>
    </x:row>
    <x:row r="237">
      <x:c r="A237" s="17" t="str">
        <x:v>A0233</x:v>
      </x:c>
      <x:c r="B237" s="17" t="str">
        <x:v>GD12</x:v>
      </x:c>
      <x:c r="C237" s="17" t="str">
        <x:v>source</x:v>
      </x:c>
      <x:c r="D237" s="17" t="str">
        <x:v>中山</x:v>
      </x:c>
      <x:c r="E237" s="24" t="n">
        <x:v>113.3872302</x:v>
      </x:c>
      <x:c r="F237" s="24" t="n">
        <x:v>22.5197073</x:v>
      </x:c>
      <x:c r="G237" s="17" t="str">
        <x:v>C02</x:v>
      </x:c>
      <x:c r="H237" s="17" t="str">
        <x:v>collection</x:v>
      </x:c>
      <x:c r="I237" s="17" t="str">
        <x:v>深圳虚拟回收/检测中心</x:v>
      </x:c>
      <x:c r="J237" s="24" t="n">
        <x:v>114.0545429</x:v>
      </x:c>
      <x:c r="K237" s="24" t="n">
        <x:v>22.5445741</x:v>
      </x:c>
      <x:c r="L237" s="21" t="n">
        <x:f>6371*ACOS(MIN(1,COS(F237*PI()/180)*COS(K237*PI()/180)*COS((J237-E237)*PI()/180)+SIN(F237*PI()/180)*SIN(K237*PI()/180)))</x:f>
        <x:v>68.59326845307118</x:v>
      </x:c>
      <x:c r="M237" s="21" t="n">
        <x:f>L237*'情景参数模板'!$D$31</x:f>
        <x:v>82.31192214368541</x:v>
      </x:c>
      <x:c r="N237" s="21" t="n">
        <x:f>IF(C237="source",'情景参数模板'!$D$12,IF(H237="echelon",'情景参数模板'!$D$13,'情景参数模板'!$D$14))</x:f>
        <x:v>0.49</x:v>
      </x:c>
      <x:c r="O237" s="21" t="n">
        <x:f>IF(C237="source",'情景参数模板'!$D$18,IF(H237="echelon",'情景参数模板'!$D$19,'情景参数模板'!$D$20))</x:f>
        <x:v>150</x:v>
      </x:c>
      <x:c r="P237" s="17" t="n">
        <x:f>IF(M237&lt;=O237,1,0)</x:f>
        <x:v>1</x:v>
      </x:c>
      <x:c r="Q237" s="17" t="str">
        <x:v>D-road proxy; B-coordinates</x:v>
      </x:c>
    </x:row>
    <x:row r="238">
      <x:c r="A238" s="17" t="str">
        <x:v>A0234</x:v>
      </x:c>
      <x:c r="B238" s="17" t="str">
        <x:v>GD12</x:v>
      </x:c>
      <x:c r="C238" s="17" t="str">
        <x:v>source</x:v>
      </x:c>
      <x:c r="D238" s="17" t="str">
        <x:v>中山</x:v>
      </x:c>
      <x:c r="E238" s="24" t="n">
        <x:v>113.3872302</x:v>
      </x:c>
      <x:c r="F238" s="24" t="n">
        <x:v>22.5197073</x:v>
      </x:c>
      <x:c r="G238" s="17" t="str">
        <x:v>C03</x:v>
      </x:c>
      <x:c r="H238" s="17" t="str">
        <x:v>collection</x:v>
      </x:c>
      <x:c r="I238" s="17" t="str">
        <x:v>珠海虚拟回收/检测中心</x:v>
      </x:c>
      <x:c r="J238" s="24" t="n">
        <x:v>113.5721327</x:v>
      </x:c>
      <x:c r="K238" s="24" t="n">
        <x:v>22.273734</x:v>
      </x:c>
      <x:c r="L238" s="21" t="n">
        <x:f>6371*ACOS(MIN(1,COS(F238*PI()/180)*COS(K238*PI()/180)*COS((J238-E238)*PI()/180)+SIN(F238*PI()/180)*SIN(K238*PI()/180)))</x:f>
        <x:v>33.308100641100665</x:v>
      </x:c>
      <x:c r="M238" s="21" t="n">
        <x:f>L238*'情景参数模板'!$D$31</x:f>
        <x:v>39.969720769320794</x:v>
      </x:c>
      <x:c r="N238" s="21" t="n">
        <x:f>IF(C238="source",'情景参数模板'!$D$12,IF(H238="echelon",'情景参数模板'!$D$13,'情景参数模板'!$D$14))</x:f>
        <x:v>0.49</x:v>
      </x:c>
      <x:c r="O238" s="21" t="n">
        <x:f>IF(C238="source",'情景参数模板'!$D$18,IF(H238="echelon",'情景参数模板'!$D$19,'情景参数模板'!$D$20))</x:f>
        <x:v>150</x:v>
      </x:c>
      <x:c r="P238" s="17" t="n">
        <x:f>IF(M238&lt;=O238,1,0)</x:f>
        <x:v>1</x:v>
      </x:c>
      <x:c r="Q238" s="17" t="str">
        <x:v>D-road proxy; B-coordinates</x:v>
      </x:c>
    </x:row>
    <x:row r="239">
      <x:c r="A239" s="17" t="str">
        <x:v>A0235</x:v>
      </x:c>
      <x:c r="B239" s="17" t="str">
        <x:v>GD12</x:v>
      </x:c>
      <x:c r="C239" s="17" t="str">
        <x:v>source</x:v>
      </x:c>
      <x:c r="D239" s="17" t="str">
        <x:v>中山</x:v>
      </x:c>
      <x:c r="E239" s="24" t="n">
        <x:v>113.3872302</x:v>
      </x:c>
      <x:c r="F239" s="24" t="n">
        <x:v>22.5197073</x:v>
      </x:c>
      <x:c r="G239" s="17" t="str">
        <x:v>C04</x:v>
      </x:c>
      <x:c r="H239" s="17" t="str">
        <x:v>collection</x:v>
      </x:c>
      <x:c r="I239" s="17" t="str">
        <x:v>汕头虚拟回收/检测中心</x:v>
      </x:c>
      <x:c r="J239" s="24" t="n">
        <x:v>116.6775856</x:v>
      </x:c>
      <x:c r="K239" s="24" t="n">
        <x:v>23.3563921</x:v>
      </x:c>
      <x:c r="L239" s="21" t="n">
        <x:f>6371*ACOS(MIN(1,COS(F239*PI()/180)*COS(K239*PI()/180)*COS((J239-E239)*PI()/180)+SIN(F239*PI()/180)*SIN(K239*PI()/180)))</x:f>
        <x:v>349.537434266799</x:v>
      </x:c>
      <x:c r="M239" s="21" t="n">
        <x:f>L239*'情景参数模板'!$D$31</x:f>
        <x:v>419.44492112015877</x:v>
      </x:c>
      <x:c r="N239" s="21" t="n">
        <x:f>IF(C239="source",'情景参数模板'!$D$12,IF(H239="echelon",'情景参数模板'!$D$13,'情景参数模板'!$D$14))</x:f>
        <x:v>0.49</x:v>
      </x:c>
      <x:c r="O239" s="21" t="n">
        <x:f>IF(C239="source",'情景参数模板'!$D$18,IF(H239="echelon",'情景参数模板'!$D$19,'情景参数模板'!$D$20))</x:f>
        <x:v>150</x:v>
      </x:c>
      <x:c r="P239" s="17" t="n">
        <x:f>IF(M239&lt;=O239,1,0)</x:f>
        <x:v>0</x:v>
      </x:c>
      <x:c r="Q239" s="17" t="str">
        <x:v>D-road proxy; B-coordinates</x:v>
      </x:c>
    </x:row>
    <x:row r="240">
      <x:c r="A240" s="17" t="str">
        <x:v>A0236</x:v>
      </x:c>
      <x:c r="B240" s="17" t="str">
        <x:v>GD12</x:v>
      </x:c>
      <x:c r="C240" s="17" t="str">
        <x:v>source</x:v>
      </x:c>
      <x:c r="D240" s="17" t="str">
        <x:v>中山</x:v>
      </x:c>
      <x:c r="E240" s="24" t="n">
        <x:v>113.3872302</x:v>
      </x:c>
      <x:c r="F240" s="24" t="n">
        <x:v>22.5197073</x:v>
      </x:c>
      <x:c r="G240" s="17" t="str">
        <x:v>C05</x:v>
      </x:c>
      <x:c r="H240" s="17" t="str">
        <x:v>collection</x:v>
      </x:c>
      <x:c r="I240" s="17" t="str">
        <x:v>佛山虚拟回收/检测中心</x:v>
      </x:c>
      <x:c r="J240" s="24" t="n">
        <x:v>113.1159558</x:v>
      </x:c>
      <x:c r="K240" s="24" t="n">
        <x:v>23.0239788</x:v>
      </x:c>
      <x:c r="L240" s="21" t="n">
        <x:f>6371*ACOS(MIN(1,COS(F240*PI()/180)*COS(K240*PI()/180)*COS((J240-E240)*PI()/180)+SIN(F240*PI()/180)*SIN(K240*PI()/180)))</x:f>
        <x:v>62.59137427718621</x:v>
      </x:c>
      <x:c r="M240" s="21" t="n">
        <x:f>L240*'情景参数模板'!$D$31</x:f>
        <x:v>75.10964913262345</x:v>
      </x:c>
      <x:c r="N240" s="21" t="n">
        <x:f>IF(C240="source",'情景参数模板'!$D$12,IF(H240="echelon",'情景参数模板'!$D$13,'情景参数模板'!$D$14))</x:f>
        <x:v>0.49</x:v>
      </x:c>
      <x:c r="O240" s="21" t="n">
        <x:f>IF(C240="source",'情景参数模板'!$D$18,IF(H240="echelon",'情景参数模板'!$D$19,'情景参数模板'!$D$20))</x:f>
        <x:v>150</x:v>
      </x:c>
      <x:c r="P240" s="17" t="n">
        <x:f>IF(M240&lt;=O240,1,0)</x:f>
        <x:v>1</x:v>
      </x:c>
      <x:c r="Q240" s="17" t="str">
        <x:v>D-road proxy; B-coordinates</x:v>
      </x:c>
    </x:row>
    <x:row r="241">
      <x:c r="A241" s="17" t="str">
        <x:v>A0237</x:v>
      </x:c>
      <x:c r="B241" s="17" t="str">
        <x:v>GD12</x:v>
      </x:c>
      <x:c r="C241" s="17" t="str">
        <x:v>source</x:v>
      </x:c>
      <x:c r="D241" s="17" t="str">
        <x:v>中山</x:v>
      </x:c>
      <x:c r="E241" s="24" t="n">
        <x:v>113.3872302</x:v>
      </x:c>
      <x:c r="F241" s="24" t="n">
        <x:v>22.5197073</x:v>
      </x:c>
      <x:c r="G241" s="17" t="str">
        <x:v>C06</x:v>
      </x:c>
      <x:c r="H241" s="17" t="str">
        <x:v>collection</x:v>
      </x:c>
      <x:c r="I241" s="17" t="str">
        <x:v>韶关虚拟回收/检测中心</x:v>
      </x:c>
      <x:c r="J241" s="24" t="n">
        <x:v>113.8155263</x:v>
      </x:c>
      <x:c r="K241" s="24" t="n">
        <x:v>24.8309489</x:v>
      </x:c>
      <x:c r="L241" s="21" t="n">
        <x:f>6371*ACOS(MIN(1,COS(F241*PI()/180)*COS(K241*PI()/180)*COS((J241-E241)*PI()/180)+SIN(F241*PI()/180)*SIN(K241*PI()/180)))</x:f>
        <x:v>260.67240148858207</x:v>
      </x:c>
      <x:c r="M241" s="21" t="n">
        <x:f>L241*'情景参数模板'!$D$31</x:f>
        <x:v>312.80688178629845</x:v>
      </x:c>
      <x:c r="N241" s="21" t="n">
        <x:f>IF(C241="source",'情景参数模板'!$D$12,IF(H241="echelon",'情景参数模板'!$D$13,'情景参数模板'!$D$14))</x:f>
        <x:v>0.49</x:v>
      </x:c>
      <x:c r="O241" s="21" t="n">
        <x:f>IF(C241="source",'情景参数模板'!$D$18,IF(H241="echelon",'情景参数模板'!$D$19,'情景参数模板'!$D$20))</x:f>
        <x:v>150</x:v>
      </x:c>
      <x:c r="P241" s="17" t="n">
        <x:f>IF(M241&lt;=O241,1,0)</x:f>
        <x:v>0</x:v>
      </x:c>
      <x:c r="Q241" s="17" t="str">
        <x:v>D-road proxy; B-coordinates</x:v>
      </x:c>
    </x:row>
    <x:row r="242">
      <x:c r="A242" s="17" t="str">
        <x:v>A0238</x:v>
      </x:c>
      <x:c r="B242" s="17" t="str">
        <x:v>GD12</x:v>
      </x:c>
      <x:c r="C242" s="17" t="str">
        <x:v>source</x:v>
      </x:c>
      <x:c r="D242" s="17" t="str">
        <x:v>中山</x:v>
      </x:c>
      <x:c r="E242" s="24" t="n">
        <x:v>113.3872302</x:v>
      </x:c>
      <x:c r="F242" s="24" t="n">
        <x:v>22.5197073</x:v>
      </x:c>
      <x:c r="G242" s="17" t="str">
        <x:v>C07</x:v>
      </x:c>
      <x:c r="H242" s="17" t="str">
        <x:v>collection</x:v>
      </x:c>
      <x:c r="I242" s="17" t="str">
        <x:v>河源虚拟回收/检测中心</x:v>
      </x:c>
      <x:c r="J242" s="24" t="n">
        <x:v>115.0577538</x:v>
      </x:c>
      <x:c r="K242" s="24" t="n">
        <x:v>24.1014769</x:v>
      </x:c>
      <x:c r="L242" s="21" t="n">
        <x:f>6371*ACOS(MIN(1,COS(F242*PI()/180)*COS(K242*PI()/180)*COS((J242-E242)*PI()/180)+SIN(F242*PI()/180)*SIN(K242*PI()/180)))</x:f>
        <x:v>245.0176086055503</x:v>
      </x:c>
      <x:c r="M242" s="21" t="n">
        <x:f>L242*'情景参数模板'!$D$31</x:f>
        <x:v>294.02113032666034</x:v>
      </x:c>
      <x:c r="N242" s="21" t="n">
        <x:f>IF(C242="source",'情景参数模板'!$D$12,IF(H242="echelon",'情景参数模板'!$D$13,'情景参数模板'!$D$14))</x:f>
        <x:v>0.49</x:v>
      </x:c>
      <x:c r="O242" s="21" t="n">
        <x:f>IF(C242="source",'情景参数模板'!$D$18,IF(H242="echelon",'情景参数模板'!$D$19,'情景参数模板'!$D$20))</x:f>
        <x:v>150</x:v>
      </x:c>
      <x:c r="P242" s="17" t="n">
        <x:f>IF(M242&lt;=O242,1,0)</x:f>
        <x:v>0</x:v>
      </x:c>
      <x:c r="Q242" s="17" t="str">
        <x:v>D-road proxy; B-coordinates</x:v>
      </x:c>
    </x:row>
    <x:row r="243">
      <x:c r="A243" s="17" t="str">
        <x:v>A0239</x:v>
      </x:c>
      <x:c r="B243" s="17" t="str">
        <x:v>GD12</x:v>
      </x:c>
      <x:c r="C243" s="17" t="str">
        <x:v>source</x:v>
      </x:c>
      <x:c r="D243" s="17" t="str">
        <x:v>中山</x:v>
      </x:c>
      <x:c r="E243" s="24" t="n">
        <x:v>113.3872302</x:v>
      </x:c>
      <x:c r="F243" s="24" t="n">
        <x:v>22.5197073</x:v>
      </x:c>
      <x:c r="G243" s="17" t="str">
        <x:v>C08</x:v>
      </x:c>
      <x:c r="H243" s="17" t="str">
        <x:v>collection</x:v>
      </x:c>
      <x:c r="I243" s="17" t="str">
        <x:v>梅州虚拟回收/检测中心</x:v>
      </x:c>
      <x:c r="J243" s="24" t="n">
        <x:v>116.1171428</x:v>
      </x:c>
      <x:c r="K243" s="24" t="n">
        <x:v>24.2918414</x:v>
      </x:c>
      <x:c r="L243" s="21" t="n">
        <x:f>6371*ACOS(MIN(1,COS(F243*PI()/180)*COS(K243*PI()/180)*COS((J243-E243)*PI()/180)+SIN(F243*PI()/180)*SIN(K243*PI()/180)))</x:f>
        <x:v>341.20578199622616</x:v>
      </x:c>
      <x:c r="M243" s="21" t="n">
        <x:f>L243*'情景参数模板'!$D$31</x:f>
        <x:v>409.44693839547136</x:v>
      </x:c>
      <x:c r="N243" s="21" t="n">
        <x:f>IF(C243="source",'情景参数模板'!$D$12,IF(H243="echelon",'情景参数模板'!$D$13,'情景参数模板'!$D$14))</x:f>
        <x:v>0.49</x:v>
      </x:c>
      <x:c r="O243" s="21" t="n">
        <x:f>IF(C243="source",'情景参数模板'!$D$18,IF(H243="echelon",'情景参数模板'!$D$19,'情景参数模板'!$D$20))</x:f>
        <x:v>150</x:v>
      </x:c>
      <x:c r="P243" s="17" t="n">
        <x:f>IF(M243&lt;=O243,1,0)</x:f>
        <x:v>0</x:v>
      </x:c>
      <x:c r="Q243" s="17" t="str">
        <x:v>D-road proxy; B-coordinates</x:v>
      </x:c>
    </x:row>
    <x:row r="244">
      <x:c r="A244" s="17" t="str">
        <x:v>A0240</x:v>
      </x:c>
      <x:c r="B244" s="17" t="str">
        <x:v>GD12</x:v>
      </x:c>
      <x:c r="C244" s="17" t="str">
        <x:v>source</x:v>
      </x:c>
      <x:c r="D244" s="17" t="str">
        <x:v>中山</x:v>
      </x:c>
      <x:c r="E244" s="24" t="n">
        <x:v>113.3872302</x:v>
      </x:c>
      <x:c r="F244" s="24" t="n">
        <x:v>22.5197073</x:v>
      </x:c>
      <x:c r="G244" s="17" t="str">
        <x:v>C09</x:v>
      </x:c>
      <x:c r="H244" s="17" t="str">
        <x:v>collection</x:v>
      </x:c>
      <x:c r="I244" s="17" t="str">
        <x:v>惠州虚拟回收/检测中心</x:v>
      </x:c>
      <x:c r="J244" s="24" t="n">
        <x:v>114.4127007</x:v>
      </x:c>
      <x:c r="K244" s="24" t="n">
        <x:v>23.1125153</x:v>
      </x:c>
      <x:c r="L244" s="21" t="n">
        <x:f>6371*ACOS(MIN(1,COS(F244*PI()/180)*COS(K244*PI()/180)*COS((J244-E244)*PI()/180)+SIN(F244*PI()/180)*SIN(K244*PI()/180)))</x:f>
        <x:v>124.06426518231</x:v>
      </x:c>
      <x:c r="M244" s="21" t="n">
        <x:f>L244*'情景参数模板'!$D$31</x:f>
        <x:v>148.87711821877198</x:v>
      </x:c>
      <x:c r="N244" s="21" t="n">
        <x:f>IF(C244="source",'情景参数模板'!$D$12,IF(H244="echelon",'情景参数模板'!$D$13,'情景参数模板'!$D$14))</x:f>
        <x:v>0.49</x:v>
      </x:c>
      <x:c r="O244" s="21" t="n">
        <x:f>IF(C244="source",'情景参数模板'!$D$18,IF(H244="echelon",'情景参数模板'!$D$19,'情景参数模板'!$D$20))</x:f>
        <x:v>150</x:v>
      </x:c>
      <x:c r="P244" s="17" t="n">
        <x:f>IF(M244&lt;=O244,1,0)</x:f>
        <x:v>1</x:v>
      </x:c>
      <x:c r="Q244" s="17" t="str">
        <x:v>D-road proxy; B-coordinates</x:v>
      </x:c>
    </x:row>
    <x:row r="245">
      <x:c r="A245" s="17" t="str">
        <x:v>A0241</x:v>
      </x:c>
      <x:c r="B245" s="17" t="str">
        <x:v>GD12</x:v>
      </x:c>
      <x:c r="C245" s="17" t="str">
        <x:v>source</x:v>
      </x:c>
      <x:c r="D245" s="17" t="str">
        <x:v>中山</x:v>
      </x:c>
      <x:c r="E245" s="24" t="n">
        <x:v>113.3872302</x:v>
      </x:c>
      <x:c r="F245" s="24" t="n">
        <x:v>22.5197073</x:v>
      </x:c>
      <x:c r="G245" s="17" t="str">
        <x:v>C10</x:v>
      </x:c>
      <x:c r="H245" s="17" t="str">
        <x:v>collection</x:v>
      </x:c>
      <x:c r="I245" s="17" t="str">
        <x:v>汕尾虚拟回收/检测中心</x:v>
      </x:c>
      <x:c r="J245" s="24" t="n">
        <x:v>115.5099937</x:v>
      </x:c>
      <x:c r="K245" s="24" t="n">
        <x:v>23.0123639</x:v>
      </x:c>
      <x:c r="L245" s="21" t="n">
        <x:f>6371*ACOS(MIN(1,COS(F245*PI()/180)*COS(K245*PI()/180)*COS((J245-E245)*PI()/180)+SIN(F245*PI()/180)*SIN(K245*PI()/180)))</x:f>
        <x:v>224.4365359002932</x:v>
      </x:c>
      <x:c r="M245" s="21" t="n">
        <x:f>L245*'情景参数模板'!$D$31</x:f>
        <x:v>269.3238430803518</x:v>
      </x:c>
      <x:c r="N245" s="21" t="n">
        <x:f>IF(C245="source",'情景参数模板'!$D$12,IF(H245="echelon",'情景参数模板'!$D$13,'情景参数模板'!$D$14))</x:f>
        <x:v>0.49</x:v>
      </x:c>
      <x:c r="O245" s="21" t="n">
        <x:f>IF(C245="source",'情景参数模板'!$D$18,IF(H245="echelon",'情景参数模板'!$D$19,'情景参数模板'!$D$20))</x:f>
        <x:v>150</x:v>
      </x:c>
      <x:c r="P245" s="17" t="n">
        <x:f>IF(M245&lt;=O245,1,0)</x:f>
        <x:v>0</x:v>
      </x:c>
      <x:c r="Q245" s="17" t="str">
        <x:v>D-road proxy; B-coordinates</x:v>
      </x:c>
    </x:row>
    <x:row r="246">
      <x:c r="A246" s="17" t="str">
        <x:v>A0242</x:v>
      </x:c>
      <x:c r="B246" s="17" t="str">
        <x:v>GD12</x:v>
      </x:c>
      <x:c r="C246" s="17" t="str">
        <x:v>source</x:v>
      </x:c>
      <x:c r="D246" s="17" t="str">
        <x:v>中山</x:v>
      </x:c>
      <x:c r="E246" s="24" t="n">
        <x:v>113.3872302</x:v>
      </x:c>
      <x:c r="F246" s="24" t="n">
        <x:v>22.5197073</x:v>
      </x:c>
      <x:c r="G246" s="17" t="str">
        <x:v>C11</x:v>
      </x:c>
      <x:c r="H246" s="17" t="str">
        <x:v>collection</x:v>
      </x:c>
      <x:c r="I246" s="17" t="str">
        <x:v>东莞虚拟回收/检测中心</x:v>
      </x:c>
      <x:c r="J246" s="24" t="n">
        <x:v>113.7452332</x:v>
      </x:c>
      <x:c r="K246" s="24" t="n">
        <x:v>23.0183568</x:v>
      </x:c>
      <x:c r="L246" s="21" t="n">
        <x:f>6371*ACOS(MIN(1,COS(F246*PI()/180)*COS(K246*PI()/180)*COS((J246-E246)*PI()/180)+SIN(F246*PI()/180)*SIN(K246*PI()/180)))</x:f>
        <x:v>66.49599216706548</x:v>
      </x:c>
      <x:c r="M246" s="21" t="n">
        <x:f>L246*'情景参数模板'!$D$31</x:f>
        <x:v>79.79519060047858</x:v>
      </x:c>
      <x:c r="N246" s="21" t="n">
        <x:f>IF(C246="source",'情景参数模板'!$D$12,IF(H246="echelon",'情景参数模板'!$D$13,'情景参数模板'!$D$14))</x:f>
        <x:v>0.49</x:v>
      </x:c>
      <x:c r="O246" s="21" t="n">
        <x:f>IF(C246="source",'情景参数模板'!$D$18,IF(H246="echelon",'情景参数模板'!$D$19,'情景参数模板'!$D$20))</x:f>
        <x:v>150</x:v>
      </x:c>
      <x:c r="P246" s="17" t="n">
        <x:f>IF(M246&lt;=O246,1,0)</x:f>
        <x:v>1</x:v>
      </x:c>
      <x:c r="Q246" s="17" t="str">
        <x:v>D-road proxy; B-coordinates</x:v>
      </x:c>
    </x:row>
    <x:row r="247">
      <x:c r="A247" s="17" t="str">
        <x:v>A0243</x:v>
      </x:c>
      <x:c r="B247" s="17" t="str">
        <x:v>GD12</x:v>
      </x:c>
      <x:c r="C247" s="17" t="str">
        <x:v>source</x:v>
      </x:c>
      <x:c r="D247" s="17" t="str">
        <x:v>中山</x:v>
      </x:c>
      <x:c r="E247" s="24" t="n">
        <x:v>113.3872302</x:v>
      </x:c>
      <x:c r="F247" s="24" t="n">
        <x:v>22.5197073</x:v>
      </x:c>
      <x:c r="G247" s="17" t="str">
        <x:v>C12</x:v>
      </x:c>
      <x:c r="H247" s="17" t="str">
        <x:v>collection</x:v>
      </x:c>
      <x:c r="I247" s="17" t="str">
        <x:v>中山虚拟回收/检测中心</x:v>
      </x:c>
      <x:c r="J247" s="24" t="n">
        <x:v>113.3872302</x:v>
      </x:c>
      <x:c r="K247" s="24" t="n">
        <x:v>22.5197073</x:v>
      </x:c>
      <x:c r="L247" s="21" t="n">
        <x:f>6371*ACOS(MIN(1,COS(F247*PI()/180)*COS(K247*PI()/180)*COS((J247-E247)*PI()/180)+SIN(F247*PI()/180)*SIN(K247*PI()/180)))</x:f>
        <x:v>0</x:v>
      </x:c>
      <x:c r="M247" s="21" t="n">
        <x:f>L247*'情景参数模板'!$D$31</x:f>
        <x:v>0</x:v>
      </x:c>
      <x:c r="N247" s="21" t="n">
        <x:f>IF(C247="source",'情景参数模板'!$D$12,IF(H247="echelon",'情景参数模板'!$D$13,'情景参数模板'!$D$14))</x:f>
        <x:v>0.49</x:v>
      </x:c>
      <x:c r="O247" s="21" t="n">
        <x:f>IF(C247="source",'情景参数模板'!$D$18,IF(H247="echelon",'情景参数模板'!$D$19,'情景参数模板'!$D$20))</x:f>
        <x:v>150</x:v>
      </x:c>
      <x:c r="P247" s="17" t="n">
        <x:f>IF(M247&lt;=O247,1,0)</x:f>
        <x:v>1</x:v>
      </x:c>
      <x:c r="Q247" s="17" t="str">
        <x:v>D-road proxy; B-coordinates</x:v>
      </x:c>
    </x:row>
    <x:row r="248">
      <x:c r="A248" s="17" t="str">
        <x:v>A0244</x:v>
      </x:c>
      <x:c r="B248" s="17" t="str">
        <x:v>GD12</x:v>
      </x:c>
      <x:c r="C248" s="17" t="str">
        <x:v>source</x:v>
      </x:c>
      <x:c r="D248" s="17" t="str">
        <x:v>中山</x:v>
      </x:c>
      <x:c r="E248" s="24" t="n">
        <x:v>113.3872302</x:v>
      </x:c>
      <x:c r="F248" s="24" t="n">
        <x:v>22.5197073</x:v>
      </x:c>
      <x:c r="G248" s="17" t="str">
        <x:v>C13</x:v>
      </x:c>
      <x:c r="H248" s="17" t="str">
        <x:v>collection</x:v>
      </x:c>
      <x:c r="I248" s="17" t="str">
        <x:v>江门虚拟回收/检测中心</x:v>
      </x:c>
      <x:c r="J248" s="24" t="n">
        <x:v>113.0761073</x:v>
      </x:c>
      <x:c r="K248" s="24" t="n">
        <x:v>22.5816619</x:v>
      </x:c>
      <x:c r="L248" s="21" t="n">
        <x:f>6371*ACOS(MIN(1,COS(F248*PI()/180)*COS(K248*PI()/180)*COS((J248-E248)*PI()/180)+SIN(F248*PI()/180)*SIN(K248*PI()/180)))</x:f>
        <x:v>32.6844105535489</x:v>
      </x:c>
      <x:c r="M248" s="21" t="n">
        <x:f>L248*'情景参数模板'!$D$31</x:f>
        <x:v>39.22129266425868</x:v>
      </x:c>
      <x:c r="N248" s="21" t="n">
        <x:f>IF(C248="source",'情景参数模板'!$D$12,IF(H248="echelon",'情景参数模板'!$D$13,'情景参数模板'!$D$14))</x:f>
        <x:v>0.49</x:v>
      </x:c>
      <x:c r="O248" s="21" t="n">
        <x:f>IF(C248="source",'情景参数模板'!$D$18,IF(H248="echelon",'情景参数模板'!$D$19,'情景参数模板'!$D$20))</x:f>
        <x:v>150</x:v>
      </x:c>
      <x:c r="P248" s="17" t="n">
        <x:f>IF(M248&lt;=O248,1,0)</x:f>
        <x:v>1</x:v>
      </x:c>
      <x:c r="Q248" s="17" t="str">
        <x:v>D-road proxy; B-coordinates</x:v>
      </x:c>
    </x:row>
    <x:row r="249">
      <x:c r="A249" s="17" t="str">
        <x:v>A0245</x:v>
      </x:c>
      <x:c r="B249" s="17" t="str">
        <x:v>GD12</x:v>
      </x:c>
      <x:c r="C249" s="17" t="str">
        <x:v>source</x:v>
      </x:c>
      <x:c r="D249" s="17" t="str">
        <x:v>中山</x:v>
      </x:c>
      <x:c r="E249" s="24" t="n">
        <x:v>113.3872302</x:v>
      </x:c>
      <x:c r="F249" s="24" t="n">
        <x:v>22.5197073</x:v>
      </x:c>
      <x:c r="G249" s="17" t="str">
        <x:v>C14</x:v>
      </x:c>
      <x:c r="H249" s="17" t="str">
        <x:v>collection</x:v>
      </x:c>
      <x:c r="I249" s="17" t="str">
        <x:v>阳江虚拟回收/检测中心</x:v>
      </x:c>
      <x:c r="J249" s="24" t="n">
        <x:v>111.7831393</x:v>
      </x:c>
      <x:c r="K249" s="24" t="n">
        <x:v>22.0958223</x:v>
      </x:c>
      <x:c r="L249" s="21" t="n">
        <x:f>6371*ACOS(MIN(1,COS(F249*PI()/180)*COS(K249*PI()/180)*COS((J249-E249)*PI()/180)+SIN(F249*PI()/180)*SIN(K249*PI()/180)))</x:f>
        <x:v>171.61565011193275</x:v>
      </x:c>
      <x:c r="M249" s="21" t="n">
        <x:f>L249*'情景参数模板'!$D$31</x:f>
        <x:v>205.9387801343193</x:v>
      </x:c>
      <x:c r="N249" s="21" t="n">
        <x:f>IF(C249="source",'情景参数模板'!$D$12,IF(H249="echelon",'情景参数模板'!$D$13,'情景参数模板'!$D$14))</x:f>
        <x:v>0.49</x:v>
      </x:c>
      <x:c r="O249" s="21" t="n">
        <x:f>IF(C249="source",'情景参数模板'!$D$18,IF(H249="echelon",'情景参数模板'!$D$19,'情景参数模板'!$D$20))</x:f>
        <x:v>150</x:v>
      </x:c>
      <x:c r="P249" s="17" t="n">
        <x:f>IF(M249&lt;=O249,1,0)</x:f>
        <x:v>0</x:v>
      </x:c>
      <x:c r="Q249" s="17" t="str">
        <x:v>D-road proxy; B-coordinates</x:v>
      </x:c>
    </x:row>
    <x:row r="250">
      <x:c r="A250" s="17" t="str">
        <x:v>A0246</x:v>
      </x:c>
      <x:c r="B250" s="17" t="str">
        <x:v>GD12</x:v>
      </x:c>
      <x:c r="C250" s="17" t="str">
        <x:v>source</x:v>
      </x:c>
      <x:c r="D250" s="17" t="str">
        <x:v>中山</x:v>
      </x:c>
      <x:c r="E250" s="24" t="n">
        <x:v>113.3872302</x:v>
      </x:c>
      <x:c r="F250" s="24" t="n">
        <x:v>22.5197073</x:v>
      </x:c>
      <x:c r="G250" s="17" t="str">
        <x:v>C15</x:v>
      </x:c>
      <x:c r="H250" s="17" t="str">
        <x:v>collection</x:v>
      </x:c>
      <x:c r="I250" s="17" t="str">
        <x:v>湛江虚拟回收/检测中心</x:v>
      </x:c>
      <x:c r="J250" s="24" t="n">
        <x:v>110.3548318</x:v>
      </x:c>
      <x:c r="K250" s="24" t="n">
        <x:v>21.2737079</x:v>
      </x:c>
      <x:c r="L250" s="21" t="n">
        <x:f>6371*ACOS(MIN(1,COS(F250*PI()/180)*COS(K250*PI()/180)*COS((J250-E250)*PI()/180)+SIN(F250*PI()/180)*SIN(K250*PI()/180)))</x:f>
        <x:v>342.1540599613105</x:v>
      </x:c>
      <x:c r="M250" s="21" t="n">
        <x:f>L250*'情景参数模板'!$D$31</x:f>
        <x:v>410.5848719535726</x:v>
      </x:c>
      <x:c r="N250" s="21" t="n">
        <x:f>IF(C250="source",'情景参数模板'!$D$12,IF(H250="echelon",'情景参数模板'!$D$13,'情景参数模板'!$D$14))</x:f>
        <x:v>0.49</x:v>
      </x:c>
      <x:c r="O250" s="21" t="n">
        <x:f>IF(C250="source",'情景参数模板'!$D$18,IF(H250="echelon",'情景参数模板'!$D$19,'情景参数模板'!$D$20))</x:f>
        <x:v>150</x:v>
      </x:c>
      <x:c r="P250" s="17" t="n">
        <x:f>IF(M250&lt;=O250,1,0)</x:f>
        <x:v>0</x:v>
      </x:c>
      <x:c r="Q250" s="17" t="str">
        <x:v>D-road proxy; B-coordinates</x:v>
      </x:c>
    </x:row>
    <x:row r="251">
      <x:c r="A251" s="17" t="str">
        <x:v>A0247</x:v>
      </x:c>
      <x:c r="B251" s="17" t="str">
        <x:v>GD12</x:v>
      </x:c>
      <x:c r="C251" s="17" t="str">
        <x:v>source</x:v>
      </x:c>
      <x:c r="D251" s="17" t="str">
        <x:v>中山</x:v>
      </x:c>
      <x:c r="E251" s="24" t="n">
        <x:v>113.3872302</x:v>
      </x:c>
      <x:c r="F251" s="24" t="n">
        <x:v>22.5197073</x:v>
      </x:c>
      <x:c r="G251" s="17" t="str">
        <x:v>C16</x:v>
      </x:c>
      <x:c r="H251" s="17" t="str">
        <x:v>collection</x:v>
      </x:c>
      <x:c r="I251" s="17" t="str">
        <x:v>茂名虚拟回收/检测中心</x:v>
      </x:c>
      <x:c r="J251" s="24" t="n">
        <x:v>110.9209511</x:v>
      </x:c>
      <x:c r="K251" s="24" t="n">
        <x:v>21.6656961</x:v>
      </x:c>
      <x:c r="L251" s="21" t="n">
        <x:f>6371*ACOS(MIN(1,COS(F251*PI()/180)*COS(K251*PI()/180)*COS((J251-E251)*PI()/180)+SIN(F251*PI()/180)*SIN(K251*PI()/180)))</x:f>
        <x:v>271.26090740261486</x:v>
      </x:c>
      <x:c r="M251" s="21" t="n">
        <x:f>L251*'情景参数模板'!$D$31</x:f>
        <x:v>325.5130888831378</x:v>
      </x:c>
      <x:c r="N251" s="21" t="n">
        <x:f>IF(C251="source",'情景参数模板'!$D$12,IF(H251="echelon",'情景参数模板'!$D$13,'情景参数模板'!$D$14))</x:f>
        <x:v>0.49</x:v>
      </x:c>
      <x:c r="O251" s="21" t="n">
        <x:f>IF(C251="source",'情景参数模板'!$D$18,IF(H251="echelon",'情景参数模板'!$D$19,'情景参数模板'!$D$20))</x:f>
        <x:v>150</x:v>
      </x:c>
      <x:c r="P251" s="17" t="n">
        <x:f>IF(M251&lt;=O251,1,0)</x:f>
        <x:v>0</x:v>
      </x:c>
      <x:c r="Q251" s="17" t="str">
        <x:v>D-road proxy; B-coordinates</x:v>
      </x:c>
    </x:row>
    <x:row r="252">
      <x:c r="A252" s="17" t="str">
        <x:v>A0248</x:v>
      </x:c>
      <x:c r="B252" s="17" t="str">
        <x:v>GD12</x:v>
      </x:c>
      <x:c r="C252" s="17" t="str">
        <x:v>source</x:v>
      </x:c>
      <x:c r="D252" s="17" t="str">
        <x:v>中山</x:v>
      </x:c>
      <x:c r="E252" s="24" t="n">
        <x:v>113.3872302</x:v>
      </x:c>
      <x:c r="F252" s="24" t="n">
        <x:v>22.5197073</x:v>
      </x:c>
      <x:c r="G252" s="17" t="str">
        <x:v>C17</x:v>
      </x:c>
      <x:c r="H252" s="17" t="str">
        <x:v>collection</x:v>
      </x:c>
      <x:c r="I252" s="17" t="str">
        <x:v>肇庆虚拟回收/检测中心</x:v>
      </x:c>
      <x:c r="J252" s="24" t="n">
        <x:v>112.4603629</x:v>
      </x:c>
      <x:c r="K252" s="24" t="n">
        <x:v>23.0501661</x:v>
      </x:c>
      <x:c r="L252" s="21" t="n">
        <x:f>6371*ACOS(MIN(1,COS(F252*PI()/180)*COS(K252*PI()/180)*COS((J252-E252)*PI()/180)+SIN(F252*PI()/180)*SIN(K252*PI()/180)))</x:f>
        <x:v>111.83874026153268</x:v>
      </x:c>
      <x:c r="M252" s="21" t="n">
        <x:f>L252*'情景参数模板'!$D$31</x:f>
        <x:v>134.2064883138392</x:v>
      </x:c>
      <x:c r="N252" s="21" t="n">
        <x:f>IF(C252="source",'情景参数模板'!$D$12,IF(H252="echelon",'情景参数模板'!$D$13,'情景参数模板'!$D$14))</x:f>
        <x:v>0.49</x:v>
      </x:c>
      <x:c r="O252" s="21" t="n">
        <x:f>IF(C252="source",'情景参数模板'!$D$18,IF(H252="echelon",'情景参数模板'!$D$19,'情景参数模板'!$D$20))</x:f>
        <x:v>150</x:v>
      </x:c>
      <x:c r="P252" s="17" t="n">
        <x:f>IF(M252&lt;=O252,1,0)</x:f>
        <x:v>1</x:v>
      </x:c>
      <x:c r="Q252" s="17" t="str">
        <x:v>D-road proxy; B-coordinates</x:v>
      </x:c>
    </x:row>
    <x:row r="253">
      <x:c r="A253" s="17" t="str">
        <x:v>A0249</x:v>
      </x:c>
      <x:c r="B253" s="17" t="str">
        <x:v>GD12</x:v>
      </x:c>
      <x:c r="C253" s="17" t="str">
        <x:v>source</x:v>
      </x:c>
      <x:c r="D253" s="17" t="str">
        <x:v>中山</x:v>
      </x:c>
      <x:c r="E253" s="24" t="n">
        <x:v>113.3872302</x:v>
      </x:c>
      <x:c r="F253" s="24" t="n">
        <x:v>22.5197073</x:v>
      </x:c>
      <x:c r="G253" s="17" t="str">
        <x:v>C18</x:v>
      </x:c>
      <x:c r="H253" s="17" t="str">
        <x:v>collection</x:v>
      </x:c>
      <x:c r="I253" s="17" t="str">
        <x:v>清远虚拟回收/检测中心</x:v>
      </x:c>
      <x:c r="J253" s="24" t="n">
        <x:v>113.0505994</x:v>
      </x:c>
      <x:c r="K253" s="24" t="n">
        <x:v>23.6832984</x:v>
      </x:c>
      <x:c r="L253" s="21" t="n">
        <x:f>6371*ACOS(MIN(1,COS(F253*PI()/180)*COS(K253*PI()/180)*COS((J253-E253)*PI()/180)+SIN(F253*PI()/180)*SIN(K253*PI()/180)))</x:f>
        <x:v>133.88783670594157</x:v>
      </x:c>
      <x:c r="M253" s="21" t="n">
        <x:f>L253*'情景参数模板'!$D$31</x:f>
        <x:v>160.66540404712987</x:v>
      </x:c>
      <x:c r="N253" s="21" t="n">
        <x:f>IF(C253="source",'情景参数模板'!$D$12,IF(H253="echelon",'情景参数模板'!$D$13,'情景参数模板'!$D$14))</x:f>
        <x:v>0.49</x:v>
      </x:c>
      <x:c r="O253" s="21" t="n">
        <x:f>IF(C253="source",'情景参数模板'!$D$18,IF(H253="echelon",'情景参数模板'!$D$19,'情景参数模板'!$D$20))</x:f>
        <x:v>150</x:v>
      </x:c>
      <x:c r="P253" s="17" t="n">
        <x:f>IF(M253&lt;=O253,1,0)</x:f>
        <x:v>0</x:v>
      </x:c>
      <x:c r="Q253" s="17" t="str">
        <x:v>D-road proxy; B-coordinates</x:v>
      </x:c>
    </x:row>
    <x:row r="254">
      <x:c r="A254" s="17" t="str">
        <x:v>A0250</x:v>
      </x:c>
      <x:c r="B254" s="17" t="str">
        <x:v>GD12</x:v>
      </x:c>
      <x:c r="C254" s="17" t="str">
        <x:v>source</x:v>
      </x:c>
      <x:c r="D254" s="17" t="str">
        <x:v>中山</x:v>
      </x:c>
      <x:c r="E254" s="24" t="n">
        <x:v>113.3872302</x:v>
      </x:c>
      <x:c r="F254" s="24" t="n">
        <x:v>22.5197073</x:v>
      </x:c>
      <x:c r="G254" s="17" t="str">
        <x:v>C19</x:v>
      </x:c>
      <x:c r="H254" s="17" t="str">
        <x:v>collection</x:v>
      </x:c>
      <x:c r="I254" s="17" t="str">
        <x:v>潮州虚拟回收/检测中心</x:v>
      </x:c>
      <x:c r="J254" s="24" t="n">
        <x:v>116.6204223</x:v>
      </x:c>
      <x:c r="K254" s="24" t="n">
        <x:v>23.656593</x:v>
      </x:c>
      <x:c r="L254" s="21" t="n">
        <x:f>6371*ACOS(MIN(1,COS(F254*PI()/180)*COS(K254*PI()/180)*COS((J254-E254)*PI()/180)+SIN(F254*PI()/180)*SIN(K254*PI()/180)))</x:f>
        <x:v>354.041841083676</x:v>
      </x:c>
      <x:c r="M254" s="21" t="n">
        <x:f>L254*'情景参数模板'!$D$31</x:f>
        <x:v>424.85020930041117</x:v>
      </x:c>
      <x:c r="N254" s="21" t="n">
        <x:f>IF(C254="source",'情景参数模板'!$D$12,IF(H254="echelon",'情景参数模板'!$D$13,'情景参数模板'!$D$14))</x:f>
        <x:v>0.49</x:v>
      </x:c>
      <x:c r="O254" s="21" t="n">
        <x:f>IF(C254="source",'情景参数模板'!$D$18,IF(H254="echelon",'情景参数模板'!$D$19,'情景参数模板'!$D$20))</x:f>
        <x:v>150</x:v>
      </x:c>
      <x:c r="P254" s="17" t="n">
        <x:f>IF(M254&lt;=O254,1,0)</x:f>
        <x:v>0</x:v>
      </x:c>
      <x:c r="Q254" s="17" t="str">
        <x:v>D-road proxy; B-coordinates</x:v>
      </x:c>
    </x:row>
    <x:row r="255">
      <x:c r="A255" s="17" t="str">
        <x:v>A0251</x:v>
      </x:c>
      <x:c r="B255" s="17" t="str">
        <x:v>GD12</x:v>
      </x:c>
      <x:c r="C255" s="17" t="str">
        <x:v>source</x:v>
      </x:c>
      <x:c r="D255" s="17" t="str">
        <x:v>中山</x:v>
      </x:c>
      <x:c r="E255" s="24" t="n">
        <x:v>113.3872302</x:v>
      </x:c>
      <x:c r="F255" s="24" t="n">
        <x:v>22.5197073</x:v>
      </x:c>
      <x:c r="G255" s="17" t="str">
        <x:v>C20</x:v>
      </x:c>
      <x:c r="H255" s="17" t="str">
        <x:v>collection</x:v>
      </x:c>
      <x:c r="I255" s="17" t="str">
        <x:v>揭阳虚拟回收/检测中心</x:v>
      </x:c>
      <x:c r="J255" s="24" t="n">
        <x:v>116.3680354</x:v>
      </x:c>
      <x:c r="K255" s="24" t="n">
        <x:v>23.553156</x:v>
      </x:c>
      <x:c r="L255" s="21" t="n">
        <x:f>6371*ACOS(MIN(1,COS(F255*PI()/180)*COS(K255*PI()/180)*COS((J255-E255)*PI()/180)+SIN(F255*PI()/180)*SIN(K255*PI()/180)))</x:f>
        <x:v>325.937045938016</x:v>
      </x:c>
      <x:c r="M255" s="21" t="n">
        <x:f>L255*'情景参数模板'!$D$31</x:f>
        <x:v>391.1244551256192</x:v>
      </x:c>
      <x:c r="N255" s="21" t="n">
        <x:f>IF(C255="source",'情景参数模板'!$D$12,IF(H255="echelon",'情景参数模板'!$D$13,'情景参数模板'!$D$14))</x:f>
        <x:v>0.49</x:v>
      </x:c>
      <x:c r="O255" s="21" t="n">
        <x:f>IF(C255="source",'情景参数模板'!$D$18,IF(H255="echelon",'情景参数模板'!$D$19,'情景参数模板'!$D$20))</x:f>
        <x:v>150</x:v>
      </x:c>
      <x:c r="P255" s="17" t="n">
        <x:f>IF(M255&lt;=O255,1,0)</x:f>
        <x:v>0</x:v>
      </x:c>
      <x:c r="Q255" s="17" t="str">
        <x:v>D-road proxy; B-coordinates</x:v>
      </x:c>
    </x:row>
    <x:row r="256">
      <x:c r="A256" s="17" t="str">
        <x:v>A0252</x:v>
      </x:c>
      <x:c r="B256" s="17" t="str">
        <x:v>GD12</x:v>
      </x:c>
      <x:c r="C256" s="17" t="str">
        <x:v>source</x:v>
      </x:c>
      <x:c r="D256" s="17" t="str">
        <x:v>中山</x:v>
      </x:c>
      <x:c r="E256" s="24" t="n">
        <x:v>113.3872302</x:v>
      </x:c>
      <x:c r="F256" s="24" t="n">
        <x:v>22.5197073</x:v>
      </x:c>
      <x:c r="G256" s="17" t="str">
        <x:v>C21</x:v>
      </x:c>
      <x:c r="H256" s="17" t="str">
        <x:v>collection</x:v>
      </x:c>
      <x:c r="I256" s="17" t="str">
        <x:v>云浮虚拟回收/检测中心</x:v>
      </x:c>
      <x:c r="J256" s="24" t="n">
        <x:v>111.8078586</x:v>
      </x:c>
      <x:c r="K256" s="24" t="n">
        <x:v>22.8546663</x:v>
      </x:c>
      <x:c r="L256" s="21" t="n">
        <x:f>6371*ACOS(MIN(1,COS(F256*PI()/180)*COS(K256*PI()/180)*COS((J256-E256)*PI()/180)+SIN(F256*PI()/180)*SIN(K256*PI()/180)))</x:f>
        <x:v>166.2541970561187</x:v>
      </x:c>
      <x:c r="M256" s="21" t="n">
        <x:f>L256*'情景参数模板'!$D$31</x:f>
        <x:v>199.50503646734242</x:v>
      </x:c>
      <x:c r="N256" s="21" t="n">
        <x:f>IF(C256="source",'情景参数模板'!$D$12,IF(H256="echelon",'情景参数模板'!$D$13,'情景参数模板'!$D$14))</x:f>
        <x:v>0.49</x:v>
      </x:c>
      <x:c r="O256" s="21" t="n">
        <x:f>IF(C256="source",'情景参数模板'!$D$18,IF(H256="echelon",'情景参数模板'!$D$19,'情景参数模板'!$D$20))</x:f>
        <x:v>150</x:v>
      </x:c>
      <x:c r="P256" s="17" t="n">
        <x:f>IF(M256&lt;=O256,1,0)</x:f>
        <x:v>0</x:v>
      </x:c>
      <x:c r="Q256" s="17" t="str">
        <x:v>D-road proxy; B-coordinates</x:v>
      </x:c>
    </x:row>
    <x:row r="257">
      <x:c r="A257" s="17" t="str">
        <x:v>A0253</x:v>
      </x:c>
      <x:c r="B257" s="17" t="str">
        <x:v>GD13</x:v>
      </x:c>
      <x:c r="C257" s="17" t="str">
        <x:v>source</x:v>
      </x:c>
      <x:c r="D257" s="17" t="str">
        <x:v>江门</x:v>
      </x:c>
      <x:c r="E257" s="24" t="n">
        <x:v>113.0761073</x:v>
      </x:c>
      <x:c r="F257" s="24" t="n">
        <x:v>22.5816619</x:v>
      </x:c>
      <x:c r="G257" s="17" t="str">
        <x:v>C01</x:v>
      </x:c>
      <x:c r="H257" s="17" t="str">
        <x:v>collection</x:v>
      </x:c>
      <x:c r="I257" s="17" t="str">
        <x:v>广州虚拟回收/检测中心</x:v>
      </x:c>
      <x:c r="J257" s="24" t="n">
        <x:v>113.2589581</x:v>
      </x:c>
      <x:c r="K257" s="24" t="n">
        <x:v>23.1288429</x:v>
      </x:c>
      <x:c r="L257" s="21" t="n">
        <x:f>6371*ACOS(MIN(1,COS(F257*PI()/180)*COS(K257*PI()/180)*COS((J257-E257)*PI()/180)+SIN(F257*PI()/180)*SIN(K257*PI()/180)))</x:f>
        <x:v>63.663079882234</x:v>
      </x:c>
      <x:c r="M257" s="21" t="n">
        <x:f>L257*'情景参数模板'!$D$31</x:f>
        <x:v>76.3956958586808</x:v>
      </x:c>
      <x:c r="N257" s="21" t="n">
        <x:f>IF(C257="source",'情景参数模板'!$D$12,IF(H257="echelon",'情景参数模板'!$D$13,'情景参数模板'!$D$14))</x:f>
        <x:v>0.49</x:v>
      </x:c>
      <x:c r="O257" s="21" t="n">
        <x:f>IF(C257="source",'情景参数模板'!$D$18,IF(H257="echelon",'情景参数模板'!$D$19,'情景参数模板'!$D$20))</x:f>
        <x:v>150</x:v>
      </x:c>
      <x:c r="P257" s="17" t="n">
        <x:f>IF(M257&lt;=O257,1,0)</x:f>
        <x:v>1</x:v>
      </x:c>
      <x:c r="Q257" s="17" t="str">
        <x:v>D-road proxy; B-coordinates</x:v>
      </x:c>
    </x:row>
    <x:row r="258">
      <x:c r="A258" s="17" t="str">
        <x:v>A0254</x:v>
      </x:c>
      <x:c r="B258" s="17" t="str">
        <x:v>GD13</x:v>
      </x:c>
      <x:c r="C258" s="17" t="str">
        <x:v>source</x:v>
      </x:c>
      <x:c r="D258" s="17" t="str">
        <x:v>江门</x:v>
      </x:c>
      <x:c r="E258" s="24" t="n">
        <x:v>113.0761073</x:v>
      </x:c>
      <x:c r="F258" s="24" t="n">
        <x:v>22.5816619</x:v>
      </x:c>
      <x:c r="G258" s="17" t="str">
        <x:v>C02</x:v>
      </x:c>
      <x:c r="H258" s="17" t="str">
        <x:v>collection</x:v>
      </x:c>
      <x:c r="I258" s="17" t="str">
        <x:v>深圳虚拟回收/检测中心</x:v>
      </x:c>
      <x:c r="J258" s="24" t="n">
        <x:v>114.0545429</x:v>
      </x:c>
      <x:c r="K258" s="24" t="n">
        <x:v>22.5445741</x:v>
      </x:c>
      <x:c r="L258" s="21" t="n">
        <x:f>6371*ACOS(MIN(1,COS(F258*PI()/180)*COS(K258*PI()/180)*COS((J258-E258)*PI()/180)+SIN(F258*PI()/180)*SIN(K258*PI()/180)))</x:f>
        <x:v>100.55388459485556</x:v>
      </x:c>
      <x:c r="M258" s="21" t="n">
        <x:f>L258*'情景参数模板'!$D$31</x:f>
        <x:v>120.66466151382667</x:v>
      </x:c>
      <x:c r="N258" s="21" t="n">
        <x:f>IF(C258="source",'情景参数模板'!$D$12,IF(H258="echelon",'情景参数模板'!$D$13,'情景参数模板'!$D$14))</x:f>
        <x:v>0.49</x:v>
      </x:c>
      <x:c r="O258" s="21" t="n">
        <x:f>IF(C258="source",'情景参数模板'!$D$18,IF(H258="echelon",'情景参数模板'!$D$19,'情景参数模板'!$D$20))</x:f>
        <x:v>150</x:v>
      </x:c>
      <x:c r="P258" s="17" t="n">
        <x:f>IF(M258&lt;=O258,1,0)</x:f>
        <x:v>1</x:v>
      </x:c>
      <x:c r="Q258" s="17" t="str">
        <x:v>D-road proxy; B-coordinates</x:v>
      </x:c>
    </x:row>
    <x:row r="259">
      <x:c r="A259" s="17" t="str">
        <x:v>A0255</x:v>
      </x:c>
      <x:c r="B259" s="17" t="str">
        <x:v>GD13</x:v>
      </x:c>
      <x:c r="C259" s="17" t="str">
        <x:v>source</x:v>
      </x:c>
      <x:c r="D259" s="17" t="str">
        <x:v>江门</x:v>
      </x:c>
      <x:c r="E259" s="24" t="n">
        <x:v>113.0761073</x:v>
      </x:c>
      <x:c r="F259" s="24" t="n">
        <x:v>22.5816619</x:v>
      </x:c>
      <x:c r="G259" s="17" t="str">
        <x:v>C03</x:v>
      </x:c>
      <x:c r="H259" s="17" t="str">
        <x:v>collection</x:v>
      </x:c>
      <x:c r="I259" s="17" t="str">
        <x:v>珠海虚拟回收/检测中心</x:v>
      </x:c>
      <x:c r="J259" s="24" t="n">
        <x:v>113.5721327</x:v>
      </x:c>
      <x:c r="K259" s="24" t="n">
        <x:v>22.273734</x:v>
      </x:c>
      <x:c r="L259" s="21" t="n">
        <x:f>6371*ACOS(MIN(1,COS(F259*PI()/180)*COS(K259*PI()/180)*COS((J259-E259)*PI()/180)+SIN(F259*PI()/180)*SIN(K259*PI()/180)))</x:f>
        <x:v>61.4141569491265</x:v>
      </x:c>
      <x:c r="M259" s="21" t="n">
        <x:f>L259*'情景参数模板'!$D$31</x:f>
        <x:v>73.6969883389518</x:v>
      </x:c>
      <x:c r="N259" s="21" t="n">
        <x:f>IF(C259="source",'情景参数模板'!$D$12,IF(H259="echelon",'情景参数模板'!$D$13,'情景参数模板'!$D$14))</x:f>
        <x:v>0.49</x:v>
      </x:c>
      <x:c r="O259" s="21" t="n">
        <x:f>IF(C259="source",'情景参数模板'!$D$18,IF(H259="echelon",'情景参数模板'!$D$19,'情景参数模板'!$D$20))</x:f>
        <x:v>150</x:v>
      </x:c>
      <x:c r="P259" s="17" t="n">
        <x:f>IF(M259&lt;=O259,1,0)</x:f>
        <x:v>1</x:v>
      </x:c>
      <x:c r="Q259" s="17" t="str">
        <x:v>D-road proxy; B-coordinates</x:v>
      </x:c>
    </x:row>
    <x:row r="260">
      <x:c r="A260" s="17" t="str">
        <x:v>A0256</x:v>
      </x:c>
      <x:c r="B260" s="17" t="str">
        <x:v>GD13</x:v>
      </x:c>
      <x:c r="C260" s="17" t="str">
        <x:v>source</x:v>
      </x:c>
      <x:c r="D260" s="17" t="str">
        <x:v>江门</x:v>
      </x:c>
      <x:c r="E260" s="24" t="n">
        <x:v>113.0761073</x:v>
      </x:c>
      <x:c r="F260" s="24" t="n">
        <x:v>22.5816619</x:v>
      </x:c>
      <x:c r="G260" s="17" t="str">
        <x:v>C04</x:v>
      </x:c>
      <x:c r="H260" s="17" t="str">
        <x:v>collection</x:v>
      </x:c>
      <x:c r="I260" s="17" t="str">
        <x:v>汕头虚拟回收/检测中心</x:v>
      </x:c>
      <x:c r="J260" s="24" t="n">
        <x:v>116.6775856</x:v>
      </x:c>
      <x:c r="K260" s="24" t="n">
        <x:v>23.3563921</x:v>
      </x:c>
      <x:c r="L260" s="21" t="n">
        <x:f>6371*ACOS(MIN(1,COS(F260*PI()/180)*COS(K260*PI()/180)*COS((J260-E260)*PI()/180)+SIN(F260*PI()/180)*SIN(K260*PI()/180)))</x:f>
        <x:v>378.6321234404451</x:v>
      </x:c>
      <x:c r="M260" s="21" t="n">
        <x:f>L260*'情景参数模板'!$D$31</x:f>
        <x:v>454.35854812853415</x:v>
      </x:c>
      <x:c r="N260" s="21" t="n">
        <x:f>IF(C260="source",'情景参数模板'!$D$12,IF(H260="echelon",'情景参数模板'!$D$13,'情景参数模板'!$D$14))</x:f>
        <x:v>0.49</x:v>
      </x:c>
      <x:c r="O260" s="21" t="n">
        <x:f>IF(C260="source",'情景参数模板'!$D$18,IF(H260="echelon",'情景参数模板'!$D$19,'情景参数模板'!$D$20))</x:f>
        <x:v>150</x:v>
      </x:c>
      <x:c r="P260" s="17" t="n">
        <x:f>IF(M260&lt;=O260,1,0)</x:f>
        <x:v>0</x:v>
      </x:c>
      <x:c r="Q260" s="17" t="str">
        <x:v>D-road proxy; B-coordinates</x:v>
      </x:c>
    </x:row>
    <x:row r="261">
      <x:c r="A261" s="17" t="str">
        <x:v>A0257</x:v>
      </x:c>
      <x:c r="B261" s="17" t="str">
        <x:v>GD13</x:v>
      </x:c>
      <x:c r="C261" s="17" t="str">
        <x:v>source</x:v>
      </x:c>
      <x:c r="D261" s="17" t="str">
        <x:v>江门</x:v>
      </x:c>
      <x:c r="E261" s="24" t="n">
        <x:v>113.0761073</x:v>
      </x:c>
      <x:c r="F261" s="24" t="n">
        <x:v>22.5816619</x:v>
      </x:c>
      <x:c r="G261" s="17" t="str">
        <x:v>C05</x:v>
      </x:c>
      <x:c r="H261" s="17" t="str">
        <x:v>collection</x:v>
      </x:c>
      <x:c r="I261" s="17" t="str">
        <x:v>佛山虚拟回收/检测中心</x:v>
      </x:c>
      <x:c r="J261" s="24" t="n">
        <x:v>113.1159558</x:v>
      </x:c>
      <x:c r="K261" s="24" t="n">
        <x:v>23.0239788</x:v>
      </x:c>
      <x:c r="L261" s="21" t="n">
        <x:f>6371*ACOS(MIN(1,COS(F261*PI()/180)*COS(K261*PI()/180)*COS((J261-E261)*PI()/180)+SIN(F261*PI()/180)*SIN(K261*PI()/180)))</x:f>
        <x:v>49.35271597324547</x:v>
      </x:c>
      <x:c r="M261" s="21" t="n">
        <x:f>L261*'情景参数模板'!$D$31</x:f>
        <x:v>59.22325916789457</x:v>
      </x:c>
      <x:c r="N261" s="21" t="n">
        <x:f>IF(C261="source",'情景参数模板'!$D$12,IF(H261="echelon",'情景参数模板'!$D$13,'情景参数模板'!$D$14))</x:f>
        <x:v>0.49</x:v>
      </x:c>
      <x:c r="O261" s="21" t="n">
        <x:f>IF(C261="source",'情景参数模板'!$D$18,IF(H261="echelon",'情景参数模板'!$D$19,'情景参数模板'!$D$20))</x:f>
        <x:v>150</x:v>
      </x:c>
      <x:c r="P261" s="17" t="n">
        <x:f>IF(M261&lt;=O261,1,0)</x:f>
        <x:v>1</x:v>
      </x:c>
      <x:c r="Q261" s="17" t="str">
        <x:v>D-road proxy; B-coordinates</x:v>
      </x:c>
    </x:row>
    <x:row r="262">
      <x:c r="A262" s="17" t="str">
        <x:v>A0258</x:v>
      </x:c>
      <x:c r="B262" s="17" t="str">
        <x:v>GD13</x:v>
      </x:c>
      <x:c r="C262" s="17" t="str">
        <x:v>source</x:v>
      </x:c>
      <x:c r="D262" s="17" t="str">
        <x:v>江门</x:v>
      </x:c>
      <x:c r="E262" s="24" t="n">
        <x:v>113.0761073</x:v>
      </x:c>
      <x:c r="F262" s="24" t="n">
        <x:v>22.5816619</x:v>
      </x:c>
      <x:c r="G262" s="17" t="str">
        <x:v>C06</x:v>
      </x:c>
      <x:c r="H262" s="17" t="str">
        <x:v>collection</x:v>
      </x:c>
      <x:c r="I262" s="17" t="str">
        <x:v>韶关虚拟回收/检测中心</x:v>
      </x:c>
      <x:c r="J262" s="24" t="n">
        <x:v>113.8155263</x:v>
      </x:c>
      <x:c r="K262" s="24" t="n">
        <x:v>24.8309489</x:v>
      </x:c>
      <x:c r="L262" s="21" t="n">
        <x:f>6371*ACOS(MIN(1,COS(F262*PI()/180)*COS(K262*PI()/180)*COS((J262-E262)*PI()/180)+SIN(F262*PI()/180)*SIN(K262*PI()/180)))</x:f>
        <x:v>261.1912194278549</x:v>
      </x:c>
      <x:c r="M262" s="21" t="n">
        <x:f>L262*'情景参数模板'!$D$31</x:f>
        <x:v>313.42946331342586</x:v>
      </x:c>
      <x:c r="N262" s="21" t="n">
        <x:f>IF(C262="source",'情景参数模板'!$D$12,IF(H262="echelon",'情景参数模板'!$D$13,'情景参数模板'!$D$14))</x:f>
        <x:v>0.49</x:v>
      </x:c>
      <x:c r="O262" s="21" t="n">
        <x:f>IF(C262="source",'情景参数模板'!$D$18,IF(H262="echelon",'情景参数模板'!$D$19,'情景参数模板'!$D$20))</x:f>
        <x:v>150</x:v>
      </x:c>
      <x:c r="P262" s="17" t="n">
        <x:f>IF(M262&lt;=O262,1,0)</x:f>
        <x:v>0</x:v>
      </x:c>
      <x:c r="Q262" s="17" t="str">
        <x:v>D-road proxy; B-coordinates</x:v>
      </x:c>
    </x:row>
    <x:row r="263">
      <x:c r="A263" s="17" t="str">
        <x:v>A0259</x:v>
      </x:c>
      <x:c r="B263" s="17" t="str">
        <x:v>GD13</x:v>
      </x:c>
      <x:c r="C263" s="17" t="str">
        <x:v>source</x:v>
      </x:c>
      <x:c r="D263" s="17" t="str">
        <x:v>江门</x:v>
      </x:c>
      <x:c r="E263" s="24" t="n">
        <x:v>113.0761073</x:v>
      </x:c>
      <x:c r="F263" s="24" t="n">
        <x:v>22.5816619</x:v>
      </x:c>
      <x:c r="G263" s="17" t="str">
        <x:v>C07</x:v>
      </x:c>
      <x:c r="H263" s="17" t="str">
        <x:v>collection</x:v>
      </x:c>
      <x:c r="I263" s="17" t="str">
        <x:v>河源虚拟回收/检测中心</x:v>
      </x:c>
      <x:c r="J263" s="24" t="n">
        <x:v>115.0577538</x:v>
      </x:c>
      <x:c r="K263" s="24" t="n">
        <x:v>24.1014769</x:v>
      </x:c>
      <x:c r="L263" s="21" t="n">
        <x:f>6371*ACOS(MIN(1,COS(F263*PI()/180)*COS(K263*PI()/180)*COS((J263-E263)*PI()/180)+SIN(F263*PI()/180)*SIN(K263*PI()/180)))</x:f>
        <x:v>263.603352392746</x:v>
      </x:c>
      <x:c r="M263" s="21" t="n">
        <x:f>L263*'情景参数模板'!$D$31</x:f>
        <x:v>316.3240228712952</x:v>
      </x:c>
      <x:c r="N263" s="21" t="n">
        <x:f>IF(C263="source",'情景参数模板'!$D$12,IF(H263="echelon",'情景参数模板'!$D$13,'情景参数模板'!$D$14))</x:f>
        <x:v>0.49</x:v>
      </x:c>
      <x:c r="O263" s="21" t="n">
        <x:f>IF(C263="source",'情景参数模板'!$D$18,IF(H263="echelon",'情景参数模板'!$D$19,'情景参数模板'!$D$20))</x:f>
        <x:v>150</x:v>
      </x:c>
      <x:c r="P263" s="17" t="n">
        <x:f>IF(M263&lt;=O263,1,0)</x:f>
        <x:v>0</x:v>
      </x:c>
      <x:c r="Q263" s="17" t="str">
        <x:v>D-road proxy; B-coordinates</x:v>
      </x:c>
    </x:row>
    <x:row r="264">
      <x:c r="A264" s="17" t="str">
        <x:v>A0260</x:v>
      </x:c>
      <x:c r="B264" s="17" t="str">
        <x:v>GD13</x:v>
      </x:c>
      <x:c r="C264" s="17" t="str">
        <x:v>source</x:v>
      </x:c>
      <x:c r="D264" s="17" t="str">
        <x:v>江门</x:v>
      </x:c>
      <x:c r="E264" s="24" t="n">
        <x:v>113.0761073</x:v>
      </x:c>
      <x:c r="F264" s="24" t="n">
        <x:v>22.5816619</x:v>
      </x:c>
      <x:c r="G264" s="17" t="str">
        <x:v>C08</x:v>
      </x:c>
      <x:c r="H264" s="17" t="str">
        <x:v>collection</x:v>
      </x:c>
      <x:c r="I264" s="17" t="str">
        <x:v>梅州虚拟回收/检测中心</x:v>
      </x:c>
      <x:c r="J264" s="24" t="n">
        <x:v>116.1171428</x:v>
      </x:c>
      <x:c r="K264" s="24" t="n">
        <x:v>24.2918414</x:v>
      </x:c>
      <x:c r="L264" s="21" t="n">
        <x:f>6371*ACOS(MIN(1,COS(F264*PI()/180)*COS(K264*PI()/180)*COS((J264-E264)*PI()/180)+SIN(F264*PI()/180)*SIN(K264*PI()/180)))</x:f>
        <x:v>363.8717509049327</x:v>
      </x:c>
      <x:c r="M264" s="21" t="n">
        <x:f>L264*'情景参数模板'!$D$31</x:f>
        <x:v>436.6461010859192</x:v>
      </x:c>
      <x:c r="N264" s="21" t="n">
        <x:f>IF(C264="source",'情景参数模板'!$D$12,IF(H264="echelon",'情景参数模板'!$D$13,'情景参数模板'!$D$14))</x:f>
        <x:v>0.49</x:v>
      </x:c>
      <x:c r="O264" s="21" t="n">
        <x:f>IF(C264="source",'情景参数模板'!$D$18,IF(H264="echelon",'情景参数模板'!$D$19,'情景参数模板'!$D$20))</x:f>
        <x:v>150</x:v>
      </x:c>
      <x:c r="P264" s="17" t="n">
        <x:f>IF(M264&lt;=O264,1,0)</x:f>
        <x:v>0</x:v>
      </x:c>
      <x:c r="Q264" s="17" t="str">
        <x:v>D-road proxy; B-coordinates</x:v>
      </x:c>
    </x:row>
    <x:row r="265">
      <x:c r="A265" s="17" t="str">
        <x:v>A0261</x:v>
      </x:c>
      <x:c r="B265" s="17" t="str">
        <x:v>GD13</x:v>
      </x:c>
      <x:c r="C265" s="17" t="str">
        <x:v>source</x:v>
      </x:c>
      <x:c r="D265" s="17" t="str">
        <x:v>江门</x:v>
      </x:c>
      <x:c r="E265" s="24" t="n">
        <x:v>113.0761073</x:v>
      </x:c>
      <x:c r="F265" s="24" t="n">
        <x:v>22.5816619</x:v>
      </x:c>
      <x:c r="G265" s="17" t="str">
        <x:v>C09</x:v>
      </x:c>
      <x:c r="H265" s="17" t="str">
        <x:v>collection</x:v>
      </x:c>
      <x:c r="I265" s="17" t="str">
        <x:v>惠州虚拟回收/检测中心</x:v>
      </x:c>
      <x:c r="J265" s="24" t="n">
        <x:v>114.4127007</x:v>
      </x:c>
      <x:c r="K265" s="24" t="n">
        <x:v>23.1125153</x:v>
      </x:c>
      <x:c r="L265" s="21" t="n">
        <x:f>6371*ACOS(MIN(1,COS(F265*PI()/180)*COS(K265*PI()/180)*COS((J265-E265)*PI()/180)+SIN(F265*PI()/180)*SIN(K265*PI()/180)))</x:f>
        <x:v>149.1396078501504</x:v>
      </x:c>
      <x:c r="M265" s="21" t="n">
        <x:f>L265*'情景参数模板'!$D$31</x:f>
        <x:v>178.96752942018048</x:v>
      </x:c>
      <x:c r="N265" s="21" t="n">
        <x:f>IF(C265="source",'情景参数模板'!$D$12,IF(H265="echelon",'情景参数模板'!$D$13,'情景参数模板'!$D$14))</x:f>
        <x:v>0.49</x:v>
      </x:c>
      <x:c r="O265" s="21" t="n">
        <x:f>IF(C265="source",'情景参数模板'!$D$18,IF(H265="echelon",'情景参数模板'!$D$19,'情景参数模板'!$D$20))</x:f>
        <x:v>150</x:v>
      </x:c>
      <x:c r="P265" s="17" t="n">
        <x:f>IF(M265&lt;=O265,1,0)</x:f>
        <x:v>0</x:v>
      </x:c>
      <x:c r="Q265" s="17" t="str">
        <x:v>D-road proxy; B-coordinates</x:v>
      </x:c>
    </x:row>
    <x:row r="266">
      <x:c r="A266" s="17" t="str">
        <x:v>A0262</x:v>
      </x:c>
      <x:c r="B266" s="17" t="str">
        <x:v>GD13</x:v>
      </x:c>
      <x:c r="C266" s="17" t="str">
        <x:v>source</x:v>
      </x:c>
      <x:c r="D266" s="17" t="str">
        <x:v>江门</x:v>
      </x:c>
      <x:c r="E266" s="24" t="n">
        <x:v>113.0761073</x:v>
      </x:c>
      <x:c r="F266" s="24" t="n">
        <x:v>22.5816619</x:v>
      </x:c>
      <x:c r="G266" s="17" t="str">
        <x:v>C10</x:v>
      </x:c>
      <x:c r="H266" s="17" t="str">
        <x:v>collection</x:v>
      </x:c>
      <x:c r="I266" s="17" t="str">
        <x:v>汕尾虚拟回收/检测中心</x:v>
      </x:c>
      <x:c r="J266" s="24" t="n">
        <x:v>115.5099937</x:v>
      </x:c>
      <x:c r="K266" s="24" t="n">
        <x:v>23.0123639</x:v>
      </x:c>
      <x:c r="L266" s="21" t="n">
        <x:f>6371*ACOS(MIN(1,COS(F266*PI()/180)*COS(K266*PI()/180)*COS((J266-E266)*PI()/180)+SIN(F266*PI()/180)*SIN(K266*PI()/180)))</x:f>
        <x:v>254.0459836486194</x:v>
      </x:c>
      <x:c r="M266" s="21" t="n">
        <x:f>L266*'情景参数模板'!$D$31</x:f>
        <x:v>304.8551803783433</x:v>
      </x:c>
      <x:c r="N266" s="21" t="n">
        <x:f>IF(C266="source",'情景参数模板'!$D$12,IF(H266="echelon",'情景参数模板'!$D$13,'情景参数模板'!$D$14))</x:f>
        <x:v>0.49</x:v>
      </x:c>
      <x:c r="O266" s="21" t="n">
        <x:f>IF(C266="source",'情景参数模板'!$D$18,IF(H266="echelon",'情景参数模板'!$D$19,'情景参数模板'!$D$20))</x:f>
        <x:v>150</x:v>
      </x:c>
      <x:c r="P266" s="17" t="n">
        <x:f>IF(M266&lt;=O266,1,0)</x:f>
        <x:v>0</x:v>
      </x:c>
      <x:c r="Q266" s="17" t="str">
        <x:v>D-road proxy; B-coordinates</x:v>
      </x:c>
    </x:row>
    <x:row r="267">
      <x:c r="A267" s="17" t="str">
        <x:v>A0263</x:v>
      </x:c>
      <x:c r="B267" s="17" t="str">
        <x:v>GD13</x:v>
      </x:c>
      <x:c r="C267" s="17" t="str">
        <x:v>source</x:v>
      </x:c>
      <x:c r="D267" s="17" t="str">
        <x:v>江门</x:v>
      </x:c>
      <x:c r="E267" s="24" t="n">
        <x:v>113.0761073</x:v>
      </x:c>
      <x:c r="F267" s="24" t="n">
        <x:v>22.5816619</x:v>
      </x:c>
      <x:c r="G267" s="17" t="str">
        <x:v>C11</x:v>
      </x:c>
      <x:c r="H267" s="17" t="str">
        <x:v>collection</x:v>
      </x:c>
      <x:c r="I267" s="17" t="str">
        <x:v>东莞虚拟回收/检测中心</x:v>
      </x:c>
      <x:c r="J267" s="24" t="n">
        <x:v>113.7452332</x:v>
      </x:c>
      <x:c r="K267" s="24" t="n">
        <x:v>23.0183568</x:v>
      </x:c>
      <x:c r="L267" s="21" t="n">
        <x:f>6371*ACOS(MIN(1,COS(F267*PI()/180)*COS(K267*PI()/180)*COS((J267-E267)*PI()/180)+SIN(F267*PI()/180)*SIN(K267*PI()/180)))</x:f>
        <x:v>84.0381800487033</x:v>
      </x:c>
      <x:c r="M267" s="21" t="n">
        <x:f>L267*'情景参数模板'!$D$31</x:f>
        <x:v>100.84581605844396</x:v>
      </x:c>
      <x:c r="N267" s="21" t="n">
        <x:f>IF(C267="source",'情景参数模板'!$D$12,IF(H267="echelon",'情景参数模板'!$D$13,'情景参数模板'!$D$14))</x:f>
        <x:v>0.49</x:v>
      </x:c>
      <x:c r="O267" s="21" t="n">
        <x:f>IF(C267="source",'情景参数模板'!$D$18,IF(H267="echelon",'情景参数模板'!$D$19,'情景参数模板'!$D$20))</x:f>
        <x:v>150</x:v>
      </x:c>
      <x:c r="P267" s="17" t="n">
        <x:f>IF(M267&lt;=O267,1,0)</x:f>
        <x:v>1</x:v>
      </x:c>
      <x:c r="Q267" s="17" t="str">
        <x:v>D-road proxy; B-coordinates</x:v>
      </x:c>
    </x:row>
    <x:row r="268">
      <x:c r="A268" s="17" t="str">
        <x:v>A0264</x:v>
      </x:c>
      <x:c r="B268" s="17" t="str">
        <x:v>GD13</x:v>
      </x:c>
      <x:c r="C268" s="17" t="str">
        <x:v>source</x:v>
      </x:c>
      <x:c r="D268" s="17" t="str">
        <x:v>江门</x:v>
      </x:c>
      <x:c r="E268" s="24" t="n">
        <x:v>113.0761073</x:v>
      </x:c>
      <x:c r="F268" s="24" t="n">
        <x:v>22.5816619</x:v>
      </x:c>
      <x:c r="G268" s="17" t="str">
        <x:v>C12</x:v>
      </x:c>
      <x:c r="H268" s="17" t="str">
        <x:v>collection</x:v>
      </x:c>
      <x:c r="I268" s="17" t="str">
        <x:v>中山虚拟回收/检测中心</x:v>
      </x:c>
      <x:c r="J268" s="24" t="n">
        <x:v>113.3872302</x:v>
      </x:c>
      <x:c r="K268" s="24" t="n">
        <x:v>22.5197073</x:v>
      </x:c>
      <x:c r="L268" s="21" t="n">
        <x:f>6371*ACOS(MIN(1,COS(F268*PI()/180)*COS(K268*PI()/180)*COS((J268-E268)*PI()/180)+SIN(F268*PI()/180)*SIN(K268*PI()/180)))</x:f>
        <x:v>32.6844105535489</x:v>
      </x:c>
      <x:c r="M268" s="21" t="n">
        <x:f>L268*'情景参数模板'!$D$31</x:f>
        <x:v>39.22129266425868</x:v>
      </x:c>
      <x:c r="N268" s="21" t="n">
        <x:f>IF(C268="source",'情景参数模板'!$D$12,IF(H268="echelon",'情景参数模板'!$D$13,'情景参数模板'!$D$14))</x:f>
        <x:v>0.49</x:v>
      </x:c>
      <x:c r="O268" s="21" t="n">
        <x:f>IF(C268="source",'情景参数模板'!$D$18,IF(H268="echelon",'情景参数模板'!$D$19,'情景参数模板'!$D$20))</x:f>
        <x:v>150</x:v>
      </x:c>
      <x:c r="P268" s="17" t="n">
        <x:f>IF(M268&lt;=O268,1,0)</x:f>
        <x:v>1</x:v>
      </x:c>
      <x:c r="Q268" s="17" t="str">
        <x:v>D-road proxy; B-coordinates</x:v>
      </x:c>
    </x:row>
    <x:row r="269">
      <x:c r="A269" s="17" t="str">
        <x:v>A0265</x:v>
      </x:c>
      <x:c r="B269" s="17" t="str">
        <x:v>GD13</x:v>
      </x:c>
      <x:c r="C269" s="17" t="str">
        <x:v>source</x:v>
      </x:c>
      <x:c r="D269" s="17" t="str">
        <x:v>江门</x:v>
      </x:c>
      <x:c r="E269" s="24" t="n">
        <x:v>113.0761073</x:v>
      </x:c>
      <x:c r="F269" s="24" t="n">
        <x:v>22.5816619</x:v>
      </x:c>
      <x:c r="G269" s="17" t="str">
        <x:v>C13</x:v>
      </x:c>
      <x:c r="H269" s="17" t="str">
        <x:v>collection</x:v>
      </x:c>
      <x:c r="I269" s="17" t="str">
        <x:v>江门虚拟回收/检测中心</x:v>
      </x:c>
      <x:c r="J269" s="24" t="n">
        <x:v>113.0761073</x:v>
      </x:c>
      <x:c r="K269" s="24" t="n">
        <x:v>22.5816619</x:v>
      </x:c>
      <x:c r="L269" s="21" t="n">
        <x:f>6371*ACOS(MIN(1,COS(F269*PI()/180)*COS(K269*PI()/180)*COS((J269-E269)*PI()/180)+SIN(F269*PI()/180)*SIN(K269*PI()/180)))</x:f>
        <x:v>0</x:v>
      </x:c>
      <x:c r="M269" s="21" t="n">
        <x:f>L269*'情景参数模板'!$D$31</x:f>
        <x:v>0</x:v>
      </x:c>
      <x:c r="N269" s="21" t="n">
        <x:f>IF(C269="source",'情景参数模板'!$D$12,IF(H269="echelon",'情景参数模板'!$D$13,'情景参数模板'!$D$14))</x:f>
        <x:v>0.49</x:v>
      </x:c>
      <x:c r="O269" s="21" t="n">
        <x:f>IF(C269="source",'情景参数模板'!$D$18,IF(H269="echelon",'情景参数模板'!$D$19,'情景参数模板'!$D$20))</x:f>
        <x:v>150</x:v>
      </x:c>
      <x:c r="P269" s="17" t="n">
        <x:f>IF(M269&lt;=O269,1,0)</x:f>
        <x:v>1</x:v>
      </x:c>
      <x:c r="Q269" s="17" t="str">
        <x:v>D-road proxy; B-coordinates</x:v>
      </x:c>
    </x:row>
    <x:row r="270">
      <x:c r="A270" s="17" t="str">
        <x:v>A0266</x:v>
      </x:c>
      <x:c r="B270" s="17" t="str">
        <x:v>GD13</x:v>
      </x:c>
      <x:c r="C270" s="17" t="str">
        <x:v>source</x:v>
      </x:c>
      <x:c r="D270" s="17" t="str">
        <x:v>江门</x:v>
      </x:c>
      <x:c r="E270" s="24" t="n">
        <x:v>113.0761073</x:v>
      </x:c>
      <x:c r="F270" s="24" t="n">
        <x:v>22.5816619</x:v>
      </x:c>
      <x:c r="G270" s="17" t="str">
        <x:v>C14</x:v>
      </x:c>
      <x:c r="H270" s="17" t="str">
        <x:v>collection</x:v>
      </x:c>
      <x:c r="I270" s="17" t="str">
        <x:v>阳江虚拟回收/检测中心</x:v>
      </x:c>
      <x:c r="J270" s="24" t="n">
        <x:v>111.7831393</x:v>
      </x:c>
      <x:c r="K270" s="24" t="n">
        <x:v>22.0958223</x:v>
      </x:c>
      <x:c r="L270" s="21" t="n">
        <x:f>6371*ACOS(MIN(1,COS(F270*PI()/180)*COS(K270*PI()/180)*COS((J270-E270)*PI()/180)+SIN(F270*PI()/180)*SIN(K270*PI()/180)))</x:f>
        <x:v>143.53528753193643</x:v>
      </x:c>
      <x:c r="M270" s="21" t="n">
        <x:f>L270*'情景参数模板'!$D$31</x:f>
        <x:v>172.24234503832372</x:v>
      </x:c>
      <x:c r="N270" s="21" t="n">
        <x:f>IF(C270="source",'情景参数模板'!$D$12,IF(H270="echelon",'情景参数模板'!$D$13,'情景参数模板'!$D$14))</x:f>
        <x:v>0.49</x:v>
      </x:c>
      <x:c r="O270" s="21" t="n">
        <x:f>IF(C270="source",'情景参数模板'!$D$18,IF(H270="echelon",'情景参数模板'!$D$19,'情景参数模板'!$D$20))</x:f>
        <x:v>150</x:v>
      </x:c>
      <x:c r="P270" s="17" t="n">
        <x:f>IF(M270&lt;=O270,1,0)</x:f>
        <x:v>0</x:v>
      </x:c>
      <x:c r="Q270" s="17" t="str">
        <x:v>D-road proxy; B-coordinates</x:v>
      </x:c>
    </x:row>
    <x:row r="271">
      <x:c r="A271" s="17" t="str">
        <x:v>A0267</x:v>
      </x:c>
      <x:c r="B271" s="17" t="str">
        <x:v>GD13</x:v>
      </x:c>
      <x:c r="C271" s="17" t="str">
        <x:v>source</x:v>
      </x:c>
      <x:c r="D271" s="17" t="str">
        <x:v>江门</x:v>
      </x:c>
      <x:c r="E271" s="24" t="n">
        <x:v>113.0761073</x:v>
      </x:c>
      <x:c r="F271" s="24" t="n">
        <x:v>22.5816619</x:v>
      </x:c>
      <x:c r="G271" s="17" t="str">
        <x:v>C15</x:v>
      </x:c>
      <x:c r="H271" s="17" t="str">
        <x:v>collection</x:v>
      </x:c>
      <x:c r="I271" s="17" t="str">
        <x:v>湛江虚拟回收/检测中心</x:v>
      </x:c>
      <x:c r="J271" s="24" t="n">
        <x:v>110.3548318</x:v>
      </x:c>
      <x:c r="K271" s="24" t="n">
        <x:v>21.2737079</x:v>
      </x:c>
      <x:c r="L271" s="21" t="n">
        <x:f>6371*ACOS(MIN(1,COS(F271*PI()/180)*COS(K271*PI()/180)*COS((J271-E271)*PI()/180)+SIN(F271*PI()/180)*SIN(K271*PI()/180)))</x:f>
        <x:v>316.1300829743287</x:v>
      </x:c>
      <x:c r="M271" s="21" t="n">
        <x:f>L271*'情景参数模板'!$D$31</x:f>
        <x:v>379.3560995691944</x:v>
      </x:c>
      <x:c r="N271" s="21" t="n">
        <x:f>IF(C271="source",'情景参数模板'!$D$12,IF(H271="echelon",'情景参数模板'!$D$13,'情景参数模板'!$D$14))</x:f>
        <x:v>0.49</x:v>
      </x:c>
      <x:c r="O271" s="21" t="n">
        <x:f>IF(C271="source",'情景参数模板'!$D$18,IF(H271="echelon",'情景参数模板'!$D$19,'情景参数模板'!$D$20))</x:f>
        <x:v>150</x:v>
      </x:c>
      <x:c r="P271" s="17" t="n">
        <x:f>IF(M271&lt;=O271,1,0)</x:f>
        <x:v>0</x:v>
      </x:c>
      <x:c r="Q271" s="17" t="str">
        <x:v>D-road proxy; B-coordinates</x:v>
      </x:c>
    </x:row>
    <x:row r="272">
      <x:c r="A272" s="17" t="str">
        <x:v>A0268</x:v>
      </x:c>
      <x:c r="B272" s="17" t="str">
        <x:v>GD13</x:v>
      </x:c>
      <x:c r="C272" s="17" t="str">
        <x:v>source</x:v>
      </x:c>
      <x:c r="D272" s="17" t="str">
        <x:v>江门</x:v>
      </x:c>
      <x:c r="E272" s="24" t="n">
        <x:v>113.0761073</x:v>
      </x:c>
      <x:c r="F272" s="24" t="n">
        <x:v>22.5816619</x:v>
      </x:c>
      <x:c r="G272" s="17" t="str">
        <x:v>C16</x:v>
      </x:c>
      <x:c r="H272" s="17" t="str">
        <x:v>collection</x:v>
      </x:c>
      <x:c r="I272" s="17" t="str">
        <x:v>茂名虚拟回收/检测中心</x:v>
      </x:c>
      <x:c r="J272" s="24" t="n">
        <x:v>110.9209511</x:v>
      </x:c>
      <x:c r="K272" s="24" t="n">
        <x:v>21.6656961</x:v>
      </x:c>
      <x:c r="L272" s="21" t="n">
        <x:f>6371*ACOS(MIN(1,COS(F272*PI()/180)*COS(K272*PI()/180)*COS((J272-E272)*PI()/180)+SIN(F272*PI()/180)*SIN(K272*PI()/180)))</x:f>
        <x:v>244.2425541235698</x:v>
      </x:c>
      <x:c r="M272" s="21" t="n">
        <x:f>L272*'情景参数模板'!$D$31</x:f>
        <x:v>293.09106494828376</x:v>
      </x:c>
      <x:c r="N272" s="21" t="n">
        <x:f>IF(C272="source",'情景参数模板'!$D$12,IF(H272="echelon",'情景参数模板'!$D$13,'情景参数模板'!$D$14))</x:f>
        <x:v>0.49</x:v>
      </x:c>
      <x:c r="O272" s="21" t="n">
        <x:f>IF(C272="source",'情景参数模板'!$D$18,IF(H272="echelon",'情景参数模板'!$D$19,'情景参数模板'!$D$20))</x:f>
        <x:v>150</x:v>
      </x:c>
      <x:c r="P272" s="17" t="n">
        <x:f>IF(M272&lt;=O272,1,0)</x:f>
        <x:v>0</x:v>
      </x:c>
      <x:c r="Q272" s="17" t="str">
        <x:v>D-road proxy; B-coordinates</x:v>
      </x:c>
    </x:row>
    <x:row r="273">
      <x:c r="A273" s="17" t="str">
        <x:v>A0269</x:v>
      </x:c>
      <x:c r="B273" s="17" t="str">
        <x:v>GD13</x:v>
      </x:c>
      <x:c r="C273" s="17" t="str">
        <x:v>source</x:v>
      </x:c>
      <x:c r="D273" s="17" t="str">
        <x:v>江门</x:v>
      </x:c>
      <x:c r="E273" s="24" t="n">
        <x:v>113.0761073</x:v>
      </x:c>
      <x:c r="F273" s="24" t="n">
        <x:v>22.5816619</x:v>
      </x:c>
      <x:c r="G273" s="17" t="str">
        <x:v>C17</x:v>
      </x:c>
      <x:c r="H273" s="17" t="str">
        <x:v>collection</x:v>
      </x:c>
      <x:c r="I273" s="17" t="str">
        <x:v>肇庆虚拟回收/检测中心</x:v>
      </x:c>
      <x:c r="J273" s="24" t="n">
        <x:v>112.4603629</x:v>
      </x:c>
      <x:c r="K273" s="24" t="n">
        <x:v>23.0501661</x:v>
      </x:c>
      <x:c r="L273" s="21" t="n">
        <x:f>6371*ACOS(MIN(1,COS(F273*PI()/180)*COS(K273*PI()/180)*COS((J273-E273)*PI()/180)+SIN(F273*PI()/180)*SIN(K273*PI()/180)))</x:f>
        <x:v>81.8340180596413</x:v>
      </x:c>
      <x:c r="M273" s="21" t="n">
        <x:f>L273*'情景参数模板'!$D$31</x:f>
        <x:v>98.20082167156956</x:v>
      </x:c>
      <x:c r="N273" s="21" t="n">
        <x:f>IF(C273="source",'情景参数模板'!$D$12,IF(H273="echelon",'情景参数模板'!$D$13,'情景参数模板'!$D$14))</x:f>
        <x:v>0.49</x:v>
      </x:c>
      <x:c r="O273" s="21" t="n">
        <x:f>IF(C273="source",'情景参数模板'!$D$18,IF(H273="echelon",'情景参数模板'!$D$19,'情景参数模板'!$D$20))</x:f>
        <x:v>150</x:v>
      </x:c>
      <x:c r="P273" s="17" t="n">
        <x:f>IF(M273&lt;=O273,1,0)</x:f>
        <x:v>1</x:v>
      </x:c>
      <x:c r="Q273" s="17" t="str">
        <x:v>D-road proxy; B-coordinates</x:v>
      </x:c>
    </x:row>
    <x:row r="274">
      <x:c r="A274" s="17" t="str">
        <x:v>A0270</x:v>
      </x:c>
      <x:c r="B274" s="17" t="str">
        <x:v>GD13</x:v>
      </x:c>
      <x:c r="C274" s="17" t="str">
        <x:v>source</x:v>
      </x:c>
      <x:c r="D274" s="17" t="str">
        <x:v>江门</x:v>
      </x:c>
      <x:c r="E274" s="24" t="n">
        <x:v>113.0761073</x:v>
      </x:c>
      <x:c r="F274" s="24" t="n">
        <x:v>22.5816619</x:v>
      </x:c>
      <x:c r="G274" s="17" t="str">
        <x:v>C18</x:v>
      </x:c>
      <x:c r="H274" s="17" t="str">
        <x:v>collection</x:v>
      </x:c>
      <x:c r="I274" s="17" t="str">
        <x:v>清远虚拟回收/检测中心</x:v>
      </x:c>
      <x:c r="J274" s="24" t="n">
        <x:v>113.0505994</x:v>
      </x:c>
      <x:c r="K274" s="24" t="n">
        <x:v>23.6832984</x:v>
      </x:c>
      <x:c r="L274" s="21" t="n">
        <x:f>6371*ACOS(MIN(1,COS(F274*PI()/180)*COS(K274*PI()/180)*COS((J274-E274)*PI()/180)+SIN(F274*PI()/180)*SIN(K274*PI()/180)))</x:f>
        <x:v>122.52415451208954</x:v>
      </x:c>
      <x:c r="M274" s="21" t="n">
        <x:f>L274*'情景参数模板'!$D$31</x:f>
        <x:v>147.02898541450745</x:v>
      </x:c>
      <x:c r="N274" s="21" t="n">
        <x:f>IF(C274="source",'情景参数模板'!$D$12,IF(H274="echelon",'情景参数模板'!$D$13,'情景参数模板'!$D$14))</x:f>
        <x:v>0.49</x:v>
      </x:c>
      <x:c r="O274" s="21" t="n">
        <x:f>IF(C274="source",'情景参数模板'!$D$18,IF(H274="echelon",'情景参数模板'!$D$19,'情景参数模板'!$D$20))</x:f>
        <x:v>150</x:v>
      </x:c>
      <x:c r="P274" s="17" t="n">
        <x:f>IF(M274&lt;=O274,1,0)</x:f>
        <x:v>1</x:v>
      </x:c>
      <x:c r="Q274" s="17" t="str">
        <x:v>D-road proxy; B-coordinates</x:v>
      </x:c>
    </x:row>
    <x:row r="275">
      <x:c r="A275" s="17" t="str">
        <x:v>A0271</x:v>
      </x:c>
      <x:c r="B275" s="17" t="str">
        <x:v>GD13</x:v>
      </x:c>
      <x:c r="C275" s="17" t="str">
        <x:v>source</x:v>
      </x:c>
      <x:c r="D275" s="17" t="str">
        <x:v>江门</x:v>
      </x:c>
      <x:c r="E275" s="24" t="n">
        <x:v>113.0761073</x:v>
      </x:c>
      <x:c r="F275" s="24" t="n">
        <x:v>22.5816619</x:v>
      </x:c>
      <x:c r="G275" s="17" t="str">
        <x:v>C19</x:v>
      </x:c>
      <x:c r="H275" s="17" t="str">
        <x:v>collection</x:v>
      </x:c>
      <x:c r="I275" s="17" t="str">
        <x:v>潮州虚拟回收/检测中心</x:v>
      </x:c>
      <x:c r="J275" s="24" t="n">
        <x:v>116.6204223</x:v>
      </x:c>
      <x:c r="K275" s="24" t="n">
        <x:v>23.656593</x:v>
      </x:c>
      <x:c r="L275" s="21" t="n">
        <x:f>6371*ACOS(MIN(1,COS(F275*PI()/180)*COS(K275*PI()/180)*COS((J275-E275)*PI()/180)+SIN(F275*PI()/180)*SIN(K275*PI()/180)))</x:f>
        <x:v>381.64228200755093</x:v>
      </x:c>
      <x:c r="M275" s="21" t="n">
        <x:f>L275*'情景参数模板'!$D$31</x:f>
        <x:v>457.9707384090611</x:v>
      </x:c>
      <x:c r="N275" s="21" t="n">
        <x:f>IF(C275="source",'情景参数模板'!$D$12,IF(H275="echelon",'情景参数模板'!$D$13,'情景参数模板'!$D$14))</x:f>
        <x:v>0.49</x:v>
      </x:c>
      <x:c r="O275" s="21" t="n">
        <x:f>IF(C275="source",'情景参数模板'!$D$18,IF(H275="echelon",'情景参数模板'!$D$19,'情景参数模板'!$D$20))</x:f>
        <x:v>150</x:v>
      </x:c>
      <x:c r="P275" s="17" t="n">
        <x:f>IF(M275&lt;=O275,1,0)</x:f>
        <x:v>0</x:v>
      </x:c>
      <x:c r="Q275" s="17" t="str">
        <x:v>D-road proxy; B-coordinates</x:v>
      </x:c>
    </x:row>
    <x:row r="276">
      <x:c r="A276" s="17" t="str">
        <x:v>A0272</x:v>
      </x:c>
      <x:c r="B276" s="17" t="str">
        <x:v>GD13</x:v>
      </x:c>
      <x:c r="C276" s="17" t="str">
        <x:v>source</x:v>
      </x:c>
      <x:c r="D276" s="17" t="str">
        <x:v>江门</x:v>
      </x:c>
      <x:c r="E276" s="24" t="n">
        <x:v>113.0761073</x:v>
      </x:c>
      <x:c r="F276" s="24" t="n">
        <x:v>22.5816619</x:v>
      </x:c>
      <x:c r="G276" s="17" t="str">
        <x:v>C20</x:v>
      </x:c>
      <x:c r="H276" s="17" t="str">
        <x:v>collection</x:v>
      </x:c>
      <x:c r="I276" s="17" t="str">
        <x:v>揭阳虚拟回收/检测中心</x:v>
      </x:c>
      <x:c r="J276" s="24" t="n">
        <x:v>116.3680354</x:v>
      </x:c>
      <x:c r="K276" s="24" t="n">
        <x:v>23.553156</x:v>
      </x:c>
      <x:c r="L276" s="21" t="n">
        <x:f>6371*ACOS(MIN(1,COS(F276*PI()/180)*COS(K276*PI()/180)*COS((J276-E276)*PI()/180)+SIN(F276*PI()/180)*SIN(K276*PI()/180)))</x:f>
        <x:v>353.6666681995238</x:v>
      </x:c>
      <x:c r="M276" s="21" t="n">
        <x:f>L276*'情景参数模板'!$D$31</x:f>
        <x:v>424.40000183942857</x:v>
      </x:c>
      <x:c r="N276" s="21" t="n">
        <x:f>IF(C276="source",'情景参数模板'!$D$12,IF(H276="echelon",'情景参数模板'!$D$13,'情景参数模板'!$D$14))</x:f>
        <x:v>0.49</x:v>
      </x:c>
      <x:c r="O276" s="21" t="n">
        <x:f>IF(C276="source",'情景参数模板'!$D$18,IF(H276="echelon",'情景参数模板'!$D$19,'情景参数模板'!$D$20))</x:f>
        <x:v>150</x:v>
      </x:c>
      <x:c r="P276" s="17" t="n">
        <x:f>IF(M276&lt;=O276,1,0)</x:f>
        <x:v>0</x:v>
      </x:c>
      <x:c r="Q276" s="17" t="str">
        <x:v>D-road proxy; B-coordinates</x:v>
      </x:c>
    </x:row>
    <x:row r="277">
      <x:c r="A277" s="17" t="str">
        <x:v>A0273</x:v>
      </x:c>
      <x:c r="B277" s="17" t="str">
        <x:v>GD13</x:v>
      </x:c>
      <x:c r="C277" s="17" t="str">
        <x:v>source</x:v>
      </x:c>
      <x:c r="D277" s="17" t="str">
        <x:v>江门</x:v>
      </x:c>
      <x:c r="E277" s="24" t="n">
        <x:v>113.0761073</x:v>
      </x:c>
      <x:c r="F277" s="24" t="n">
        <x:v>22.5816619</x:v>
      </x:c>
      <x:c r="G277" s="17" t="str">
        <x:v>C21</x:v>
      </x:c>
      <x:c r="H277" s="17" t="str">
        <x:v>collection</x:v>
      </x:c>
      <x:c r="I277" s="17" t="str">
        <x:v>云浮虚拟回收/检测中心</x:v>
      </x:c>
      <x:c r="J277" s="24" t="n">
        <x:v>111.8078586</x:v>
      </x:c>
      <x:c r="K277" s="24" t="n">
        <x:v>22.8546663</x:v>
      </x:c>
      <x:c r="L277" s="21" t="n">
        <x:f>6371*ACOS(MIN(1,COS(F277*PI()/180)*COS(K277*PI()/180)*COS((J277-E277)*PI()/180)+SIN(F277*PI()/180)*SIN(K277*PI()/180)))</x:f>
        <x:v>133.57625928884747</x:v>
      </x:c>
      <x:c r="M277" s="21" t="n">
        <x:f>L277*'情景参数模板'!$D$31</x:f>
        <x:v>160.29151114661695</x:v>
      </x:c>
      <x:c r="N277" s="21" t="n">
        <x:f>IF(C277="source",'情景参数模板'!$D$12,IF(H277="echelon",'情景参数模板'!$D$13,'情景参数模板'!$D$14))</x:f>
        <x:v>0.49</x:v>
      </x:c>
      <x:c r="O277" s="21" t="n">
        <x:f>IF(C277="source",'情景参数模板'!$D$18,IF(H277="echelon",'情景参数模板'!$D$19,'情景参数模板'!$D$20))</x:f>
        <x:v>150</x:v>
      </x:c>
      <x:c r="P277" s="17" t="n">
        <x:f>IF(M277&lt;=O277,1,0)</x:f>
        <x:v>0</x:v>
      </x:c>
      <x:c r="Q277" s="17" t="str">
        <x:v>D-road proxy; B-coordinates</x:v>
      </x:c>
    </x:row>
    <x:row r="278">
      <x:c r="A278" s="17" t="str">
        <x:v>A0274</x:v>
      </x:c>
      <x:c r="B278" s="17" t="str">
        <x:v>GD14</x:v>
      </x:c>
      <x:c r="C278" s="17" t="str">
        <x:v>source</x:v>
      </x:c>
      <x:c r="D278" s="17" t="str">
        <x:v>阳江</x:v>
      </x:c>
      <x:c r="E278" s="24" t="n">
        <x:v>111.7831393</x:v>
      </x:c>
      <x:c r="F278" s="24" t="n">
        <x:v>22.0958223</x:v>
      </x:c>
      <x:c r="G278" s="17" t="str">
        <x:v>C01</x:v>
      </x:c>
      <x:c r="H278" s="17" t="str">
        <x:v>collection</x:v>
      </x:c>
      <x:c r="I278" s="17" t="str">
        <x:v>广州虚拟回收/检测中心</x:v>
      </x:c>
      <x:c r="J278" s="24" t="n">
        <x:v>113.2589581</x:v>
      </x:c>
      <x:c r="K278" s="24" t="n">
        <x:v>23.1288429</x:v>
      </x:c>
      <x:c r="L278" s="21" t="n">
        <x:f>6371*ACOS(MIN(1,COS(F278*PI()/180)*COS(K278*PI()/180)*COS((J278-E278)*PI()/180)+SIN(F278*PI()/180)*SIN(K278*PI()/180)))</x:f>
        <x:v>190.11044852396574</x:v>
      </x:c>
      <x:c r="M278" s="21" t="n">
        <x:f>L278*'情景参数模板'!$D$31</x:f>
        <x:v>228.13253822875888</x:v>
      </x:c>
      <x:c r="N278" s="21" t="n">
        <x:f>IF(C278="source",'情景参数模板'!$D$12,IF(H278="echelon",'情景参数模板'!$D$13,'情景参数模板'!$D$14))</x:f>
        <x:v>0.49</x:v>
      </x:c>
      <x:c r="O278" s="21" t="n">
        <x:f>IF(C278="source",'情景参数模板'!$D$18,IF(H278="echelon",'情景参数模板'!$D$19,'情景参数模板'!$D$20))</x:f>
        <x:v>150</x:v>
      </x:c>
      <x:c r="P278" s="17" t="n">
        <x:f>IF(M278&lt;=O278,1,0)</x:f>
        <x:v>0</x:v>
      </x:c>
      <x:c r="Q278" s="17" t="str">
        <x:v>D-road proxy; B-coordinates</x:v>
      </x:c>
    </x:row>
    <x:row r="279">
      <x:c r="A279" s="17" t="str">
        <x:v>A0275</x:v>
      </x:c>
      <x:c r="B279" s="17" t="str">
        <x:v>GD14</x:v>
      </x:c>
      <x:c r="C279" s="17" t="str">
        <x:v>source</x:v>
      </x:c>
      <x:c r="D279" s="17" t="str">
        <x:v>阳江</x:v>
      </x:c>
      <x:c r="E279" s="24" t="n">
        <x:v>111.7831393</x:v>
      </x:c>
      <x:c r="F279" s="24" t="n">
        <x:v>22.0958223</x:v>
      </x:c>
      <x:c r="G279" s="17" t="str">
        <x:v>C02</x:v>
      </x:c>
      <x:c r="H279" s="17" t="str">
        <x:v>collection</x:v>
      </x:c>
      <x:c r="I279" s="17" t="str">
        <x:v>深圳虚拟回收/检测中心</x:v>
      </x:c>
      <x:c r="J279" s="24" t="n">
        <x:v>114.0545429</x:v>
      </x:c>
      <x:c r="K279" s="24" t="n">
        <x:v>22.5445741</x:v>
      </x:c>
      <x:c r="L279" s="21" t="n">
        <x:f>6371*ACOS(MIN(1,COS(F279*PI()/180)*COS(K279*PI()/180)*COS((J279-E279)*PI()/180)+SIN(F279*PI()/180)*SIN(K279*PI()/180)))</x:f>
        <x:v>238.91102093560318</x:v>
      </x:c>
      <x:c r="M279" s="21" t="n">
        <x:f>L279*'情景参数模板'!$D$31</x:f>
        <x:v>286.6932251227238</x:v>
      </x:c>
      <x:c r="N279" s="21" t="n">
        <x:f>IF(C279="source",'情景参数模板'!$D$12,IF(H279="echelon",'情景参数模板'!$D$13,'情景参数模板'!$D$14))</x:f>
        <x:v>0.49</x:v>
      </x:c>
      <x:c r="O279" s="21" t="n">
        <x:f>IF(C279="source",'情景参数模板'!$D$18,IF(H279="echelon",'情景参数模板'!$D$19,'情景参数模板'!$D$20))</x:f>
        <x:v>150</x:v>
      </x:c>
      <x:c r="P279" s="17" t="n">
        <x:f>IF(M279&lt;=O279,1,0)</x:f>
        <x:v>0</x:v>
      </x:c>
      <x:c r="Q279" s="17" t="str">
        <x:v>D-road proxy; B-coordinates</x:v>
      </x:c>
    </x:row>
    <x:row r="280">
      <x:c r="A280" s="17" t="str">
        <x:v>A0276</x:v>
      </x:c>
      <x:c r="B280" s="17" t="str">
        <x:v>GD14</x:v>
      </x:c>
      <x:c r="C280" s="17" t="str">
        <x:v>source</x:v>
      </x:c>
      <x:c r="D280" s="17" t="str">
        <x:v>阳江</x:v>
      </x:c>
      <x:c r="E280" s="24" t="n">
        <x:v>111.7831393</x:v>
      </x:c>
      <x:c r="F280" s="24" t="n">
        <x:v>22.0958223</x:v>
      </x:c>
      <x:c r="G280" s="17" t="str">
        <x:v>C03</x:v>
      </x:c>
      <x:c r="H280" s="17" t="str">
        <x:v>collection</x:v>
      </x:c>
      <x:c r="I280" s="17" t="str">
        <x:v>珠海虚拟回收/检测中心</x:v>
      </x:c>
      <x:c r="J280" s="24" t="n">
        <x:v>113.5721327</x:v>
      </x:c>
      <x:c r="K280" s="24" t="n">
        <x:v>22.273734</x:v>
      </x:c>
      <x:c r="L280" s="21" t="n">
        <x:f>6371*ACOS(MIN(1,COS(F280*PI()/180)*COS(K280*PI()/180)*COS((J280-E280)*PI()/180)+SIN(F280*PI()/180)*SIN(K280*PI()/180)))</x:f>
        <x:v>185.25871984739948</x:v>
      </x:c>
      <x:c r="M280" s="21" t="n">
        <x:f>L280*'情景参数模板'!$D$31</x:f>
        <x:v>222.31046381687938</x:v>
      </x:c>
      <x:c r="N280" s="21" t="n">
        <x:f>IF(C280="source",'情景参数模板'!$D$12,IF(H280="echelon",'情景参数模板'!$D$13,'情景参数模板'!$D$14))</x:f>
        <x:v>0.49</x:v>
      </x:c>
      <x:c r="O280" s="21" t="n">
        <x:f>IF(C280="source",'情景参数模板'!$D$18,IF(H280="echelon",'情景参数模板'!$D$19,'情景参数模板'!$D$20))</x:f>
        <x:v>150</x:v>
      </x:c>
      <x:c r="P280" s="17" t="n">
        <x:f>IF(M280&lt;=O280,1,0)</x:f>
        <x:v>0</x:v>
      </x:c>
      <x:c r="Q280" s="17" t="str">
        <x:v>D-road proxy; B-coordinates</x:v>
      </x:c>
    </x:row>
    <x:row r="281">
      <x:c r="A281" s="17" t="str">
        <x:v>A0277</x:v>
      </x:c>
      <x:c r="B281" s="17" t="str">
        <x:v>GD14</x:v>
      </x:c>
      <x:c r="C281" s="17" t="str">
        <x:v>source</x:v>
      </x:c>
      <x:c r="D281" s="17" t="str">
        <x:v>阳江</x:v>
      </x:c>
      <x:c r="E281" s="24" t="n">
        <x:v>111.7831393</x:v>
      </x:c>
      <x:c r="F281" s="24" t="n">
        <x:v>22.0958223</x:v>
      </x:c>
      <x:c r="G281" s="17" t="str">
        <x:v>C04</x:v>
      </x:c>
      <x:c r="H281" s="17" t="str">
        <x:v>collection</x:v>
      </x:c>
      <x:c r="I281" s="17" t="str">
        <x:v>汕头虚拟回收/检测中心</x:v>
      </x:c>
      <x:c r="J281" s="24" t="n">
        <x:v>116.6775856</x:v>
      </x:c>
      <x:c r="K281" s="24" t="n">
        <x:v>23.3563921</x:v>
      </x:c>
      <x:c r="L281" s="21" t="n">
        <x:f>6371*ACOS(MIN(1,COS(F281*PI()/180)*COS(K281*PI()/180)*COS((J281-E281)*PI()/180)+SIN(F281*PI()/180)*SIN(K281*PI()/180)))</x:f>
        <x:v>521.1497268263299</x:v>
      </x:c>
      <x:c r="M281" s="21" t="n">
        <x:f>L281*'情景参数模板'!$D$31</x:f>
        <x:v>625.3796721915959</x:v>
      </x:c>
      <x:c r="N281" s="21" t="n">
        <x:f>IF(C281="source",'情景参数模板'!$D$12,IF(H281="echelon",'情景参数模板'!$D$13,'情景参数模板'!$D$14))</x:f>
        <x:v>0.49</x:v>
      </x:c>
      <x:c r="O281" s="21" t="n">
        <x:f>IF(C281="source",'情景参数模板'!$D$18,IF(H281="echelon",'情景参数模板'!$D$19,'情景参数模板'!$D$20))</x:f>
        <x:v>150</x:v>
      </x:c>
      <x:c r="P281" s="17" t="n">
        <x:f>IF(M281&lt;=O281,1,0)</x:f>
        <x:v>0</x:v>
      </x:c>
      <x:c r="Q281" s="17" t="str">
        <x:v>D-road proxy; B-coordinates</x:v>
      </x:c>
    </x:row>
    <x:row r="282">
      <x:c r="A282" s="17" t="str">
        <x:v>A0278</x:v>
      </x:c>
      <x:c r="B282" s="17" t="str">
        <x:v>GD14</x:v>
      </x:c>
      <x:c r="C282" s="17" t="str">
        <x:v>source</x:v>
      </x:c>
      <x:c r="D282" s="17" t="str">
        <x:v>阳江</x:v>
      </x:c>
      <x:c r="E282" s="24" t="n">
        <x:v>111.7831393</x:v>
      </x:c>
      <x:c r="F282" s="24" t="n">
        <x:v>22.0958223</x:v>
      </x:c>
      <x:c r="G282" s="17" t="str">
        <x:v>C05</x:v>
      </x:c>
      <x:c r="H282" s="17" t="str">
        <x:v>collection</x:v>
      </x:c>
      <x:c r="I282" s="17" t="str">
        <x:v>佛山虚拟回收/检测中心</x:v>
      </x:c>
      <x:c r="J282" s="24" t="n">
        <x:v>113.1159558</x:v>
      </x:c>
      <x:c r="K282" s="24" t="n">
        <x:v>23.0239788</x:v>
      </x:c>
      <x:c r="L282" s="21" t="n">
        <x:f>6371*ACOS(MIN(1,COS(F282*PI()/180)*COS(K282*PI()/180)*COS((J282-E282)*PI()/180)+SIN(F282*PI()/180)*SIN(K282*PI()/180)))</x:f>
        <x:v>171.41164681318705</x:v>
      </x:c>
      <x:c r="M282" s="21" t="n">
        <x:f>L282*'情景参数模板'!$D$31</x:f>
        <x:v>205.69397617582445</x:v>
      </x:c>
      <x:c r="N282" s="21" t="n">
        <x:f>IF(C282="source",'情景参数模板'!$D$12,IF(H282="echelon",'情景参数模板'!$D$13,'情景参数模板'!$D$14))</x:f>
        <x:v>0.49</x:v>
      </x:c>
      <x:c r="O282" s="21" t="n">
        <x:f>IF(C282="source",'情景参数模板'!$D$18,IF(H282="echelon",'情景参数模板'!$D$19,'情景参数模板'!$D$20))</x:f>
        <x:v>150</x:v>
      </x:c>
      <x:c r="P282" s="17" t="n">
        <x:f>IF(M282&lt;=O282,1,0)</x:f>
        <x:v>0</x:v>
      </x:c>
      <x:c r="Q282" s="17" t="str">
        <x:v>D-road proxy; B-coordinates</x:v>
      </x:c>
    </x:row>
    <x:row r="283">
      <x:c r="A283" s="17" t="str">
        <x:v>A0279</x:v>
      </x:c>
      <x:c r="B283" s="17" t="str">
        <x:v>GD14</x:v>
      </x:c>
      <x:c r="C283" s="17" t="str">
        <x:v>source</x:v>
      </x:c>
      <x:c r="D283" s="17" t="str">
        <x:v>阳江</x:v>
      </x:c>
      <x:c r="E283" s="24" t="n">
        <x:v>111.7831393</x:v>
      </x:c>
      <x:c r="F283" s="24" t="n">
        <x:v>22.0958223</x:v>
      </x:c>
      <x:c r="G283" s="17" t="str">
        <x:v>C06</x:v>
      </x:c>
      <x:c r="H283" s="17" t="str">
        <x:v>collection</x:v>
      </x:c>
      <x:c r="I283" s="17" t="str">
        <x:v>韶关虚拟回收/检测中心</x:v>
      </x:c>
      <x:c r="J283" s="24" t="n">
        <x:v>113.8155263</x:v>
      </x:c>
      <x:c r="K283" s="24" t="n">
        <x:v>24.8309489</x:v>
      </x:c>
      <x:c r="L283" s="21" t="n">
        <x:f>6371*ACOS(MIN(1,COS(F283*PI()/180)*COS(K283*PI()/180)*COS((J283-E283)*PI()/180)+SIN(F283*PI()/180)*SIN(K283*PI()/180)))</x:f>
        <x:v>368.04654773255174</x:v>
      </x:c>
      <x:c r="M283" s="21" t="n">
        <x:f>L283*'情景参数模板'!$D$31</x:f>
        <x:v>441.6558572790621</x:v>
      </x:c>
      <x:c r="N283" s="21" t="n">
        <x:f>IF(C283="source",'情景参数模板'!$D$12,IF(H283="echelon",'情景参数模板'!$D$13,'情景参数模板'!$D$14))</x:f>
        <x:v>0.49</x:v>
      </x:c>
      <x:c r="O283" s="21" t="n">
        <x:f>IF(C283="source",'情景参数模板'!$D$18,IF(H283="echelon",'情景参数模板'!$D$19,'情景参数模板'!$D$20))</x:f>
        <x:v>150</x:v>
      </x:c>
      <x:c r="P283" s="17" t="n">
        <x:f>IF(M283&lt;=O283,1,0)</x:f>
        <x:v>0</x:v>
      </x:c>
      <x:c r="Q283" s="17" t="str">
        <x:v>D-road proxy; B-coordinates</x:v>
      </x:c>
    </x:row>
    <x:row r="284">
      <x:c r="A284" s="17" t="str">
        <x:v>A0280</x:v>
      </x:c>
      <x:c r="B284" s="17" t="str">
        <x:v>GD14</x:v>
      </x:c>
      <x:c r="C284" s="17" t="str">
        <x:v>source</x:v>
      </x:c>
      <x:c r="D284" s="17" t="str">
        <x:v>阳江</x:v>
      </x:c>
      <x:c r="E284" s="24" t="n">
        <x:v>111.7831393</x:v>
      </x:c>
      <x:c r="F284" s="24" t="n">
        <x:v>22.0958223</x:v>
      </x:c>
      <x:c r="G284" s="17" t="str">
        <x:v>C07</x:v>
      </x:c>
      <x:c r="H284" s="17" t="str">
        <x:v>collection</x:v>
      </x:c>
      <x:c r="I284" s="17" t="str">
        <x:v>河源虚拟回收/检测中心</x:v>
      </x:c>
      <x:c r="J284" s="24" t="n">
        <x:v>115.0577538</x:v>
      </x:c>
      <x:c r="K284" s="24" t="n">
        <x:v>24.1014769</x:v>
      </x:c>
      <x:c r="L284" s="21" t="n">
        <x:f>6371*ACOS(MIN(1,COS(F284*PI()/180)*COS(K284*PI()/180)*COS((J284-E284)*PI()/180)+SIN(F284*PI()/180)*SIN(K284*PI()/180)))</x:f>
        <x:v>402.3586647546197</x:v>
      </x:c>
      <x:c r="M284" s="21" t="n">
        <x:f>L284*'情景参数模板'!$D$31</x:f>
        <x:v>482.83039770554365</x:v>
      </x:c>
      <x:c r="N284" s="21" t="n">
        <x:f>IF(C284="source",'情景参数模板'!$D$12,IF(H284="echelon",'情景参数模板'!$D$13,'情景参数模板'!$D$14))</x:f>
        <x:v>0.49</x:v>
      </x:c>
      <x:c r="O284" s="21" t="n">
        <x:f>IF(C284="source",'情景参数模板'!$D$18,IF(H284="echelon",'情景参数模板'!$D$19,'情景参数模板'!$D$20))</x:f>
        <x:v>150</x:v>
      </x:c>
      <x:c r="P284" s="17" t="n">
        <x:f>IF(M284&lt;=O284,1,0)</x:f>
        <x:v>0</x:v>
      </x:c>
      <x:c r="Q284" s="17" t="str">
        <x:v>D-road proxy; B-coordinates</x:v>
      </x:c>
    </x:row>
    <x:row r="285">
      <x:c r="A285" s="17" t="str">
        <x:v>A0281</x:v>
      </x:c>
      <x:c r="B285" s="17" t="str">
        <x:v>GD14</x:v>
      </x:c>
      <x:c r="C285" s="17" t="str">
        <x:v>source</x:v>
      </x:c>
      <x:c r="D285" s="17" t="str">
        <x:v>阳江</x:v>
      </x:c>
      <x:c r="E285" s="24" t="n">
        <x:v>111.7831393</x:v>
      </x:c>
      <x:c r="F285" s="24" t="n">
        <x:v>22.0958223</x:v>
      </x:c>
      <x:c r="G285" s="17" t="str">
        <x:v>C08</x:v>
      </x:c>
      <x:c r="H285" s="17" t="str">
        <x:v>collection</x:v>
      </x:c>
      <x:c r="I285" s="17" t="str">
        <x:v>梅州虚拟回收/检测中心</x:v>
      </x:c>
      <x:c r="J285" s="24" t="n">
        <x:v>116.1171428</x:v>
      </x:c>
      <x:c r="K285" s="24" t="n">
        <x:v>24.2918414</x:v>
      </x:c>
      <x:c r="L285" s="21" t="n">
        <x:f>6371*ACOS(MIN(1,COS(F285*PI()/180)*COS(K285*PI()/180)*COS((J285-E285)*PI()/180)+SIN(F285*PI()/180)*SIN(K285*PI()/180)))</x:f>
        <x:v>505.7637863870429</x:v>
      </x:c>
      <x:c r="M285" s="21" t="n">
        <x:f>L285*'情景参数模板'!$D$31</x:f>
        <x:v>606.9165436644514</x:v>
      </x:c>
      <x:c r="N285" s="21" t="n">
        <x:f>IF(C285="source",'情景参数模板'!$D$12,IF(H285="echelon",'情景参数模板'!$D$13,'情景参数模板'!$D$14))</x:f>
        <x:v>0.49</x:v>
      </x:c>
      <x:c r="O285" s="21" t="n">
        <x:f>IF(C285="source",'情景参数模板'!$D$18,IF(H285="echelon",'情景参数模板'!$D$19,'情景参数模板'!$D$20))</x:f>
        <x:v>150</x:v>
      </x:c>
      <x:c r="P285" s="17" t="n">
        <x:f>IF(M285&lt;=O285,1,0)</x:f>
        <x:v>0</x:v>
      </x:c>
      <x:c r="Q285" s="17" t="str">
        <x:v>D-road proxy; B-coordinates</x:v>
      </x:c>
    </x:row>
    <x:row r="286">
      <x:c r="A286" s="17" t="str">
        <x:v>A0282</x:v>
      </x:c>
      <x:c r="B286" s="17" t="str">
        <x:v>GD14</x:v>
      </x:c>
      <x:c r="C286" s="17" t="str">
        <x:v>source</x:v>
      </x:c>
      <x:c r="D286" s="17" t="str">
        <x:v>阳江</x:v>
      </x:c>
      <x:c r="E286" s="24" t="n">
        <x:v>111.7831393</x:v>
      </x:c>
      <x:c r="F286" s="24" t="n">
        <x:v>22.0958223</x:v>
      </x:c>
      <x:c r="G286" s="17" t="str">
        <x:v>C09</x:v>
      </x:c>
      <x:c r="H286" s="17" t="str">
        <x:v>collection</x:v>
      </x:c>
      <x:c r="I286" s="17" t="str">
        <x:v>惠州虚拟回收/检测中心</x:v>
      </x:c>
      <x:c r="J286" s="24" t="n">
        <x:v>114.4127007</x:v>
      </x:c>
      <x:c r="K286" s="24" t="n">
        <x:v>23.1125153</x:v>
      </x:c>
      <x:c r="L286" s="21" t="n">
        <x:f>6371*ACOS(MIN(1,COS(F286*PI()/180)*COS(K286*PI()/180)*COS((J286-E286)*PI()/180)+SIN(F286*PI()/180)*SIN(K286*PI()/180)))</x:f>
        <x:v>292.642269876442</x:v>
      </x:c>
      <x:c r="M286" s="21" t="n">
        <x:f>L286*'情景参数模板'!$D$31</x:f>
        <x:v>351.17072385173043</x:v>
      </x:c>
      <x:c r="N286" s="21" t="n">
        <x:f>IF(C286="source",'情景参数模板'!$D$12,IF(H286="echelon",'情景参数模板'!$D$13,'情景参数模板'!$D$14))</x:f>
        <x:v>0.49</x:v>
      </x:c>
      <x:c r="O286" s="21" t="n">
        <x:f>IF(C286="source",'情景参数模板'!$D$18,IF(H286="echelon",'情景参数模板'!$D$19,'情景参数模板'!$D$20))</x:f>
        <x:v>150</x:v>
      </x:c>
      <x:c r="P286" s="17" t="n">
        <x:f>IF(M286&lt;=O286,1,0)</x:f>
        <x:v>0</x:v>
      </x:c>
      <x:c r="Q286" s="17" t="str">
        <x:v>D-road proxy; B-coordinates</x:v>
      </x:c>
    </x:row>
    <x:row r="287">
      <x:c r="A287" s="17" t="str">
        <x:v>A0283</x:v>
      </x:c>
      <x:c r="B287" s="17" t="str">
        <x:v>GD14</x:v>
      </x:c>
      <x:c r="C287" s="17" t="str">
        <x:v>source</x:v>
      </x:c>
      <x:c r="D287" s="17" t="str">
        <x:v>阳江</x:v>
      </x:c>
      <x:c r="E287" s="24" t="n">
        <x:v>111.7831393</x:v>
      </x:c>
      <x:c r="F287" s="24" t="n">
        <x:v>22.0958223</x:v>
      </x:c>
      <x:c r="G287" s="17" t="str">
        <x:v>C10</x:v>
      </x:c>
      <x:c r="H287" s="17" t="str">
        <x:v>collection</x:v>
      </x:c>
      <x:c r="I287" s="17" t="str">
        <x:v>汕尾虚拟回收/检测中心</x:v>
      </x:c>
      <x:c r="J287" s="24" t="n">
        <x:v>115.5099937</x:v>
      </x:c>
      <x:c r="K287" s="24" t="n">
        <x:v>23.0123639</x:v>
      </x:c>
      <x:c r="L287" s="21" t="n">
        <x:f>6371*ACOS(MIN(1,COS(F287*PI()/180)*COS(K287*PI()/180)*COS((J287-E287)*PI()/180)+SIN(F287*PI()/180)*SIN(K287*PI()/180)))</x:f>
        <x:v>396.03429540890875</x:v>
      </x:c>
      <x:c r="M287" s="21" t="n">
        <x:f>L287*'情景参数模板'!$D$31</x:f>
        <x:v>475.24115449069046</x:v>
      </x:c>
      <x:c r="N287" s="21" t="n">
        <x:f>IF(C287="source",'情景参数模板'!$D$12,IF(H287="echelon",'情景参数模板'!$D$13,'情景参数模板'!$D$14))</x:f>
        <x:v>0.49</x:v>
      </x:c>
      <x:c r="O287" s="21" t="n">
        <x:f>IF(C287="source",'情景参数模板'!$D$18,IF(H287="echelon",'情景参数模板'!$D$19,'情景参数模板'!$D$20))</x:f>
        <x:v>150</x:v>
      </x:c>
      <x:c r="P287" s="17" t="n">
        <x:f>IF(M287&lt;=O287,1,0)</x:f>
        <x:v>0</x:v>
      </x:c>
      <x:c r="Q287" s="17" t="str">
        <x:v>D-road proxy; B-coordinates</x:v>
      </x:c>
    </x:row>
    <x:row r="288">
      <x:c r="A288" s="17" t="str">
        <x:v>A0284</x:v>
      </x:c>
      <x:c r="B288" s="17" t="str">
        <x:v>GD14</x:v>
      </x:c>
      <x:c r="C288" s="17" t="str">
        <x:v>source</x:v>
      </x:c>
      <x:c r="D288" s="17" t="str">
        <x:v>阳江</x:v>
      </x:c>
      <x:c r="E288" s="24" t="n">
        <x:v>111.7831393</x:v>
      </x:c>
      <x:c r="F288" s="24" t="n">
        <x:v>22.0958223</x:v>
      </x:c>
      <x:c r="G288" s="17" t="str">
        <x:v>C11</x:v>
      </x:c>
      <x:c r="H288" s="17" t="str">
        <x:v>collection</x:v>
      </x:c>
      <x:c r="I288" s="17" t="str">
        <x:v>东莞虚拟回收/检测中心</x:v>
      </x:c>
      <x:c r="J288" s="24" t="n">
        <x:v>113.7452332</x:v>
      </x:c>
      <x:c r="K288" s="24" t="n">
        <x:v>23.0183568</x:v>
      </x:c>
      <x:c r="L288" s="21" t="n">
        <x:f>6371*ACOS(MIN(1,COS(F288*PI()/180)*COS(K288*PI()/180)*COS((J288-E288)*PI()/180)+SIN(F288*PI()/180)*SIN(K288*PI()/180)))</x:f>
        <x:v>226.09022435971104</x:v>
      </x:c>
      <x:c r="M288" s="21" t="n">
        <x:f>L288*'情景参数模板'!$D$31</x:f>
        <x:v>271.30826923165324</x:v>
      </x:c>
      <x:c r="N288" s="21" t="n">
        <x:f>IF(C288="source",'情景参数模板'!$D$12,IF(H288="echelon",'情景参数模板'!$D$13,'情景参数模板'!$D$14))</x:f>
        <x:v>0.49</x:v>
      </x:c>
      <x:c r="O288" s="21" t="n">
        <x:f>IF(C288="source",'情景参数模板'!$D$18,IF(H288="echelon",'情景参数模板'!$D$19,'情景参数模板'!$D$20))</x:f>
        <x:v>150</x:v>
      </x:c>
      <x:c r="P288" s="17" t="n">
        <x:f>IF(M288&lt;=O288,1,0)</x:f>
        <x:v>0</x:v>
      </x:c>
      <x:c r="Q288" s="17" t="str">
        <x:v>D-road proxy; B-coordinates</x:v>
      </x:c>
    </x:row>
    <x:row r="289">
      <x:c r="A289" s="17" t="str">
        <x:v>A0285</x:v>
      </x:c>
      <x:c r="B289" s="17" t="str">
        <x:v>GD14</x:v>
      </x:c>
      <x:c r="C289" s="17" t="str">
        <x:v>source</x:v>
      </x:c>
      <x:c r="D289" s="17" t="str">
        <x:v>阳江</x:v>
      </x:c>
      <x:c r="E289" s="24" t="n">
        <x:v>111.7831393</x:v>
      </x:c>
      <x:c r="F289" s="24" t="n">
        <x:v>22.0958223</x:v>
      </x:c>
      <x:c r="G289" s="17" t="str">
        <x:v>C12</x:v>
      </x:c>
      <x:c r="H289" s="17" t="str">
        <x:v>collection</x:v>
      </x:c>
      <x:c r="I289" s="17" t="str">
        <x:v>中山虚拟回收/检测中心</x:v>
      </x:c>
      <x:c r="J289" s="24" t="n">
        <x:v>113.3872302</x:v>
      </x:c>
      <x:c r="K289" s="24" t="n">
        <x:v>22.5197073</x:v>
      </x:c>
      <x:c r="L289" s="21" t="n">
        <x:f>6371*ACOS(MIN(1,COS(F289*PI()/180)*COS(K289*PI()/180)*COS((J289-E289)*PI()/180)+SIN(F289*PI()/180)*SIN(K289*PI()/180)))</x:f>
        <x:v>171.61565011193275</x:v>
      </x:c>
      <x:c r="M289" s="21" t="n">
        <x:f>L289*'情景参数模板'!$D$31</x:f>
        <x:v>205.9387801343193</x:v>
      </x:c>
      <x:c r="N289" s="21" t="n">
        <x:f>IF(C289="source",'情景参数模板'!$D$12,IF(H289="echelon",'情景参数模板'!$D$13,'情景参数模板'!$D$14))</x:f>
        <x:v>0.49</x:v>
      </x:c>
      <x:c r="O289" s="21" t="n">
        <x:f>IF(C289="source",'情景参数模板'!$D$18,IF(H289="echelon",'情景参数模板'!$D$19,'情景参数模板'!$D$20))</x:f>
        <x:v>150</x:v>
      </x:c>
      <x:c r="P289" s="17" t="n">
        <x:f>IF(M289&lt;=O289,1,0)</x:f>
        <x:v>0</x:v>
      </x:c>
      <x:c r="Q289" s="17" t="str">
        <x:v>D-road proxy; B-coordinates</x:v>
      </x:c>
    </x:row>
    <x:row r="290">
      <x:c r="A290" s="17" t="str">
        <x:v>A0286</x:v>
      </x:c>
      <x:c r="B290" s="17" t="str">
        <x:v>GD14</x:v>
      </x:c>
      <x:c r="C290" s="17" t="str">
        <x:v>source</x:v>
      </x:c>
      <x:c r="D290" s="17" t="str">
        <x:v>阳江</x:v>
      </x:c>
      <x:c r="E290" s="24" t="n">
        <x:v>111.7831393</x:v>
      </x:c>
      <x:c r="F290" s="24" t="n">
        <x:v>22.0958223</x:v>
      </x:c>
      <x:c r="G290" s="17" t="str">
        <x:v>C13</x:v>
      </x:c>
      <x:c r="H290" s="17" t="str">
        <x:v>collection</x:v>
      </x:c>
      <x:c r="I290" s="17" t="str">
        <x:v>江门虚拟回收/检测中心</x:v>
      </x:c>
      <x:c r="J290" s="24" t="n">
        <x:v>113.0761073</x:v>
      </x:c>
      <x:c r="K290" s="24" t="n">
        <x:v>22.5816619</x:v>
      </x:c>
      <x:c r="L290" s="21" t="n">
        <x:f>6371*ACOS(MIN(1,COS(F290*PI()/180)*COS(K290*PI()/180)*COS((J290-E290)*PI()/180)+SIN(F290*PI()/180)*SIN(K290*PI()/180)))</x:f>
        <x:v>143.53528753193643</x:v>
      </x:c>
      <x:c r="M290" s="21" t="n">
        <x:f>L290*'情景参数模板'!$D$31</x:f>
        <x:v>172.24234503832372</x:v>
      </x:c>
      <x:c r="N290" s="21" t="n">
        <x:f>IF(C290="source",'情景参数模板'!$D$12,IF(H290="echelon",'情景参数模板'!$D$13,'情景参数模板'!$D$14))</x:f>
        <x:v>0.49</x:v>
      </x:c>
      <x:c r="O290" s="21" t="n">
        <x:f>IF(C290="source",'情景参数模板'!$D$18,IF(H290="echelon",'情景参数模板'!$D$19,'情景参数模板'!$D$20))</x:f>
        <x:v>150</x:v>
      </x:c>
      <x:c r="P290" s="17" t="n">
        <x:f>IF(M290&lt;=O290,1,0)</x:f>
        <x:v>0</x:v>
      </x:c>
      <x:c r="Q290" s="17" t="str">
        <x:v>D-road proxy; B-coordinates</x:v>
      </x:c>
    </x:row>
    <x:row r="291">
      <x:c r="A291" s="17" t="str">
        <x:v>A0287</x:v>
      </x:c>
      <x:c r="B291" s="17" t="str">
        <x:v>GD14</x:v>
      </x:c>
      <x:c r="C291" s="17" t="str">
        <x:v>source</x:v>
      </x:c>
      <x:c r="D291" s="17" t="str">
        <x:v>阳江</x:v>
      </x:c>
      <x:c r="E291" s="24" t="n">
        <x:v>111.7831393</x:v>
      </x:c>
      <x:c r="F291" s="24" t="n">
        <x:v>22.0958223</x:v>
      </x:c>
      <x:c r="G291" s="17" t="str">
        <x:v>C14</x:v>
      </x:c>
      <x:c r="H291" s="17" t="str">
        <x:v>collection</x:v>
      </x:c>
      <x:c r="I291" s="17" t="str">
        <x:v>阳江虚拟回收/检测中心</x:v>
      </x:c>
      <x:c r="J291" s="24" t="n">
        <x:v>111.7831393</x:v>
      </x:c>
      <x:c r="K291" s="24" t="n">
        <x:v>22.0958223</x:v>
      </x:c>
      <x:c r="L291" s="21" t="n">
        <x:f>6371*ACOS(MIN(1,COS(F291*PI()/180)*COS(K291*PI()/180)*COS((J291-E291)*PI()/180)+SIN(F291*PI()/180)*SIN(K291*PI()/180)))</x:f>
        <x:v>0</x:v>
      </x:c>
      <x:c r="M291" s="21" t="n">
        <x:f>L291*'情景参数模板'!$D$31</x:f>
        <x:v>0</x:v>
      </x:c>
      <x:c r="N291" s="21" t="n">
        <x:f>IF(C291="source",'情景参数模板'!$D$12,IF(H291="echelon",'情景参数模板'!$D$13,'情景参数模板'!$D$14))</x:f>
        <x:v>0.49</x:v>
      </x:c>
      <x:c r="O291" s="21" t="n">
        <x:f>IF(C291="source",'情景参数模板'!$D$18,IF(H291="echelon",'情景参数模板'!$D$19,'情景参数模板'!$D$20))</x:f>
        <x:v>150</x:v>
      </x:c>
      <x:c r="P291" s="17" t="n">
        <x:f>IF(M291&lt;=O291,1,0)</x:f>
        <x:v>1</x:v>
      </x:c>
      <x:c r="Q291" s="17" t="str">
        <x:v>D-road proxy; B-coordinates</x:v>
      </x:c>
    </x:row>
    <x:row r="292">
      <x:c r="A292" s="17" t="str">
        <x:v>A0288</x:v>
      </x:c>
      <x:c r="B292" s="17" t="str">
        <x:v>GD14</x:v>
      </x:c>
      <x:c r="C292" s="17" t="str">
        <x:v>source</x:v>
      </x:c>
      <x:c r="D292" s="17" t="str">
        <x:v>阳江</x:v>
      </x:c>
      <x:c r="E292" s="24" t="n">
        <x:v>111.7831393</x:v>
      </x:c>
      <x:c r="F292" s="24" t="n">
        <x:v>22.0958223</x:v>
      </x:c>
      <x:c r="G292" s="17" t="str">
        <x:v>C15</x:v>
      </x:c>
      <x:c r="H292" s="17" t="str">
        <x:v>collection</x:v>
      </x:c>
      <x:c r="I292" s="17" t="str">
        <x:v>湛江虚拟回收/检测中心</x:v>
      </x:c>
      <x:c r="J292" s="24" t="n">
        <x:v>110.3548318</x:v>
      </x:c>
      <x:c r="K292" s="24" t="n">
        <x:v>21.2737079</x:v>
      </x:c>
      <x:c r="L292" s="21" t="n">
        <x:f>6371*ACOS(MIN(1,COS(F292*PI()/180)*COS(K292*PI()/180)*COS((J292-E292)*PI()/180)+SIN(F292*PI()/180)*SIN(K292*PI()/180)))</x:f>
        <x:v>173.59759775337977</x:v>
      </x:c>
      <x:c r="M292" s="21" t="n">
        <x:f>L292*'情景参数模板'!$D$31</x:f>
        <x:v>208.31711730405573</x:v>
      </x:c>
      <x:c r="N292" s="21" t="n">
        <x:f>IF(C292="source",'情景参数模板'!$D$12,IF(H292="echelon",'情景参数模板'!$D$13,'情景参数模板'!$D$14))</x:f>
        <x:v>0.49</x:v>
      </x:c>
      <x:c r="O292" s="21" t="n">
        <x:f>IF(C292="source",'情景参数模板'!$D$18,IF(H292="echelon",'情景参数模板'!$D$19,'情景参数模板'!$D$20))</x:f>
        <x:v>150</x:v>
      </x:c>
      <x:c r="P292" s="17" t="n">
        <x:f>IF(M292&lt;=O292,1,0)</x:f>
        <x:v>0</x:v>
      </x:c>
      <x:c r="Q292" s="17" t="str">
        <x:v>D-road proxy; B-coordinates</x:v>
      </x:c>
    </x:row>
    <x:row r="293">
      <x:c r="A293" s="17" t="str">
        <x:v>A0289</x:v>
      </x:c>
      <x:c r="B293" s="17" t="str">
        <x:v>GD14</x:v>
      </x:c>
      <x:c r="C293" s="17" t="str">
        <x:v>source</x:v>
      </x:c>
      <x:c r="D293" s="17" t="str">
        <x:v>阳江</x:v>
      </x:c>
      <x:c r="E293" s="24" t="n">
        <x:v>111.7831393</x:v>
      </x:c>
      <x:c r="F293" s="24" t="n">
        <x:v>22.0958223</x:v>
      </x:c>
      <x:c r="G293" s="17" t="str">
        <x:v>C16</x:v>
      </x:c>
      <x:c r="H293" s="17" t="str">
        <x:v>collection</x:v>
      </x:c>
      <x:c r="I293" s="17" t="str">
        <x:v>茂名虚拟回收/检测中心</x:v>
      </x:c>
      <x:c r="J293" s="24" t="n">
        <x:v>110.9209511</x:v>
      </x:c>
      <x:c r="K293" s="24" t="n">
        <x:v>21.6656961</x:v>
      </x:c>
      <x:c r="L293" s="21" t="n">
        <x:f>6371*ACOS(MIN(1,COS(F293*PI()/180)*COS(K293*PI()/180)*COS((J293-E293)*PI()/180)+SIN(F293*PI()/180)*SIN(K293*PI()/180)))</x:f>
        <x:v>101.00553735425996</x:v>
      </x:c>
      <x:c r="M293" s="21" t="n">
        <x:f>L293*'情景参数模板'!$D$31</x:f>
        <x:v>121.20664482511194</x:v>
      </x:c>
      <x:c r="N293" s="21" t="n">
        <x:f>IF(C293="source",'情景参数模板'!$D$12,IF(H293="echelon",'情景参数模板'!$D$13,'情景参数模板'!$D$14))</x:f>
        <x:v>0.49</x:v>
      </x:c>
      <x:c r="O293" s="21" t="n">
        <x:f>IF(C293="source",'情景参数模板'!$D$18,IF(H293="echelon",'情景参数模板'!$D$19,'情景参数模板'!$D$20))</x:f>
        <x:v>150</x:v>
      </x:c>
      <x:c r="P293" s="17" t="n">
        <x:f>IF(M293&lt;=O293,1,0)</x:f>
        <x:v>1</x:v>
      </x:c>
      <x:c r="Q293" s="17" t="str">
        <x:v>D-road proxy; B-coordinates</x:v>
      </x:c>
    </x:row>
    <x:row r="294">
      <x:c r="A294" s="17" t="str">
        <x:v>A0290</x:v>
      </x:c>
      <x:c r="B294" s="17" t="str">
        <x:v>GD14</x:v>
      </x:c>
      <x:c r="C294" s="17" t="str">
        <x:v>source</x:v>
      </x:c>
      <x:c r="D294" s="17" t="str">
        <x:v>阳江</x:v>
      </x:c>
      <x:c r="E294" s="24" t="n">
        <x:v>111.7831393</x:v>
      </x:c>
      <x:c r="F294" s="24" t="n">
        <x:v>22.0958223</x:v>
      </x:c>
      <x:c r="G294" s="17" t="str">
        <x:v>C17</x:v>
      </x:c>
      <x:c r="H294" s="17" t="str">
        <x:v>collection</x:v>
      </x:c>
      <x:c r="I294" s="17" t="str">
        <x:v>肇庆虚拟回收/检测中心</x:v>
      </x:c>
      <x:c r="J294" s="24" t="n">
        <x:v>112.4603629</x:v>
      </x:c>
      <x:c r="K294" s="24" t="n">
        <x:v>23.0501661</x:v>
      </x:c>
      <x:c r="L294" s="21" t="n">
        <x:f>6371*ACOS(MIN(1,COS(F294*PI()/180)*COS(K294*PI()/180)*COS((J294-E294)*PI()/180)+SIN(F294*PI()/180)*SIN(K294*PI()/180)))</x:f>
        <x:v>126.86998761494044</x:v>
      </x:c>
      <x:c r="M294" s="21" t="n">
        <x:f>L294*'情景参数模板'!$D$31</x:f>
        <x:v>152.24398513792852</x:v>
      </x:c>
      <x:c r="N294" s="21" t="n">
        <x:f>IF(C294="source",'情景参数模板'!$D$12,IF(H294="echelon",'情景参数模板'!$D$13,'情景参数模板'!$D$14))</x:f>
        <x:v>0.49</x:v>
      </x:c>
      <x:c r="O294" s="21" t="n">
        <x:f>IF(C294="source",'情景参数模板'!$D$18,IF(H294="echelon",'情景参数模板'!$D$19,'情景参数模板'!$D$20))</x:f>
        <x:v>150</x:v>
      </x:c>
      <x:c r="P294" s="17" t="n">
        <x:f>IF(M294&lt;=O294,1,0)</x:f>
        <x:v>0</x:v>
      </x:c>
      <x:c r="Q294" s="17" t="str">
        <x:v>D-road proxy; B-coordinates</x:v>
      </x:c>
    </x:row>
    <x:row r="295">
      <x:c r="A295" s="17" t="str">
        <x:v>A0291</x:v>
      </x:c>
      <x:c r="B295" s="17" t="str">
        <x:v>GD14</x:v>
      </x:c>
      <x:c r="C295" s="17" t="str">
        <x:v>source</x:v>
      </x:c>
      <x:c r="D295" s="17" t="str">
        <x:v>阳江</x:v>
      </x:c>
      <x:c r="E295" s="24" t="n">
        <x:v>111.7831393</x:v>
      </x:c>
      <x:c r="F295" s="24" t="n">
        <x:v>22.0958223</x:v>
      </x:c>
      <x:c r="G295" s="17" t="str">
        <x:v>C18</x:v>
      </x:c>
      <x:c r="H295" s="17" t="str">
        <x:v>collection</x:v>
      </x:c>
      <x:c r="I295" s="17" t="str">
        <x:v>清远虚拟回收/检测中心</x:v>
      </x:c>
      <x:c r="J295" s="24" t="n">
        <x:v>113.0505994</x:v>
      </x:c>
      <x:c r="K295" s="24" t="n">
        <x:v>23.6832984</x:v>
      </x:c>
      <x:c r="L295" s="21" t="n">
        <x:f>6371*ACOS(MIN(1,COS(F295*PI()/180)*COS(K295*PI()/180)*COS((J295-E295)*PI()/180)+SIN(F295*PI()/180)*SIN(K295*PI()/180)))</x:f>
        <x:v>219.12335494772935</x:v>
      </x:c>
      <x:c r="M295" s="21" t="n">
        <x:f>L295*'情景参数模板'!$D$31</x:f>
        <x:v>262.9480259372752</x:v>
      </x:c>
      <x:c r="N295" s="21" t="n">
        <x:f>IF(C295="source",'情景参数模板'!$D$12,IF(H295="echelon",'情景参数模板'!$D$13,'情景参数模板'!$D$14))</x:f>
        <x:v>0.49</x:v>
      </x:c>
      <x:c r="O295" s="21" t="n">
        <x:f>IF(C295="source",'情景参数模板'!$D$18,IF(H295="echelon",'情景参数模板'!$D$19,'情景参数模板'!$D$20))</x:f>
        <x:v>150</x:v>
      </x:c>
      <x:c r="P295" s="17" t="n">
        <x:f>IF(M295&lt;=O295,1,0)</x:f>
        <x:v>0</x:v>
      </x:c>
      <x:c r="Q295" s="17" t="str">
        <x:v>D-road proxy; B-coordinates</x:v>
      </x:c>
    </x:row>
    <x:row r="296">
      <x:c r="A296" s="17" t="str">
        <x:v>A0292</x:v>
      </x:c>
      <x:c r="B296" s="17" t="str">
        <x:v>GD14</x:v>
      </x:c>
      <x:c r="C296" s="17" t="str">
        <x:v>source</x:v>
      </x:c>
      <x:c r="D296" s="17" t="str">
        <x:v>阳江</x:v>
      </x:c>
      <x:c r="E296" s="24" t="n">
        <x:v>111.7831393</x:v>
      </x:c>
      <x:c r="F296" s="24" t="n">
        <x:v>22.0958223</x:v>
      </x:c>
      <x:c r="G296" s="17" t="str">
        <x:v>C19</x:v>
      </x:c>
      <x:c r="H296" s="17" t="str">
        <x:v>collection</x:v>
      </x:c>
      <x:c r="I296" s="17" t="str">
        <x:v>潮州虚拟回收/检测中心</x:v>
      </x:c>
      <x:c r="J296" s="24" t="n">
        <x:v>116.6204223</x:v>
      </x:c>
      <x:c r="K296" s="24" t="n">
        <x:v>23.656593</x:v>
      </x:c>
      <x:c r="L296" s="21" t="n">
        <x:f>6371*ACOS(MIN(1,COS(F296*PI()/180)*COS(K296*PI()/180)*COS((J296-E296)*PI()/180)+SIN(F296*PI()/180)*SIN(K296*PI()/180)))</x:f>
        <x:v>525.0419469827197</x:v>
      </x:c>
      <x:c r="M296" s="21" t="n">
        <x:f>L296*'情景参数模板'!$D$31</x:f>
        <x:v>630.0503363792635</x:v>
      </x:c>
      <x:c r="N296" s="21" t="n">
        <x:f>IF(C296="source",'情景参数模板'!$D$12,IF(H296="echelon",'情景参数模板'!$D$13,'情景参数模板'!$D$14))</x:f>
        <x:v>0.49</x:v>
      </x:c>
      <x:c r="O296" s="21" t="n">
        <x:f>IF(C296="source",'情景参数模板'!$D$18,IF(H296="echelon",'情景参数模板'!$D$19,'情景参数模板'!$D$20))</x:f>
        <x:v>150</x:v>
      </x:c>
      <x:c r="P296" s="17" t="n">
        <x:f>IF(M296&lt;=O296,1,0)</x:f>
        <x:v>0</x:v>
      </x:c>
      <x:c r="Q296" s="17" t="str">
        <x:v>D-road proxy; B-coordinates</x:v>
      </x:c>
    </x:row>
    <x:row r="297">
      <x:c r="A297" s="17" t="str">
        <x:v>A0293</x:v>
      </x:c>
      <x:c r="B297" s="17" t="str">
        <x:v>GD14</x:v>
      </x:c>
      <x:c r="C297" s="17" t="str">
        <x:v>source</x:v>
      </x:c>
      <x:c r="D297" s="17" t="str">
        <x:v>阳江</x:v>
      </x:c>
      <x:c r="E297" s="24" t="n">
        <x:v>111.7831393</x:v>
      </x:c>
      <x:c r="F297" s="24" t="n">
        <x:v>22.0958223</x:v>
      </x:c>
      <x:c r="G297" s="17" t="str">
        <x:v>C20</x:v>
      </x:c>
      <x:c r="H297" s="17" t="str">
        <x:v>collection</x:v>
      </x:c>
      <x:c r="I297" s="17" t="str">
        <x:v>揭阳虚拟回收/检测中心</x:v>
      </x:c>
      <x:c r="J297" s="24" t="n">
        <x:v>116.3680354</x:v>
      </x:c>
      <x:c r="K297" s="24" t="n">
        <x:v>23.553156</x:v>
      </x:c>
      <x:c r="L297" s="21" t="n">
        <x:f>6371*ACOS(MIN(1,COS(F297*PI()/180)*COS(K297*PI()/180)*COS((J297-E297)*PI()/180)+SIN(F297*PI()/180)*SIN(K297*PI()/180)))</x:f>
        <x:v>497.0181002668554</x:v>
      </x:c>
      <x:c r="M297" s="21" t="n">
        <x:f>L297*'情景参数模板'!$D$31</x:f>
        <x:v>596.4217203202264</x:v>
      </x:c>
      <x:c r="N297" s="21" t="n">
        <x:f>IF(C297="source",'情景参数模板'!$D$12,IF(H297="echelon",'情景参数模板'!$D$13,'情景参数模板'!$D$14))</x:f>
        <x:v>0.49</x:v>
      </x:c>
      <x:c r="O297" s="21" t="n">
        <x:f>IF(C297="source",'情景参数模板'!$D$18,IF(H297="echelon",'情景参数模板'!$D$19,'情景参数模板'!$D$20))</x:f>
        <x:v>150</x:v>
      </x:c>
      <x:c r="P297" s="17" t="n">
        <x:f>IF(M297&lt;=O297,1,0)</x:f>
        <x:v>0</x:v>
      </x:c>
      <x:c r="Q297" s="17" t="str">
        <x:v>D-road proxy; B-coordinates</x:v>
      </x:c>
    </x:row>
    <x:row r="298">
      <x:c r="A298" s="17" t="str">
        <x:v>A0294</x:v>
      </x:c>
      <x:c r="B298" s="17" t="str">
        <x:v>GD14</x:v>
      </x:c>
      <x:c r="C298" s="17" t="str">
        <x:v>source</x:v>
      </x:c>
      <x:c r="D298" s="17" t="str">
        <x:v>阳江</x:v>
      </x:c>
      <x:c r="E298" s="24" t="n">
        <x:v>111.7831393</x:v>
      </x:c>
      <x:c r="F298" s="24" t="n">
        <x:v>22.0958223</x:v>
      </x:c>
      <x:c r="G298" s="17" t="str">
        <x:v>C21</x:v>
      </x:c>
      <x:c r="H298" s="17" t="str">
        <x:v>collection</x:v>
      </x:c>
      <x:c r="I298" s="17" t="str">
        <x:v>云浮虚拟回收/检测中心</x:v>
      </x:c>
      <x:c r="J298" s="24" t="n">
        <x:v>111.8078586</x:v>
      </x:c>
      <x:c r="K298" s="24" t="n">
        <x:v>22.8546663</x:v>
      </x:c>
      <x:c r="L298" s="21" t="n">
        <x:f>6371*ACOS(MIN(1,COS(F298*PI()/180)*COS(K298*PI()/180)*COS((J298-E298)*PI()/180)+SIN(F298*PI()/180)*SIN(K298*PI()/180)))</x:f>
        <x:v>84.41781959050998</x:v>
      </x:c>
      <x:c r="M298" s="21" t="n">
        <x:f>L298*'情景参数模板'!$D$31</x:f>
        <x:v>101.30138350861198</x:v>
      </x:c>
      <x:c r="N298" s="21" t="n">
        <x:f>IF(C298="source",'情景参数模板'!$D$12,IF(H298="echelon",'情景参数模板'!$D$13,'情景参数模板'!$D$14))</x:f>
        <x:v>0.49</x:v>
      </x:c>
      <x:c r="O298" s="21" t="n">
        <x:f>IF(C298="source",'情景参数模板'!$D$18,IF(H298="echelon",'情景参数模板'!$D$19,'情景参数模板'!$D$20))</x:f>
        <x:v>150</x:v>
      </x:c>
      <x:c r="P298" s="17" t="n">
        <x:f>IF(M298&lt;=O298,1,0)</x:f>
        <x:v>1</x:v>
      </x:c>
      <x:c r="Q298" s="17" t="str">
        <x:v>D-road proxy; B-coordinates</x:v>
      </x:c>
    </x:row>
    <x:row r="299">
      <x:c r="A299" s="17" t="str">
        <x:v>A0295</x:v>
      </x:c>
      <x:c r="B299" s="17" t="str">
        <x:v>GD15</x:v>
      </x:c>
      <x:c r="C299" s="17" t="str">
        <x:v>source</x:v>
      </x:c>
      <x:c r="D299" s="17" t="str">
        <x:v>湛江</x:v>
      </x:c>
      <x:c r="E299" s="24" t="n">
        <x:v>110.3548318</x:v>
      </x:c>
      <x:c r="F299" s="24" t="n">
        <x:v>21.2737079</x:v>
      </x:c>
      <x:c r="G299" s="17" t="str">
        <x:v>C01</x:v>
      </x:c>
      <x:c r="H299" s="17" t="str">
        <x:v>collection</x:v>
      </x:c>
      <x:c r="I299" s="17" t="str">
        <x:v>广州虚拟回收/检测中心</x:v>
      </x:c>
      <x:c r="J299" s="24" t="n">
        <x:v>113.2589581</x:v>
      </x:c>
      <x:c r="K299" s="24" t="n">
        <x:v>23.1288429</x:v>
      </x:c>
      <x:c r="L299" s="21" t="n">
        <x:f>6371*ACOS(MIN(1,COS(F299*PI()/180)*COS(K299*PI()/180)*COS((J299-E299)*PI()/180)+SIN(F299*PI()/180)*SIN(K299*PI()/180)))</x:f>
        <x:v>363.2197932210833</x:v>
      </x:c>
      <x:c r="M299" s="21" t="n">
        <x:f>L299*'情景参数模板'!$D$31</x:f>
        <x:v>435.86375186529995</x:v>
      </x:c>
      <x:c r="N299" s="21" t="n">
        <x:f>IF(C299="source",'情景参数模板'!$D$12,IF(H299="echelon",'情景参数模板'!$D$13,'情景参数模板'!$D$14))</x:f>
        <x:v>0.49</x:v>
      </x:c>
      <x:c r="O299" s="21" t="n">
        <x:f>IF(C299="source",'情景参数模板'!$D$18,IF(H299="echelon",'情景参数模板'!$D$19,'情景参数模板'!$D$20))</x:f>
        <x:v>150</x:v>
      </x:c>
      <x:c r="P299" s="17" t="n">
        <x:f>IF(M299&lt;=O299,1,0)</x:f>
        <x:v>0</x:v>
      </x:c>
      <x:c r="Q299" s="17" t="str">
        <x:v>D-road proxy; B-coordinates</x:v>
      </x:c>
    </x:row>
    <x:row r="300">
      <x:c r="A300" s="17" t="str">
        <x:v>A0296</x:v>
      </x:c>
      <x:c r="B300" s="17" t="str">
        <x:v>GD15</x:v>
      </x:c>
      <x:c r="C300" s="17" t="str">
        <x:v>source</x:v>
      </x:c>
      <x:c r="D300" s="17" t="str">
        <x:v>湛江</x:v>
      </x:c>
      <x:c r="E300" s="24" t="n">
        <x:v>110.3548318</x:v>
      </x:c>
      <x:c r="F300" s="24" t="n">
        <x:v>21.2737079</x:v>
      </x:c>
      <x:c r="G300" s="17" t="str">
        <x:v>C02</x:v>
      </x:c>
      <x:c r="H300" s="17" t="str">
        <x:v>collection</x:v>
      </x:c>
      <x:c r="I300" s="17" t="str">
        <x:v>深圳虚拟回收/检测中心</x:v>
      </x:c>
      <x:c r="J300" s="24" t="n">
        <x:v>114.0545429</x:v>
      </x:c>
      <x:c r="K300" s="24" t="n">
        <x:v>22.5445741</x:v>
      </x:c>
      <x:c r="L300" s="21" t="n">
        <x:f>6371*ACOS(MIN(1,COS(F300*PI()/180)*COS(K300*PI()/180)*COS((J300-E300)*PI()/180)+SIN(F300*PI()/180)*SIN(K300*PI()/180)))</x:f>
        <x:v>406.97813815707536</x:v>
      </x:c>
      <x:c r="M300" s="21" t="n">
        <x:f>L300*'情景参数模板'!$D$31</x:f>
        <x:v>488.3737657884904</x:v>
      </x:c>
      <x:c r="N300" s="21" t="n">
        <x:f>IF(C300="source",'情景参数模板'!$D$12,IF(H300="echelon",'情景参数模板'!$D$13,'情景参数模板'!$D$14))</x:f>
        <x:v>0.49</x:v>
      </x:c>
      <x:c r="O300" s="21" t="n">
        <x:f>IF(C300="source",'情景参数模板'!$D$18,IF(H300="echelon",'情景参数模板'!$D$19,'情景参数模板'!$D$20))</x:f>
        <x:v>150</x:v>
      </x:c>
      <x:c r="P300" s="17" t="n">
        <x:f>IF(M300&lt;=O300,1,0)</x:f>
        <x:v>0</x:v>
      </x:c>
      <x:c r="Q300" s="17" t="str">
        <x:v>D-road proxy; B-coordinates</x:v>
      </x:c>
    </x:row>
    <x:row r="301">
      <x:c r="A301" s="17" t="str">
        <x:v>A0297</x:v>
      </x:c>
      <x:c r="B301" s="17" t="str">
        <x:v>GD15</x:v>
      </x:c>
      <x:c r="C301" s="17" t="str">
        <x:v>source</x:v>
      </x:c>
      <x:c r="D301" s="17" t="str">
        <x:v>湛江</x:v>
      </x:c>
      <x:c r="E301" s="24" t="n">
        <x:v>110.3548318</x:v>
      </x:c>
      <x:c r="F301" s="24" t="n">
        <x:v>21.2737079</x:v>
      </x:c>
      <x:c r="G301" s="17" t="str">
        <x:v>C03</x:v>
      </x:c>
      <x:c r="H301" s="17" t="str">
        <x:v>collection</x:v>
      </x:c>
      <x:c r="I301" s="17" t="str">
        <x:v>珠海虚拟回收/检测中心</x:v>
      </x:c>
      <x:c r="J301" s="24" t="n">
        <x:v>113.5721327</x:v>
      </x:c>
      <x:c r="K301" s="24" t="n">
        <x:v>22.273734</x:v>
      </x:c>
      <x:c r="L301" s="21" t="n">
        <x:f>6371*ACOS(MIN(1,COS(F301*PI()/180)*COS(K301*PI()/180)*COS((J301-E301)*PI()/180)+SIN(F301*PI()/180)*SIN(K301*PI()/180)))</x:f>
        <x:v>350.328255137951</x:v>
      </x:c>
      <x:c r="M301" s="21" t="n">
        <x:f>L301*'情景参数模板'!$D$31</x:f>
        <x:v>420.3939061655412</x:v>
      </x:c>
      <x:c r="N301" s="21" t="n">
        <x:f>IF(C301="source",'情景参数模板'!$D$12,IF(H301="echelon",'情景参数模板'!$D$13,'情景参数模板'!$D$14))</x:f>
        <x:v>0.49</x:v>
      </x:c>
      <x:c r="O301" s="21" t="n">
        <x:f>IF(C301="source",'情景参数模板'!$D$18,IF(H301="echelon",'情景参数模板'!$D$19,'情景参数模板'!$D$20))</x:f>
        <x:v>150</x:v>
      </x:c>
      <x:c r="P301" s="17" t="n">
        <x:f>IF(M301&lt;=O301,1,0)</x:f>
        <x:v>0</x:v>
      </x:c>
      <x:c r="Q301" s="17" t="str">
        <x:v>D-road proxy; B-coordinates</x:v>
      </x:c>
    </x:row>
    <x:row r="302">
      <x:c r="A302" s="17" t="str">
        <x:v>A0298</x:v>
      </x:c>
      <x:c r="B302" s="17" t="str">
        <x:v>GD15</x:v>
      </x:c>
      <x:c r="C302" s="17" t="str">
        <x:v>source</x:v>
      </x:c>
      <x:c r="D302" s="17" t="str">
        <x:v>湛江</x:v>
      </x:c>
      <x:c r="E302" s="24" t="n">
        <x:v>110.3548318</x:v>
      </x:c>
      <x:c r="F302" s="24" t="n">
        <x:v>21.2737079</x:v>
      </x:c>
      <x:c r="G302" s="17" t="str">
        <x:v>C04</x:v>
      </x:c>
      <x:c r="H302" s="17" t="str">
        <x:v>collection</x:v>
      </x:c>
      <x:c r="I302" s="17" t="str">
        <x:v>汕头虚拟回收/检测中心</x:v>
      </x:c>
      <x:c r="J302" s="24" t="n">
        <x:v>116.6775856</x:v>
      </x:c>
      <x:c r="K302" s="24" t="n">
        <x:v>23.3563921</x:v>
      </x:c>
      <x:c r="L302" s="21" t="n">
        <x:f>6371*ACOS(MIN(1,COS(F302*PI()/180)*COS(K302*PI()/180)*COS((J302-E302)*PI()/180)+SIN(F302*PI()/180)*SIN(K302*PI()/180)))</x:f>
        <x:v>690.3094605041547</x:v>
      </x:c>
      <x:c r="M302" s="21" t="n">
        <x:f>L302*'情景参数模板'!$D$31</x:f>
        <x:v>828.3713526049856</x:v>
      </x:c>
      <x:c r="N302" s="21" t="n">
        <x:f>IF(C302="source",'情景参数模板'!$D$12,IF(H302="echelon",'情景参数模板'!$D$13,'情景参数模板'!$D$14))</x:f>
        <x:v>0.49</x:v>
      </x:c>
      <x:c r="O302" s="21" t="n">
        <x:f>IF(C302="source",'情景参数模板'!$D$18,IF(H302="echelon",'情景参数模板'!$D$19,'情景参数模板'!$D$20))</x:f>
        <x:v>150</x:v>
      </x:c>
      <x:c r="P302" s="17" t="n">
        <x:f>IF(M302&lt;=O302,1,0)</x:f>
        <x:v>0</x:v>
      </x:c>
      <x:c r="Q302" s="17" t="str">
        <x:v>D-road proxy; B-coordinates</x:v>
      </x:c>
    </x:row>
    <x:row r="303">
      <x:c r="A303" s="17" t="str">
        <x:v>A0299</x:v>
      </x:c>
      <x:c r="B303" s="17" t="str">
        <x:v>GD15</x:v>
      </x:c>
      <x:c r="C303" s="17" t="str">
        <x:v>source</x:v>
      </x:c>
      <x:c r="D303" s="17" t="str">
        <x:v>湛江</x:v>
      </x:c>
      <x:c r="E303" s="24" t="n">
        <x:v>110.3548318</x:v>
      </x:c>
      <x:c r="F303" s="24" t="n">
        <x:v>21.2737079</x:v>
      </x:c>
      <x:c r="G303" s="17" t="str">
        <x:v>C05</x:v>
      </x:c>
      <x:c r="H303" s="17" t="str">
        <x:v>collection</x:v>
      </x:c>
      <x:c r="I303" s="17" t="str">
        <x:v>佛山虚拟回收/检测中心</x:v>
      </x:c>
      <x:c r="J303" s="24" t="n">
        <x:v>113.1159558</x:v>
      </x:c>
      <x:c r="K303" s="24" t="n">
        <x:v>23.0239788</x:v>
      </x:c>
      <x:c r="L303" s="21" t="n">
        <x:f>6371*ACOS(MIN(1,COS(F303*PI()/180)*COS(K303*PI()/180)*COS((J303-E303)*PI()/180)+SIN(F303*PI()/180)*SIN(K303*PI()/180)))</x:f>
        <x:v>344.5727569641422</x:v>
      </x:c>
      <x:c r="M303" s="21" t="n">
        <x:f>L303*'情景参数模板'!$D$31</x:f>
        <x:v>413.4873083569706</x:v>
      </x:c>
      <x:c r="N303" s="21" t="n">
        <x:f>IF(C303="source",'情景参数模板'!$D$12,IF(H303="echelon",'情景参数模板'!$D$13,'情景参数模板'!$D$14))</x:f>
        <x:v>0.49</x:v>
      </x:c>
      <x:c r="O303" s="21" t="n">
        <x:f>IF(C303="source",'情景参数模板'!$D$18,IF(H303="echelon",'情景参数模板'!$D$19,'情景参数模板'!$D$20))</x:f>
        <x:v>150</x:v>
      </x:c>
      <x:c r="P303" s="17" t="n">
        <x:f>IF(M303&lt;=O303,1,0)</x:f>
        <x:v>0</x:v>
      </x:c>
      <x:c r="Q303" s="17" t="str">
        <x:v>D-road proxy; B-coordinates</x:v>
      </x:c>
    </x:row>
    <x:row r="304">
      <x:c r="A304" s="17" t="str">
        <x:v>A0300</x:v>
      </x:c>
      <x:c r="B304" s="17" t="str">
        <x:v>GD15</x:v>
      </x:c>
      <x:c r="C304" s="17" t="str">
        <x:v>source</x:v>
      </x:c>
      <x:c r="D304" s="17" t="str">
        <x:v>湛江</x:v>
      </x:c>
      <x:c r="E304" s="24" t="n">
        <x:v>110.3548318</x:v>
      </x:c>
      <x:c r="F304" s="24" t="n">
        <x:v>21.2737079</x:v>
      </x:c>
      <x:c r="G304" s="17" t="str">
        <x:v>C06</x:v>
      </x:c>
      <x:c r="H304" s="17" t="str">
        <x:v>collection</x:v>
      </x:c>
      <x:c r="I304" s="17" t="str">
        <x:v>韶关虚拟回收/检测中心</x:v>
      </x:c>
      <x:c r="J304" s="24" t="n">
        <x:v>113.8155263</x:v>
      </x:c>
      <x:c r="K304" s="24" t="n">
        <x:v>24.8309489</x:v>
      </x:c>
      <x:c r="L304" s="21" t="n">
        <x:f>6371*ACOS(MIN(1,COS(F304*PI()/180)*COS(K304*PI()/180)*COS((J304-E304)*PI()/180)+SIN(F304*PI()/180)*SIN(K304*PI()/180)))</x:f>
        <x:v>530.815118988391</x:v>
      </x:c>
      <x:c r="M304" s="21" t="n">
        <x:f>L304*'情景参数模板'!$D$31</x:f>
        <x:v>636.9781427860692</x:v>
      </x:c>
      <x:c r="N304" s="21" t="n">
        <x:f>IF(C304="source",'情景参数模板'!$D$12,IF(H304="echelon",'情景参数模板'!$D$13,'情景参数模板'!$D$14))</x:f>
        <x:v>0.49</x:v>
      </x:c>
      <x:c r="O304" s="21" t="n">
        <x:f>IF(C304="source",'情景参数模板'!$D$18,IF(H304="echelon",'情景参数模板'!$D$19,'情景参数模板'!$D$20))</x:f>
        <x:v>150</x:v>
      </x:c>
      <x:c r="P304" s="17" t="n">
        <x:f>IF(M304&lt;=O304,1,0)</x:f>
        <x:v>0</x:v>
      </x:c>
      <x:c r="Q304" s="17" t="str">
        <x:v>D-road proxy; B-coordinates</x:v>
      </x:c>
    </x:row>
    <x:row r="305">
      <x:c r="A305" s="17" t="str">
        <x:v>A0301</x:v>
      </x:c>
      <x:c r="B305" s="17" t="str">
        <x:v>GD15</x:v>
      </x:c>
      <x:c r="C305" s="17" t="str">
        <x:v>source</x:v>
      </x:c>
      <x:c r="D305" s="17" t="str">
        <x:v>湛江</x:v>
      </x:c>
      <x:c r="E305" s="24" t="n">
        <x:v>110.3548318</x:v>
      </x:c>
      <x:c r="F305" s="24" t="n">
        <x:v>21.2737079</x:v>
      </x:c>
      <x:c r="G305" s="17" t="str">
        <x:v>C07</x:v>
      </x:c>
      <x:c r="H305" s="17" t="str">
        <x:v>collection</x:v>
      </x:c>
      <x:c r="I305" s="17" t="str">
        <x:v>河源虚拟回收/检测中心</x:v>
      </x:c>
      <x:c r="J305" s="24" t="n">
        <x:v>115.0577538</x:v>
      </x:c>
      <x:c r="K305" s="24" t="n">
        <x:v>24.1014769</x:v>
      </x:c>
      <x:c r="L305" s="21" t="n">
        <x:f>6371*ACOS(MIN(1,COS(F305*PI()/180)*COS(K305*PI()/180)*COS((J305-E305)*PI()/180)+SIN(F305*PI()/180)*SIN(K305*PI()/180)))</x:f>
        <x:v>575.8131454619048</x:v>
      </x:c>
      <x:c r="M305" s="21" t="n">
        <x:f>L305*'情景参数模板'!$D$31</x:f>
        <x:v>690.9757745542857</x:v>
      </x:c>
      <x:c r="N305" s="21" t="n">
        <x:f>IF(C305="source",'情景参数模板'!$D$12,IF(H305="echelon",'情景参数模板'!$D$13,'情景参数模板'!$D$14))</x:f>
        <x:v>0.49</x:v>
      </x:c>
      <x:c r="O305" s="21" t="n">
        <x:f>IF(C305="source",'情景参数模板'!$D$18,IF(H305="echelon",'情景参数模板'!$D$19,'情景参数模板'!$D$20))</x:f>
        <x:v>150</x:v>
      </x:c>
      <x:c r="P305" s="17" t="n">
        <x:f>IF(M305&lt;=O305,1,0)</x:f>
        <x:v>0</x:v>
      </x:c>
      <x:c r="Q305" s="17" t="str">
        <x:v>D-road proxy; B-coordinates</x:v>
      </x:c>
    </x:row>
    <x:row r="306">
      <x:c r="A306" s="17" t="str">
        <x:v>A0302</x:v>
      </x:c>
      <x:c r="B306" s="17" t="str">
        <x:v>GD15</x:v>
      </x:c>
      <x:c r="C306" s="17" t="str">
        <x:v>source</x:v>
      </x:c>
      <x:c r="D306" s="17" t="str">
        <x:v>湛江</x:v>
      </x:c>
      <x:c r="E306" s="24" t="n">
        <x:v>110.3548318</x:v>
      </x:c>
      <x:c r="F306" s="24" t="n">
        <x:v>21.2737079</x:v>
      </x:c>
      <x:c r="G306" s="17" t="str">
        <x:v>C08</x:v>
      </x:c>
      <x:c r="H306" s="17" t="str">
        <x:v>collection</x:v>
      </x:c>
      <x:c r="I306" s="17" t="str">
        <x:v>梅州虚拟回收/检测中心</x:v>
      </x:c>
      <x:c r="J306" s="24" t="n">
        <x:v>116.1171428</x:v>
      </x:c>
      <x:c r="K306" s="24" t="n">
        <x:v>24.2918414</x:v>
      </x:c>
      <x:c r="L306" s="21" t="n">
        <x:f>6371*ACOS(MIN(1,COS(F306*PI()/180)*COS(K306*PI()/180)*COS((J306-E306)*PI()/180)+SIN(F306*PI()/180)*SIN(K306*PI()/180)))</x:f>
        <x:v>679.2973545741916</x:v>
      </x:c>
      <x:c r="M306" s="21" t="n">
        <x:f>L306*'情景参数模板'!$D$31</x:f>
        <x:v>815.1568254890299</x:v>
      </x:c>
      <x:c r="N306" s="21" t="n">
        <x:f>IF(C306="source",'情景参数模板'!$D$12,IF(H306="echelon",'情景参数模板'!$D$13,'情景参数模板'!$D$14))</x:f>
        <x:v>0.49</x:v>
      </x:c>
      <x:c r="O306" s="21" t="n">
        <x:f>IF(C306="source",'情景参数模板'!$D$18,IF(H306="echelon",'情景参数模板'!$D$19,'情景参数模板'!$D$20))</x:f>
        <x:v>150</x:v>
      </x:c>
      <x:c r="P306" s="17" t="n">
        <x:f>IF(M306&lt;=O306,1,0)</x:f>
        <x:v>0</x:v>
      </x:c>
      <x:c r="Q306" s="17" t="str">
        <x:v>D-road proxy; B-coordinates</x:v>
      </x:c>
    </x:row>
    <x:row r="307">
      <x:c r="A307" s="17" t="str">
        <x:v>A0303</x:v>
      </x:c>
      <x:c r="B307" s="17" t="str">
        <x:v>GD15</x:v>
      </x:c>
      <x:c r="C307" s="17" t="str">
        <x:v>source</x:v>
      </x:c>
      <x:c r="D307" s="17" t="str">
        <x:v>湛江</x:v>
      </x:c>
      <x:c r="E307" s="24" t="n">
        <x:v>110.3548318</x:v>
      </x:c>
      <x:c r="F307" s="24" t="n">
        <x:v>21.2737079</x:v>
      </x:c>
      <x:c r="G307" s="17" t="str">
        <x:v>C09</x:v>
      </x:c>
      <x:c r="H307" s="17" t="str">
        <x:v>collection</x:v>
      </x:c>
      <x:c r="I307" s="17" t="str">
        <x:v>惠州虚拟回收/检测中心</x:v>
      </x:c>
      <x:c r="J307" s="24" t="n">
        <x:v>114.4127007</x:v>
      </x:c>
      <x:c r="K307" s="24" t="n">
        <x:v>23.1125153</x:v>
      </x:c>
      <x:c r="L307" s="21" t="n">
        <x:f>6371*ACOS(MIN(1,COS(F307*PI()/180)*COS(K307*PI()/180)*COS((J307-E307)*PI()/180)+SIN(F307*PI()/180)*SIN(K307*PI()/180)))</x:f>
        <x:v>465.101265453624</x:v>
      </x:c>
      <x:c r="M307" s="21" t="n">
        <x:f>L307*'情景参数模板'!$D$31</x:f>
        <x:v>558.1215185443488</x:v>
      </x:c>
      <x:c r="N307" s="21" t="n">
        <x:f>IF(C307="source",'情景参数模板'!$D$12,IF(H307="echelon",'情景参数模板'!$D$13,'情景参数模板'!$D$14))</x:f>
        <x:v>0.49</x:v>
      </x:c>
      <x:c r="O307" s="21" t="n">
        <x:f>IF(C307="source",'情景参数模板'!$D$18,IF(H307="echelon",'情景参数模板'!$D$19,'情景参数模板'!$D$20))</x:f>
        <x:v>150</x:v>
      </x:c>
      <x:c r="P307" s="17" t="n">
        <x:f>IF(M307&lt;=O307,1,0)</x:f>
        <x:v>0</x:v>
      </x:c>
      <x:c r="Q307" s="17" t="str">
        <x:v>D-road proxy; B-coordinates</x:v>
      </x:c>
    </x:row>
    <x:row r="308">
      <x:c r="A308" s="17" t="str">
        <x:v>A0304</x:v>
      </x:c>
      <x:c r="B308" s="17" t="str">
        <x:v>GD15</x:v>
      </x:c>
      <x:c r="C308" s="17" t="str">
        <x:v>source</x:v>
      </x:c>
      <x:c r="D308" s="17" t="str">
        <x:v>湛江</x:v>
      </x:c>
      <x:c r="E308" s="24" t="n">
        <x:v>110.3548318</x:v>
      </x:c>
      <x:c r="F308" s="24" t="n">
        <x:v>21.2737079</x:v>
      </x:c>
      <x:c r="G308" s="17" t="str">
        <x:v>C10</x:v>
      </x:c>
      <x:c r="H308" s="17" t="str">
        <x:v>collection</x:v>
      </x:c>
      <x:c r="I308" s="17" t="str">
        <x:v>汕尾虚拟回收/检测中心</x:v>
      </x:c>
      <x:c r="J308" s="24" t="n">
        <x:v>115.5099937</x:v>
      </x:c>
      <x:c r="K308" s="24" t="n">
        <x:v>23.0123639</x:v>
      </x:c>
      <x:c r="L308" s="21" t="n">
        <x:f>6371*ACOS(MIN(1,COS(F308*PI()/180)*COS(K308*PI()/180)*COS((J308-E308)*PI()/180)+SIN(F308*PI()/180)*SIN(K308*PI()/180)))</x:f>
        <x:v>564.9997631187175</x:v>
      </x:c>
      <x:c r="M308" s="21" t="n">
        <x:f>L308*'情景参数模板'!$D$31</x:f>
        <x:v>677.999715742461</x:v>
      </x:c>
      <x:c r="N308" s="21" t="n">
        <x:f>IF(C308="source",'情景参数模板'!$D$12,IF(H308="echelon",'情景参数模板'!$D$13,'情景参数模板'!$D$14))</x:f>
        <x:v>0.49</x:v>
      </x:c>
      <x:c r="O308" s="21" t="n">
        <x:f>IF(C308="source",'情景参数模板'!$D$18,IF(H308="echelon",'情景参数模板'!$D$19,'情景参数模板'!$D$20))</x:f>
        <x:v>150</x:v>
      </x:c>
      <x:c r="P308" s="17" t="n">
        <x:f>IF(M308&lt;=O308,1,0)</x:f>
        <x:v>0</x:v>
      </x:c>
      <x:c r="Q308" s="17" t="str">
        <x:v>D-road proxy; B-coordinates</x:v>
      </x:c>
    </x:row>
    <x:row r="309">
      <x:c r="A309" s="17" t="str">
        <x:v>A0305</x:v>
      </x:c>
      <x:c r="B309" s="17" t="str">
        <x:v>GD15</x:v>
      </x:c>
      <x:c r="C309" s="17" t="str">
        <x:v>source</x:v>
      </x:c>
      <x:c r="D309" s="17" t="str">
        <x:v>湛江</x:v>
      </x:c>
      <x:c r="E309" s="24" t="n">
        <x:v>110.3548318</x:v>
      </x:c>
      <x:c r="F309" s="24" t="n">
        <x:v>21.2737079</x:v>
      </x:c>
      <x:c r="G309" s="17" t="str">
        <x:v>C11</x:v>
      </x:c>
      <x:c r="H309" s="17" t="str">
        <x:v>collection</x:v>
      </x:c>
      <x:c r="I309" s="17" t="str">
        <x:v>东莞虚拟回收/检测中心</x:v>
      </x:c>
      <x:c r="J309" s="24" t="n">
        <x:v>113.7452332</x:v>
      </x:c>
      <x:c r="K309" s="24" t="n">
        <x:v>23.0183568</x:v>
      </x:c>
      <x:c r="L309" s="21" t="n">
        <x:f>6371*ACOS(MIN(1,COS(F309*PI()/180)*COS(K309*PI()/180)*COS((J309-E309)*PI()/180)+SIN(F309*PI()/180)*SIN(K309*PI()/180)))</x:f>
        <x:v>399.42971195966777</x:v>
      </x:c>
      <x:c r="M309" s="21" t="n">
        <x:f>L309*'情景参数模板'!$D$31</x:f>
        <x:v>479.3156543516013</x:v>
      </x:c>
      <x:c r="N309" s="21" t="n">
        <x:f>IF(C309="source",'情景参数模板'!$D$12,IF(H309="echelon",'情景参数模板'!$D$13,'情景参数模板'!$D$14))</x:f>
        <x:v>0.49</x:v>
      </x:c>
      <x:c r="O309" s="21" t="n">
        <x:f>IF(C309="source",'情景参数模板'!$D$18,IF(H309="echelon",'情景参数模板'!$D$19,'情景参数模板'!$D$20))</x:f>
        <x:v>150</x:v>
      </x:c>
      <x:c r="P309" s="17" t="n">
        <x:f>IF(M309&lt;=O309,1,0)</x:f>
        <x:v>0</x:v>
      </x:c>
      <x:c r="Q309" s="17" t="str">
        <x:v>D-road proxy; B-coordinates</x:v>
      </x:c>
    </x:row>
    <x:row r="310">
      <x:c r="A310" s="17" t="str">
        <x:v>A0306</x:v>
      </x:c>
      <x:c r="B310" s="17" t="str">
        <x:v>GD15</x:v>
      </x:c>
      <x:c r="C310" s="17" t="str">
        <x:v>source</x:v>
      </x:c>
      <x:c r="D310" s="17" t="str">
        <x:v>湛江</x:v>
      </x:c>
      <x:c r="E310" s="24" t="n">
        <x:v>110.3548318</x:v>
      </x:c>
      <x:c r="F310" s="24" t="n">
        <x:v>21.2737079</x:v>
      </x:c>
      <x:c r="G310" s="17" t="str">
        <x:v>C12</x:v>
      </x:c>
      <x:c r="H310" s="17" t="str">
        <x:v>collection</x:v>
      </x:c>
      <x:c r="I310" s="17" t="str">
        <x:v>中山虚拟回收/检测中心</x:v>
      </x:c>
      <x:c r="J310" s="24" t="n">
        <x:v>113.3872302</x:v>
      </x:c>
      <x:c r="K310" s="24" t="n">
        <x:v>22.5197073</x:v>
      </x:c>
      <x:c r="L310" s="21" t="n">
        <x:f>6371*ACOS(MIN(1,COS(F310*PI()/180)*COS(K310*PI()/180)*COS((J310-E310)*PI()/180)+SIN(F310*PI()/180)*SIN(K310*PI()/180)))</x:f>
        <x:v>342.1540599613105</x:v>
      </x:c>
      <x:c r="M310" s="21" t="n">
        <x:f>L310*'情景参数模板'!$D$31</x:f>
        <x:v>410.5848719535726</x:v>
      </x:c>
      <x:c r="N310" s="21" t="n">
        <x:f>IF(C310="source",'情景参数模板'!$D$12,IF(H310="echelon",'情景参数模板'!$D$13,'情景参数模板'!$D$14))</x:f>
        <x:v>0.49</x:v>
      </x:c>
      <x:c r="O310" s="21" t="n">
        <x:f>IF(C310="source",'情景参数模板'!$D$18,IF(H310="echelon",'情景参数模板'!$D$19,'情景参数模板'!$D$20))</x:f>
        <x:v>150</x:v>
      </x:c>
      <x:c r="P310" s="17" t="n">
        <x:f>IF(M310&lt;=O310,1,0)</x:f>
        <x:v>0</x:v>
      </x:c>
      <x:c r="Q310" s="17" t="str">
        <x:v>D-road proxy; B-coordinates</x:v>
      </x:c>
    </x:row>
    <x:row r="311">
      <x:c r="A311" s="17" t="str">
        <x:v>A0307</x:v>
      </x:c>
      <x:c r="B311" s="17" t="str">
        <x:v>GD15</x:v>
      </x:c>
      <x:c r="C311" s="17" t="str">
        <x:v>source</x:v>
      </x:c>
      <x:c r="D311" s="17" t="str">
        <x:v>湛江</x:v>
      </x:c>
      <x:c r="E311" s="24" t="n">
        <x:v>110.3548318</x:v>
      </x:c>
      <x:c r="F311" s="24" t="n">
        <x:v>21.2737079</x:v>
      </x:c>
      <x:c r="G311" s="17" t="str">
        <x:v>C13</x:v>
      </x:c>
      <x:c r="H311" s="17" t="str">
        <x:v>collection</x:v>
      </x:c>
      <x:c r="I311" s="17" t="str">
        <x:v>江门虚拟回收/检测中心</x:v>
      </x:c>
      <x:c r="J311" s="24" t="n">
        <x:v>113.0761073</x:v>
      </x:c>
      <x:c r="K311" s="24" t="n">
        <x:v>22.5816619</x:v>
      </x:c>
      <x:c r="L311" s="21" t="n">
        <x:f>6371*ACOS(MIN(1,COS(F311*PI()/180)*COS(K311*PI()/180)*COS((J311-E311)*PI()/180)+SIN(F311*PI()/180)*SIN(K311*PI()/180)))</x:f>
        <x:v>316.1300829743287</x:v>
      </x:c>
      <x:c r="M311" s="21" t="n">
        <x:f>L311*'情景参数模板'!$D$31</x:f>
        <x:v>379.3560995691944</x:v>
      </x:c>
      <x:c r="N311" s="21" t="n">
        <x:f>IF(C311="source",'情景参数模板'!$D$12,IF(H311="echelon",'情景参数模板'!$D$13,'情景参数模板'!$D$14))</x:f>
        <x:v>0.49</x:v>
      </x:c>
      <x:c r="O311" s="21" t="n">
        <x:f>IF(C311="source",'情景参数模板'!$D$18,IF(H311="echelon",'情景参数模板'!$D$19,'情景参数模板'!$D$20))</x:f>
        <x:v>150</x:v>
      </x:c>
      <x:c r="P311" s="17" t="n">
        <x:f>IF(M311&lt;=O311,1,0)</x:f>
        <x:v>0</x:v>
      </x:c>
      <x:c r="Q311" s="17" t="str">
        <x:v>D-road proxy; B-coordinates</x:v>
      </x:c>
    </x:row>
    <x:row r="312">
      <x:c r="A312" s="17" t="str">
        <x:v>A0308</x:v>
      </x:c>
      <x:c r="B312" s="17" t="str">
        <x:v>GD15</x:v>
      </x:c>
      <x:c r="C312" s="17" t="str">
        <x:v>source</x:v>
      </x:c>
      <x:c r="D312" s="17" t="str">
        <x:v>湛江</x:v>
      </x:c>
      <x:c r="E312" s="24" t="n">
        <x:v>110.3548318</x:v>
      </x:c>
      <x:c r="F312" s="24" t="n">
        <x:v>21.2737079</x:v>
      </x:c>
      <x:c r="G312" s="17" t="str">
        <x:v>C14</x:v>
      </x:c>
      <x:c r="H312" s="17" t="str">
        <x:v>collection</x:v>
      </x:c>
      <x:c r="I312" s="17" t="str">
        <x:v>阳江虚拟回收/检测中心</x:v>
      </x:c>
      <x:c r="J312" s="24" t="n">
        <x:v>111.7831393</x:v>
      </x:c>
      <x:c r="K312" s="24" t="n">
        <x:v>22.0958223</x:v>
      </x:c>
      <x:c r="L312" s="21" t="n">
        <x:f>6371*ACOS(MIN(1,COS(F312*PI()/180)*COS(K312*PI()/180)*COS((J312-E312)*PI()/180)+SIN(F312*PI()/180)*SIN(K312*PI()/180)))</x:f>
        <x:v>173.59759775337977</x:v>
      </x:c>
      <x:c r="M312" s="21" t="n">
        <x:f>L312*'情景参数模板'!$D$31</x:f>
        <x:v>208.31711730405573</x:v>
      </x:c>
      <x:c r="N312" s="21" t="n">
        <x:f>IF(C312="source",'情景参数模板'!$D$12,IF(H312="echelon",'情景参数模板'!$D$13,'情景参数模板'!$D$14))</x:f>
        <x:v>0.49</x:v>
      </x:c>
      <x:c r="O312" s="21" t="n">
        <x:f>IF(C312="source",'情景参数模板'!$D$18,IF(H312="echelon",'情景参数模板'!$D$19,'情景参数模板'!$D$20))</x:f>
        <x:v>150</x:v>
      </x:c>
      <x:c r="P312" s="17" t="n">
        <x:f>IF(M312&lt;=O312,1,0)</x:f>
        <x:v>0</x:v>
      </x:c>
      <x:c r="Q312" s="17" t="str">
        <x:v>D-road proxy; B-coordinates</x:v>
      </x:c>
    </x:row>
    <x:row r="313">
      <x:c r="A313" s="17" t="str">
        <x:v>A0309</x:v>
      </x:c>
      <x:c r="B313" s="17" t="str">
        <x:v>GD15</x:v>
      </x:c>
      <x:c r="C313" s="17" t="str">
        <x:v>source</x:v>
      </x:c>
      <x:c r="D313" s="17" t="str">
        <x:v>湛江</x:v>
      </x:c>
      <x:c r="E313" s="24" t="n">
        <x:v>110.3548318</x:v>
      </x:c>
      <x:c r="F313" s="24" t="n">
        <x:v>21.2737079</x:v>
      </x:c>
      <x:c r="G313" s="17" t="str">
        <x:v>C15</x:v>
      </x:c>
      <x:c r="H313" s="17" t="str">
        <x:v>collection</x:v>
      </x:c>
      <x:c r="I313" s="17" t="str">
        <x:v>湛江虚拟回收/检测中心</x:v>
      </x:c>
      <x:c r="J313" s="24" t="n">
        <x:v>110.3548318</x:v>
      </x:c>
      <x:c r="K313" s="24" t="n">
        <x:v>21.2737079</x:v>
      </x:c>
      <x:c r="L313" s="21" t="n">
        <x:f>6371*ACOS(MIN(1,COS(F313*PI()/180)*COS(K313*PI()/180)*COS((J313-E313)*PI()/180)+SIN(F313*PI()/180)*SIN(K313*PI()/180)))</x:f>
        <x:v>0</x:v>
      </x:c>
      <x:c r="M313" s="21" t="n">
        <x:f>L313*'情景参数模板'!$D$31</x:f>
        <x:v>0</x:v>
      </x:c>
      <x:c r="N313" s="21" t="n">
        <x:f>IF(C313="source",'情景参数模板'!$D$12,IF(H313="echelon",'情景参数模板'!$D$13,'情景参数模板'!$D$14))</x:f>
        <x:v>0.49</x:v>
      </x:c>
      <x:c r="O313" s="21" t="n">
        <x:f>IF(C313="source",'情景参数模板'!$D$18,IF(H313="echelon",'情景参数模板'!$D$19,'情景参数模板'!$D$20))</x:f>
        <x:v>150</x:v>
      </x:c>
      <x:c r="P313" s="17" t="n">
        <x:f>IF(M313&lt;=O313,1,0)</x:f>
        <x:v>1</x:v>
      </x:c>
      <x:c r="Q313" s="17" t="str">
        <x:v>D-road proxy; B-coordinates</x:v>
      </x:c>
    </x:row>
    <x:row r="314">
      <x:c r="A314" s="17" t="str">
        <x:v>A0310</x:v>
      </x:c>
      <x:c r="B314" s="17" t="str">
        <x:v>GD15</x:v>
      </x:c>
      <x:c r="C314" s="17" t="str">
        <x:v>source</x:v>
      </x:c>
      <x:c r="D314" s="17" t="str">
        <x:v>湛江</x:v>
      </x:c>
      <x:c r="E314" s="24" t="n">
        <x:v>110.3548318</x:v>
      </x:c>
      <x:c r="F314" s="24" t="n">
        <x:v>21.2737079</x:v>
      </x:c>
      <x:c r="G314" s="17" t="str">
        <x:v>C16</x:v>
      </x:c>
      <x:c r="H314" s="17" t="str">
        <x:v>collection</x:v>
      </x:c>
      <x:c r="I314" s="17" t="str">
        <x:v>茂名虚拟回收/检测中心</x:v>
      </x:c>
      <x:c r="J314" s="24" t="n">
        <x:v>110.9209511</x:v>
      </x:c>
      <x:c r="K314" s="24" t="n">
        <x:v>21.6656961</x:v>
      </x:c>
      <x:c r="L314" s="21" t="n">
        <x:f>6371*ACOS(MIN(1,COS(F314*PI()/180)*COS(K314*PI()/180)*COS((J314-E314)*PI()/180)+SIN(F314*PI()/180)*SIN(K314*PI()/180)))</x:f>
        <x:v>73.017913774945</x:v>
      </x:c>
      <x:c r="M314" s="21" t="n">
        <x:f>L314*'情景参数模板'!$D$31</x:f>
        <x:v>87.62149652993399</x:v>
      </x:c>
      <x:c r="N314" s="21" t="n">
        <x:f>IF(C314="source",'情景参数模板'!$D$12,IF(H314="echelon",'情景参数模板'!$D$13,'情景参数模板'!$D$14))</x:f>
        <x:v>0.49</x:v>
      </x:c>
      <x:c r="O314" s="21" t="n">
        <x:f>IF(C314="source",'情景参数模板'!$D$18,IF(H314="echelon",'情景参数模板'!$D$19,'情景参数模板'!$D$20))</x:f>
        <x:v>150</x:v>
      </x:c>
      <x:c r="P314" s="17" t="n">
        <x:f>IF(M314&lt;=O314,1,0)</x:f>
        <x:v>1</x:v>
      </x:c>
      <x:c r="Q314" s="17" t="str">
        <x:v>D-road proxy; B-coordinates</x:v>
      </x:c>
    </x:row>
    <x:row r="315">
      <x:c r="A315" s="17" t="str">
        <x:v>A0311</x:v>
      </x:c>
      <x:c r="B315" s="17" t="str">
        <x:v>GD15</x:v>
      </x:c>
      <x:c r="C315" s="17" t="str">
        <x:v>source</x:v>
      </x:c>
      <x:c r="D315" s="17" t="str">
        <x:v>湛江</x:v>
      </x:c>
      <x:c r="E315" s="24" t="n">
        <x:v>110.3548318</x:v>
      </x:c>
      <x:c r="F315" s="24" t="n">
        <x:v>21.2737079</x:v>
      </x:c>
      <x:c r="G315" s="17" t="str">
        <x:v>C17</x:v>
      </x:c>
      <x:c r="H315" s="17" t="str">
        <x:v>collection</x:v>
      </x:c>
      <x:c r="I315" s="17" t="str">
        <x:v>肇庆虚拟回收/检测中心</x:v>
      </x:c>
      <x:c r="J315" s="24" t="n">
        <x:v>112.4603629</x:v>
      </x:c>
      <x:c r="K315" s="24" t="n">
        <x:v>23.0501661</x:v>
      </x:c>
      <x:c r="L315" s="21" t="n">
        <x:f>6371*ACOS(MIN(1,COS(F315*PI()/180)*COS(K315*PI()/180)*COS((J315-E315)*PI()/180)+SIN(F315*PI()/180)*SIN(K315*PI()/180)))</x:f>
        <x:v>293.3038557955491</x:v>
      </x:c>
      <x:c r="M315" s="21" t="n">
        <x:f>L315*'情景参数模板'!$D$31</x:f>
        <x:v>351.9646269546589</x:v>
      </x:c>
      <x:c r="N315" s="21" t="n">
        <x:f>IF(C315="source",'情景参数模板'!$D$12,IF(H315="echelon",'情景参数模板'!$D$13,'情景参数模板'!$D$14))</x:f>
        <x:v>0.49</x:v>
      </x:c>
      <x:c r="O315" s="21" t="n">
        <x:f>IF(C315="source",'情景参数模板'!$D$18,IF(H315="echelon",'情景参数模板'!$D$19,'情景参数模板'!$D$20))</x:f>
        <x:v>150</x:v>
      </x:c>
      <x:c r="P315" s="17" t="n">
        <x:f>IF(M315&lt;=O315,1,0)</x:f>
        <x:v>0</x:v>
      </x:c>
      <x:c r="Q315" s="17" t="str">
        <x:v>D-road proxy; B-coordinates</x:v>
      </x:c>
    </x:row>
    <x:row r="316">
      <x:c r="A316" s="17" t="str">
        <x:v>A0312</x:v>
      </x:c>
      <x:c r="B316" s="17" t="str">
        <x:v>GD15</x:v>
      </x:c>
      <x:c r="C316" s="17" t="str">
        <x:v>source</x:v>
      </x:c>
      <x:c r="D316" s="17" t="str">
        <x:v>湛江</x:v>
      </x:c>
      <x:c r="E316" s="24" t="n">
        <x:v>110.3548318</x:v>
      </x:c>
      <x:c r="F316" s="24" t="n">
        <x:v>21.2737079</x:v>
      </x:c>
      <x:c r="G316" s="17" t="str">
        <x:v>C18</x:v>
      </x:c>
      <x:c r="H316" s="17" t="str">
        <x:v>collection</x:v>
      </x:c>
      <x:c r="I316" s="17" t="str">
        <x:v>清远虚拟回收/检测中心</x:v>
      </x:c>
      <x:c r="J316" s="24" t="n">
        <x:v>113.0505994</x:v>
      </x:c>
      <x:c r="K316" s="24" t="n">
        <x:v>23.6832984</x:v>
      </x:c>
      <x:c r="L316" s="21" t="n">
        <x:f>6371*ACOS(MIN(1,COS(F316*PI()/180)*COS(K316*PI()/180)*COS((J316-E316)*PI()/180)+SIN(F316*PI()/180)*SIN(K316*PI()/180)))</x:f>
        <x:v>385.34157769899264</x:v>
      </x:c>
      <x:c r="M316" s="21" t="n">
        <x:f>L316*'情景参数模板'!$D$31</x:f>
        <x:v>462.40989323879114</x:v>
      </x:c>
      <x:c r="N316" s="21" t="n">
        <x:f>IF(C316="source",'情景参数模板'!$D$12,IF(H316="echelon",'情景参数模板'!$D$13,'情景参数模板'!$D$14))</x:f>
        <x:v>0.49</x:v>
      </x:c>
      <x:c r="O316" s="21" t="n">
        <x:f>IF(C316="source",'情景参数模板'!$D$18,IF(H316="echelon",'情景参数模板'!$D$19,'情景参数模板'!$D$20))</x:f>
        <x:v>150</x:v>
      </x:c>
      <x:c r="P316" s="17" t="n">
        <x:f>IF(M316&lt;=O316,1,0)</x:f>
        <x:v>0</x:v>
      </x:c>
      <x:c r="Q316" s="17" t="str">
        <x:v>D-road proxy; B-coordinates</x:v>
      </x:c>
    </x:row>
    <x:row r="317">
      <x:c r="A317" s="17" t="str">
        <x:v>A0313</x:v>
      </x:c>
      <x:c r="B317" s="17" t="str">
        <x:v>GD15</x:v>
      </x:c>
      <x:c r="C317" s="17" t="str">
        <x:v>source</x:v>
      </x:c>
      <x:c r="D317" s="17" t="str">
        <x:v>湛江</x:v>
      </x:c>
      <x:c r="E317" s="24" t="n">
        <x:v>110.3548318</x:v>
      </x:c>
      <x:c r="F317" s="24" t="n">
        <x:v>21.2737079</x:v>
      </x:c>
      <x:c r="G317" s="17" t="str">
        <x:v>C19</x:v>
      </x:c>
      <x:c r="H317" s="17" t="str">
        <x:v>collection</x:v>
      </x:c>
      <x:c r="I317" s="17" t="str">
        <x:v>潮州虚拟回收/检测中心</x:v>
      </x:c>
      <x:c r="J317" s="24" t="n">
        <x:v>116.6204223</x:v>
      </x:c>
      <x:c r="K317" s="24" t="n">
        <x:v>23.656593</x:v>
      </x:c>
      <x:c r="L317" s="21" t="n">
        <x:f>6371*ACOS(MIN(1,COS(F317*PI()/180)*COS(K317*PI()/180)*COS((J317-E317)*PI()/180)+SIN(F317*PI()/180)*SIN(K317*PI()/180)))</x:f>
        <x:v>696.1130775866975</x:v>
      </x:c>
      <x:c r="M317" s="21" t="n">
        <x:f>L317*'情景参数模板'!$D$31</x:f>
        <x:v>835.335693104037</x:v>
      </x:c>
      <x:c r="N317" s="21" t="n">
        <x:f>IF(C317="source",'情景参数模板'!$D$12,IF(H317="echelon",'情景参数模板'!$D$13,'情景参数模板'!$D$14))</x:f>
        <x:v>0.49</x:v>
      </x:c>
      <x:c r="O317" s="21" t="n">
        <x:f>IF(C317="source",'情景参数模板'!$D$18,IF(H317="echelon",'情景参数模板'!$D$19,'情景参数模板'!$D$20))</x:f>
        <x:v>150</x:v>
      </x:c>
      <x:c r="P317" s="17" t="n">
        <x:f>IF(M317&lt;=O317,1,0)</x:f>
        <x:v>0</x:v>
      </x:c>
      <x:c r="Q317" s="17" t="str">
        <x:v>D-road proxy; B-coordinates</x:v>
      </x:c>
    </x:row>
    <x:row r="318">
      <x:c r="A318" s="17" t="str">
        <x:v>A0314</x:v>
      </x:c>
      <x:c r="B318" s="17" t="str">
        <x:v>GD15</x:v>
      </x:c>
      <x:c r="C318" s="17" t="str">
        <x:v>source</x:v>
      </x:c>
      <x:c r="D318" s="17" t="str">
        <x:v>湛江</x:v>
      </x:c>
      <x:c r="E318" s="24" t="n">
        <x:v>110.3548318</x:v>
      </x:c>
      <x:c r="F318" s="24" t="n">
        <x:v>21.2737079</x:v>
      </x:c>
      <x:c r="G318" s="17" t="str">
        <x:v>C20</x:v>
      </x:c>
      <x:c r="H318" s="17" t="str">
        <x:v>collection</x:v>
      </x:c>
      <x:c r="I318" s="17" t="str">
        <x:v>揭阳虚拟回收/检测中心</x:v>
      </x:c>
      <x:c r="J318" s="24" t="n">
        <x:v>116.3680354</x:v>
      </x:c>
      <x:c r="K318" s="24" t="n">
        <x:v>23.553156</x:v>
      </x:c>
      <x:c r="L318" s="21" t="n">
        <x:f>6371*ACOS(MIN(1,COS(F318*PI()/180)*COS(K318*PI()/180)*COS((J318-E318)*PI()/180)+SIN(F318*PI()/180)*SIN(K318*PI()/180)))</x:f>
        <x:v>667.9796927972593</x:v>
      </x:c>
      <x:c r="M318" s="21" t="n">
        <x:f>L318*'情景参数模板'!$D$31</x:f>
        <x:v>801.5756313567111</x:v>
      </x:c>
      <x:c r="N318" s="21" t="n">
        <x:f>IF(C318="source",'情景参数模板'!$D$12,IF(H318="echelon",'情景参数模板'!$D$13,'情景参数模板'!$D$14))</x:f>
        <x:v>0.49</x:v>
      </x:c>
      <x:c r="O318" s="21" t="n">
        <x:f>IF(C318="source",'情景参数模板'!$D$18,IF(H318="echelon",'情景参数模板'!$D$19,'情景参数模板'!$D$20))</x:f>
        <x:v>150</x:v>
      </x:c>
      <x:c r="P318" s="17" t="n">
        <x:f>IF(M318&lt;=O318,1,0)</x:f>
        <x:v>0</x:v>
      </x:c>
      <x:c r="Q318" s="17" t="str">
        <x:v>D-road proxy; B-coordinates</x:v>
      </x:c>
    </x:row>
    <x:row r="319">
      <x:c r="A319" s="17" t="str">
        <x:v>A0315</x:v>
      </x:c>
      <x:c r="B319" s="17" t="str">
        <x:v>GD15</x:v>
      </x:c>
      <x:c r="C319" s="17" t="str">
        <x:v>source</x:v>
      </x:c>
      <x:c r="D319" s="17" t="str">
        <x:v>湛江</x:v>
      </x:c>
      <x:c r="E319" s="24" t="n">
        <x:v>110.3548318</x:v>
      </x:c>
      <x:c r="F319" s="24" t="n">
        <x:v>21.2737079</x:v>
      </x:c>
      <x:c r="G319" s="17" t="str">
        <x:v>C21</x:v>
      </x:c>
      <x:c r="H319" s="17" t="str">
        <x:v>collection</x:v>
      </x:c>
      <x:c r="I319" s="17" t="str">
        <x:v>云浮虚拟回收/检测中心</x:v>
      </x:c>
      <x:c r="J319" s="24" t="n">
        <x:v>111.8078586</x:v>
      </x:c>
      <x:c r="K319" s="24" t="n">
        <x:v>22.8546663</x:v>
      </x:c>
      <x:c r="L319" s="21" t="n">
        <x:f>6371*ACOS(MIN(1,COS(F319*PI()/180)*COS(K319*PI()/180)*COS((J319-E319)*PI()/180)+SIN(F319*PI()/180)*SIN(K319*PI()/180)))</x:f>
        <x:v>230.91652154760476</x:v>
      </x:c>
      <x:c r="M319" s="21" t="n">
        <x:f>L319*'情景参数模板'!$D$31</x:f>
        <x:v>277.0998258571257</x:v>
      </x:c>
      <x:c r="N319" s="21" t="n">
        <x:f>IF(C319="source",'情景参数模板'!$D$12,IF(H319="echelon",'情景参数模板'!$D$13,'情景参数模板'!$D$14))</x:f>
        <x:v>0.49</x:v>
      </x:c>
      <x:c r="O319" s="21" t="n">
        <x:f>IF(C319="source",'情景参数模板'!$D$18,IF(H319="echelon",'情景参数模板'!$D$19,'情景参数模板'!$D$20))</x:f>
        <x:v>150</x:v>
      </x:c>
      <x:c r="P319" s="17" t="n">
        <x:f>IF(M319&lt;=O319,1,0)</x:f>
        <x:v>0</x:v>
      </x:c>
      <x:c r="Q319" s="17" t="str">
        <x:v>D-road proxy; B-coordinates</x:v>
      </x:c>
    </x:row>
    <x:row r="320">
      <x:c r="A320" s="17" t="str">
        <x:v>A0316</x:v>
      </x:c>
      <x:c r="B320" s="17" t="str">
        <x:v>GD16</x:v>
      </x:c>
      <x:c r="C320" s="17" t="str">
        <x:v>source</x:v>
      </x:c>
      <x:c r="D320" s="17" t="str">
        <x:v>茂名</x:v>
      </x:c>
      <x:c r="E320" s="24" t="n">
        <x:v>110.9209511</x:v>
      </x:c>
      <x:c r="F320" s="24" t="n">
        <x:v>21.6656961</x:v>
      </x:c>
      <x:c r="G320" s="17" t="str">
        <x:v>C01</x:v>
      </x:c>
      <x:c r="H320" s="17" t="str">
        <x:v>collection</x:v>
      </x:c>
      <x:c r="I320" s="17" t="str">
        <x:v>广州虚拟回收/检测中心</x:v>
      </x:c>
      <x:c r="J320" s="24" t="n">
        <x:v>113.2589581</x:v>
      </x:c>
      <x:c r="K320" s="24" t="n">
        <x:v>23.1288429</x:v>
      </x:c>
      <x:c r="L320" s="21" t="n">
        <x:f>6371*ACOS(MIN(1,COS(F320*PI()/180)*COS(K320*PI()/180)*COS((J320-E320)*PI()/180)+SIN(F320*PI()/180)*SIN(K320*PI()/180)))</x:f>
        <x:v>290.23788677814406</x:v>
      </x:c>
      <x:c r="M320" s="21" t="n">
        <x:f>L320*'情景参数模板'!$D$31</x:f>
        <x:v>348.28546413377285</x:v>
      </x:c>
      <x:c r="N320" s="21" t="n">
        <x:f>IF(C320="source",'情景参数模板'!$D$12,IF(H320="echelon",'情景参数模板'!$D$13,'情景参数模板'!$D$14))</x:f>
        <x:v>0.49</x:v>
      </x:c>
      <x:c r="O320" s="21" t="n">
        <x:f>IF(C320="source",'情景参数模板'!$D$18,IF(H320="echelon",'情景参数模板'!$D$19,'情景参数模板'!$D$20))</x:f>
        <x:v>150</x:v>
      </x:c>
      <x:c r="P320" s="17" t="n">
        <x:f>IF(M320&lt;=O320,1,0)</x:f>
        <x:v>0</x:v>
      </x:c>
      <x:c r="Q320" s="17" t="str">
        <x:v>D-road proxy; B-coordinates</x:v>
      </x:c>
    </x:row>
    <x:row r="321">
      <x:c r="A321" s="17" t="str">
        <x:v>A0317</x:v>
      </x:c>
      <x:c r="B321" s="17" t="str">
        <x:v>GD16</x:v>
      </x:c>
      <x:c r="C321" s="17" t="str">
        <x:v>source</x:v>
      </x:c>
      <x:c r="D321" s="17" t="str">
        <x:v>茂名</x:v>
      </x:c>
      <x:c r="E321" s="24" t="n">
        <x:v>110.9209511</x:v>
      </x:c>
      <x:c r="F321" s="24" t="n">
        <x:v>21.6656961</x:v>
      </x:c>
      <x:c r="G321" s="17" t="str">
        <x:v>C02</x:v>
      </x:c>
      <x:c r="H321" s="17" t="str">
        <x:v>collection</x:v>
      </x:c>
      <x:c r="I321" s="17" t="str">
        <x:v>深圳虚拟回收/检测中心</x:v>
      </x:c>
      <x:c r="J321" s="24" t="n">
        <x:v>114.0545429</x:v>
      </x:c>
      <x:c r="K321" s="24" t="n">
        <x:v>22.5445741</x:v>
      </x:c>
      <x:c r="L321" s="21" t="n">
        <x:f>6371*ACOS(MIN(1,COS(F321*PI()/180)*COS(K321*PI()/180)*COS((J321-E321)*PI()/180)+SIN(F321*PI()/180)*SIN(K321*PI()/180)))</x:f>
        <x:v>337.2852485873363</x:v>
      </x:c>
      <x:c r="M321" s="21" t="n">
        <x:f>L321*'情景参数模板'!$D$31</x:f>
        <x:v>404.74229830480357</x:v>
      </x:c>
      <x:c r="N321" s="21" t="n">
        <x:f>IF(C321="source",'情景参数模板'!$D$12,IF(H321="echelon",'情景参数模板'!$D$13,'情景参数模板'!$D$14))</x:f>
        <x:v>0.49</x:v>
      </x:c>
      <x:c r="O321" s="21" t="n">
        <x:f>IF(C321="source",'情景参数模板'!$D$18,IF(H321="echelon",'情景参数模板'!$D$19,'情景参数模板'!$D$20))</x:f>
        <x:v>150</x:v>
      </x:c>
      <x:c r="P321" s="17" t="n">
        <x:f>IF(M321&lt;=O321,1,0)</x:f>
        <x:v>0</x:v>
      </x:c>
      <x:c r="Q321" s="17" t="str">
        <x:v>D-road proxy; B-coordinates</x:v>
      </x:c>
    </x:row>
    <x:row r="322">
      <x:c r="A322" s="17" t="str">
        <x:v>A0318</x:v>
      </x:c>
      <x:c r="B322" s="17" t="str">
        <x:v>GD16</x:v>
      </x:c>
      <x:c r="C322" s="17" t="str">
        <x:v>source</x:v>
      </x:c>
      <x:c r="D322" s="17" t="str">
        <x:v>茂名</x:v>
      </x:c>
      <x:c r="E322" s="24" t="n">
        <x:v>110.9209511</x:v>
      </x:c>
      <x:c r="F322" s="24" t="n">
        <x:v>21.6656961</x:v>
      </x:c>
      <x:c r="G322" s="17" t="str">
        <x:v>C03</x:v>
      </x:c>
      <x:c r="H322" s="17" t="str">
        <x:v>collection</x:v>
      </x:c>
      <x:c r="I322" s="17" t="str">
        <x:v>珠海虚拟回收/检测中心</x:v>
      </x:c>
      <x:c r="J322" s="24" t="n">
        <x:v>113.5721327</x:v>
      </x:c>
      <x:c r="K322" s="24" t="n">
        <x:v>22.273734</x:v>
      </x:c>
      <x:c r="L322" s="21" t="n">
        <x:f>6371*ACOS(MIN(1,COS(F322*PI()/180)*COS(K322*PI()/180)*COS((J322-E322)*PI()/180)+SIN(F322*PI()/180)*SIN(K322*PI()/180)))</x:f>
        <x:v>281.6212285375003</x:v>
      </x:c>
      <x:c r="M322" s="21" t="n">
        <x:f>L322*'情景参数模板'!$D$31</x:f>
        <x:v>337.94547424500036</x:v>
      </x:c>
      <x:c r="N322" s="21" t="n">
        <x:f>IF(C322="source",'情景参数模板'!$D$12,IF(H322="echelon",'情景参数模板'!$D$13,'情景参数模板'!$D$14))</x:f>
        <x:v>0.49</x:v>
      </x:c>
      <x:c r="O322" s="21" t="n">
        <x:f>IF(C322="source",'情景参数模板'!$D$18,IF(H322="echelon",'情景参数模板'!$D$19,'情景参数模板'!$D$20))</x:f>
        <x:v>150</x:v>
      </x:c>
      <x:c r="P322" s="17" t="n">
        <x:f>IF(M322&lt;=O322,1,0)</x:f>
        <x:v>0</x:v>
      </x:c>
      <x:c r="Q322" s="17" t="str">
        <x:v>D-road proxy; B-coordinates</x:v>
      </x:c>
    </x:row>
    <x:row r="323">
      <x:c r="A323" s="17" t="str">
        <x:v>A0319</x:v>
      </x:c>
      <x:c r="B323" s="17" t="str">
        <x:v>GD16</x:v>
      </x:c>
      <x:c r="C323" s="17" t="str">
        <x:v>source</x:v>
      </x:c>
      <x:c r="D323" s="17" t="str">
        <x:v>茂名</x:v>
      </x:c>
      <x:c r="E323" s="24" t="n">
        <x:v>110.9209511</x:v>
      </x:c>
      <x:c r="F323" s="24" t="n">
        <x:v>21.6656961</x:v>
      </x:c>
      <x:c r="G323" s="17" t="str">
        <x:v>C04</x:v>
      </x:c>
      <x:c r="H323" s="17" t="str">
        <x:v>collection</x:v>
      </x:c>
      <x:c r="I323" s="17" t="str">
        <x:v>汕头虚拟回收/检测中心</x:v>
      </x:c>
      <x:c r="J323" s="24" t="n">
        <x:v>116.6775856</x:v>
      </x:c>
      <x:c r="K323" s="24" t="n">
        <x:v>23.3563921</x:v>
      </x:c>
      <x:c r="L323" s="21" t="n">
        <x:f>6371*ACOS(MIN(1,COS(F323*PI()/180)*COS(K323*PI()/180)*COS((J323-E323)*PI()/180)+SIN(F323*PI()/180)*SIN(K323*PI()/180)))</x:f>
        <x:v>620.4348566157764</x:v>
      </x:c>
      <x:c r="M323" s="21" t="n">
        <x:f>L323*'情景参数模板'!$D$31</x:f>
        <x:v>744.5218279389317</x:v>
      </x:c>
      <x:c r="N323" s="21" t="n">
        <x:f>IF(C323="source",'情景参数模板'!$D$12,IF(H323="echelon",'情景参数模板'!$D$13,'情景参数模板'!$D$14))</x:f>
        <x:v>0.49</x:v>
      </x:c>
      <x:c r="O323" s="21" t="n">
        <x:f>IF(C323="source",'情景参数模板'!$D$18,IF(H323="echelon",'情景参数模板'!$D$19,'情景参数模板'!$D$20))</x:f>
        <x:v>150</x:v>
      </x:c>
      <x:c r="P323" s="17" t="n">
        <x:f>IF(M323&lt;=O323,1,0)</x:f>
        <x:v>0</x:v>
      </x:c>
      <x:c r="Q323" s="17" t="str">
        <x:v>D-road proxy; B-coordinates</x:v>
      </x:c>
    </x:row>
    <x:row r="324">
      <x:c r="A324" s="17" t="str">
        <x:v>A0320</x:v>
      </x:c>
      <x:c r="B324" s="17" t="str">
        <x:v>GD16</x:v>
      </x:c>
      <x:c r="C324" s="17" t="str">
        <x:v>source</x:v>
      </x:c>
      <x:c r="D324" s="17" t="str">
        <x:v>茂名</x:v>
      </x:c>
      <x:c r="E324" s="24" t="n">
        <x:v>110.9209511</x:v>
      </x:c>
      <x:c r="F324" s="24" t="n">
        <x:v>21.6656961</x:v>
      </x:c>
      <x:c r="G324" s="17" t="str">
        <x:v>C05</x:v>
      </x:c>
      <x:c r="H324" s="17" t="str">
        <x:v>collection</x:v>
      </x:c>
      <x:c r="I324" s="17" t="str">
        <x:v>佛山虚拟回收/检测中心</x:v>
      </x:c>
      <x:c r="J324" s="24" t="n">
        <x:v>113.1159558</x:v>
      </x:c>
      <x:c r="K324" s="24" t="n">
        <x:v>23.0239788</x:v>
      </x:c>
      <x:c r="L324" s="21" t="n">
        <x:f>6371*ACOS(MIN(1,COS(F324*PI()/180)*COS(K324*PI()/180)*COS((J324-E324)*PI()/180)+SIN(F324*PI()/180)*SIN(K324*PI()/180)))</x:f>
        <x:v>271.60321814176973</x:v>
      </x:c>
      <x:c r="M324" s="21" t="n">
        <x:f>L324*'情景参数模板'!$D$31</x:f>
        <x:v>325.92386177012366</x:v>
      </x:c>
      <x:c r="N324" s="21" t="n">
        <x:f>IF(C324="source",'情景参数模板'!$D$12,IF(H324="echelon",'情景参数模板'!$D$13,'情景参数模板'!$D$14))</x:f>
        <x:v>0.49</x:v>
      </x:c>
      <x:c r="O324" s="21" t="n">
        <x:f>IF(C324="source",'情景参数模板'!$D$18,IF(H324="echelon",'情景参数模板'!$D$19,'情景参数模板'!$D$20))</x:f>
        <x:v>150</x:v>
      </x:c>
      <x:c r="P324" s="17" t="n">
        <x:f>IF(M324&lt;=O324,1,0)</x:f>
        <x:v>0</x:v>
      </x:c>
      <x:c r="Q324" s="17" t="str">
        <x:v>D-road proxy; B-coordinates</x:v>
      </x:c>
    </x:row>
    <x:row r="325">
      <x:c r="A325" s="17" t="str">
        <x:v>A0321</x:v>
      </x:c>
      <x:c r="B325" s="17" t="str">
        <x:v>GD16</x:v>
      </x:c>
      <x:c r="C325" s="17" t="str">
        <x:v>source</x:v>
      </x:c>
      <x:c r="D325" s="17" t="str">
        <x:v>茂名</x:v>
      </x:c>
      <x:c r="E325" s="24" t="n">
        <x:v>110.9209511</x:v>
      </x:c>
      <x:c r="F325" s="24" t="n">
        <x:v>21.6656961</x:v>
      </x:c>
      <x:c r="G325" s="17" t="str">
        <x:v>C06</x:v>
      </x:c>
      <x:c r="H325" s="17" t="str">
        <x:v>collection</x:v>
      </x:c>
      <x:c r="I325" s="17" t="str">
        <x:v>韶关虚拟回收/检测中心</x:v>
      </x:c>
      <x:c r="J325" s="24" t="n">
        <x:v>113.8155263</x:v>
      </x:c>
      <x:c r="K325" s="24" t="n">
        <x:v>24.8309489</x:v>
      </x:c>
      <x:c r="L325" s="21" t="n">
        <x:f>6371*ACOS(MIN(1,COS(F325*PI()/180)*COS(K325*PI()/180)*COS((J325-E325)*PI()/180)+SIN(F325*PI()/180)*SIN(K325*PI()/180)))</x:f>
        <x:v>459.66654172601613</x:v>
      </x:c>
      <x:c r="M325" s="21" t="n">
        <x:f>L325*'情景参数模板'!$D$31</x:f>
        <x:v>551.5998500712193</x:v>
      </x:c>
      <x:c r="N325" s="21" t="n">
        <x:f>IF(C325="source",'情景参数模板'!$D$12,IF(H325="echelon",'情景参数模板'!$D$13,'情景参数模板'!$D$14))</x:f>
        <x:v>0.49</x:v>
      </x:c>
      <x:c r="O325" s="21" t="n">
        <x:f>IF(C325="source",'情景参数模板'!$D$18,IF(H325="echelon",'情景参数模板'!$D$19,'情景参数模板'!$D$20))</x:f>
        <x:v>150</x:v>
      </x:c>
      <x:c r="P325" s="17" t="n">
        <x:f>IF(M325&lt;=O325,1,0)</x:f>
        <x:v>0</x:v>
      </x:c>
      <x:c r="Q325" s="17" t="str">
        <x:v>D-road proxy; B-coordinates</x:v>
      </x:c>
    </x:row>
    <x:row r="326">
      <x:c r="A326" s="17" t="str">
        <x:v>A0322</x:v>
      </x:c>
      <x:c r="B326" s="17" t="str">
        <x:v>GD16</x:v>
      </x:c>
      <x:c r="C326" s="17" t="str">
        <x:v>source</x:v>
      </x:c>
      <x:c r="D326" s="17" t="str">
        <x:v>茂名</x:v>
      </x:c>
      <x:c r="E326" s="24" t="n">
        <x:v>110.9209511</x:v>
      </x:c>
      <x:c r="F326" s="24" t="n">
        <x:v>21.6656961</x:v>
      </x:c>
      <x:c r="G326" s="17" t="str">
        <x:v>C07</x:v>
      </x:c>
      <x:c r="H326" s="17" t="str">
        <x:v>collection</x:v>
      </x:c>
      <x:c r="I326" s="17" t="str">
        <x:v>河源虚拟回收/检测中心</x:v>
      </x:c>
      <x:c r="J326" s="24" t="n">
        <x:v>115.0577538</x:v>
      </x:c>
      <x:c r="K326" s="24" t="n">
        <x:v>24.1014769</x:v>
      </x:c>
      <x:c r="L326" s="21" t="n">
        <x:f>6371*ACOS(MIN(1,COS(F326*PI()/180)*COS(K326*PI()/180)*COS((J326-E326)*PI()/180)+SIN(F326*PI()/180)*SIN(K326*PI()/180)))</x:f>
        <x:v>502.8929784594784</x:v>
      </x:c>
      <x:c r="M326" s="21" t="n">
        <x:f>L326*'情景参数模板'!$D$31</x:f>
        <x:v>603.471574151374</x:v>
      </x:c>
      <x:c r="N326" s="21" t="n">
        <x:f>IF(C326="source",'情景参数模板'!$D$12,IF(H326="echelon",'情景参数模板'!$D$13,'情景参数模板'!$D$14))</x:f>
        <x:v>0.49</x:v>
      </x:c>
      <x:c r="O326" s="21" t="n">
        <x:f>IF(C326="source",'情景参数模板'!$D$18,IF(H326="echelon",'情景参数模板'!$D$19,'情景参数模板'!$D$20))</x:f>
        <x:v>150</x:v>
      </x:c>
      <x:c r="P326" s="17" t="n">
        <x:f>IF(M326&lt;=O326,1,0)</x:f>
        <x:v>0</x:v>
      </x:c>
      <x:c r="Q326" s="17" t="str">
        <x:v>D-road proxy; B-coordinates</x:v>
      </x:c>
    </x:row>
    <x:row r="327">
      <x:c r="A327" s="17" t="str">
        <x:v>A0323</x:v>
      </x:c>
      <x:c r="B327" s="17" t="str">
        <x:v>GD16</x:v>
      </x:c>
      <x:c r="C327" s="17" t="str">
        <x:v>source</x:v>
      </x:c>
      <x:c r="D327" s="17" t="str">
        <x:v>茂名</x:v>
      </x:c>
      <x:c r="E327" s="24" t="n">
        <x:v>110.9209511</x:v>
      </x:c>
      <x:c r="F327" s="24" t="n">
        <x:v>21.6656961</x:v>
      </x:c>
      <x:c r="G327" s="17" t="str">
        <x:v>C08</x:v>
      </x:c>
      <x:c r="H327" s="17" t="str">
        <x:v>collection</x:v>
      </x:c>
      <x:c r="I327" s="17" t="str">
        <x:v>梅州虚拟回收/检测中心</x:v>
      </x:c>
      <x:c r="J327" s="24" t="n">
        <x:v>116.1171428</x:v>
      </x:c>
      <x:c r="K327" s="24" t="n">
        <x:v>24.2918414</x:v>
      </x:c>
      <x:c r="L327" s="21" t="n">
        <x:f>6371*ACOS(MIN(1,COS(F327*PI()/180)*COS(K327*PI()/180)*COS((J327-E327)*PI()/180)+SIN(F327*PI()/180)*SIN(K327*PI()/180)))</x:f>
        <x:v>606.7362765416557</x:v>
      </x:c>
      <x:c r="M327" s="21" t="n">
        <x:f>L327*'情景参数模板'!$D$31</x:f>
        <x:v>728.0835318499868</x:v>
      </x:c>
      <x:c r="N327" s="21" t="n">
        <x:f>IF(C327="source",'情景参数模板'!$D$12,IF(H327="echelon",'情景参数模板'!$D$13,'情景参数模板'!$D$14))</x:f>
        <x:v>0.49</x:v>
      </x:c>
      <x:c r="O327" s="21" t="n">
        <x:f>IF(C327="source",'情景参数模板'!$D$18,IF(H327="echelon",'情景参数模板'!$D$19,'情景参数模板'!$D$20))</x:f>
        <x:v>150</x:v>
      </x:c>
      <x:c r="P327" s="17" t="n">
        <x:f>IF(M327&lt;=O327,1,0)</x:f>
        <x:v>0</x:v>
      </x:c>
      <x:c r="Q327" s="17" t="str">
        <x:v>D-road proxy; B-coordinates</x:v>
      </x:c>
    </x:row>
    <x:row r="328">
      <x:c r="A328" s="17" t="str">
        <x:v>A0324</x:v>
      </x:c>
      <x:c r="B328" s="17" t="str">
        <x:v>GD16</x:v>
      </x:c>
      <x:c r="C328" s="17" t="str">
        <x:v>source</x:v>
      </x:c>
      <x:c r="D328" s="17" t="str">
        <x:v>茂名</x:v>
      </x:c>
      <x:c r="E328" s="24" t="n">
        <x:v>110.9209511</x:v>
      </x:c>
      <x:c r="F328" s="24" t="n">
        <x:v>21.6656961</x:v>
      </x:c>
      <x:c r="G328" s="17" t="str">
        <x:v>C09</x:v>
      </x:c>
      <x:c r="H328" s="17" t="str">
        <x:v>collection</x:v>
      </x:c>
      <x:c r="I328" s="17" t="str">
        <x:v>惠州虚拟回收/检测中心</x:v>
      </x:c>
      <x:c r="J328" s="24" t="n">
        <x:v>114.4127007</x:v>
      </x:c>
      <x:c r="K328" s="24" t="n">
        <x:v>23.1125153</x:v>
      </x:c>
      <x:c r="L328" s="21" t="n">
        <x:f>6371*ACOS(MIN(1,COS(F328*PI()/180)*COS(K328*PI()/180)*COS((J328-E328)*PI()/180)+SIN(F328*PI()/180)*SIN(K328*PI()/180)))</x:f>
        <x:v>393.3759625308256</x:v>
      </x:c>
      <x:c r="M328" s="21" t="n">
        <x:f>L328*'情景参数模板'!$D$31</x:f>
        <x:v>472.0511550369907</x:v>
      </x:c>
      <x:c r="N328" s="21" t="n">
        <x:f>IF(C328="source",'情景参数模板'!$D$12,IF(H328="echelon",'情景参数模板'!$D$13,'情景参数模板'!$D$14))</x:f>
        <x:v>0.49</x:v>
      </x:c>
      <x:c r="O328" s="21" t="n">
        <x:f>IF(C328="source",'情景参数模板'!$D$18,IF(H328="echelon",'情景参数模板'!$D$19,'情景参数模板'!$D$20))</x:f>
        <x:v>150</x:v>
      </x:c>
      <x:c r="P328" s="17" t="n">
        <x:f>IF(M328&lt;=O328,1,0)</x:f>
        <x:v>0</x:v>
      </x:c>
      <x:c r="Q328" s="17" t="str">
        <x:v>D-road proxy; B-coordinates</x:v>
      </x:c>
    </x:row>
    <x:row r="329">
      <x:c r="A329" s="17" t="str">
        <x:v>A0325</x:v>
      </x:c>
      <x:c r="B329" s="17" t="str">
        <x:v>GD16</x:v>
      </x:c>
      <x:c r="C329" s="17" t="str">
        <x:v>source</x:v>
      </x:c>
      <x:c r="D329" s="17" t="str">
        <x:v>茂名</x:v>
      </x:c>
      <x:c r="E329" s="24" t="n">
        <x:v>110.9209511</x:v>
      </x:c>
      <x:c r="F329" s="24" t="n">
        <x:v>21.6656961</x:v>
      </x:c>
      <x:c r="G329" s="17" t="str">
        <x:v>C10</x:v>
      </x:c>
      <x:c r="H329" s="17" t="str">
        <x:v>collection</x:v>
      </x:c>
      <x:c r="I329" s="17" t="str">
        <x:v>汕尾虚拟回收/检测中心</x:v>
      </x:c>
      <x:c r="J329" s="24" t="n">
        <x:v>115.5099937</x:v>
      </x:c>
      <x:c r="K329" s="24" t="n">
        <x:v>23.0123639</x:v>
      </x:c>
      <x:c r="L329" s="21" t="n">
        <x:f>6371*ACOS(MIN(1,COS(F329*PI()/180)*COS(K329*PI()/180)*COS((J329-E329)*PI()/180)+SIN(F329*PI()/180)*SIN(K329*PI()/180)))</x:f>
        <x:v>495.1338872559812</x:v>
      </x:c>
      <x:c r="M329" s="21" t="n">
        <x:f>L329*'情景参数模板'!$D$31</x:f>
        <x:v>594.1606647071775</x:v>
      </x:c>
      <x:c r="N329" s="21" t="n">
        <x:f>IF(C329="source",'情景参数模板'!$D$12,IF(H329="echelon",'情景参数模板'!$D$13,'情景参数模板'!$D$14))</x:f>
        <x:v>0.49</x:v>
      </x:c>
      <x:c r="O329" s="21" t="n">
        <x:f>IF(C329="source",'情景参数模板'!$D$18,IF(H329="echelon",'情景参数模板'!$D$19,'情景参数模板'!$D$20))</x:f>
        <x:v>150</x:v>
      </x:c>
      <x:c r="P329" s="17" t="n">
        <x:f>IF(M329&lt;=O329,1,0)</x:f>
        <x:v>0</x:v>
      </x:c>
      <x:c r="Q329" s="17" t="str">
        <x:v>D-road proxy; B-coordinates</x:v>
      </x:c>
    </x:row>
    <x:row r="330">
      <x:c r="A330" s="17" t="str">
        <x:v>A0326</x:v>
      </x:c>
      <x:c r="B330" s="17" t="str">
        <x:v>GD16</x:v>
      </x:c>
      <x:c r="C330" s="17" t="str">
        <x:v>source</x:v>
      </x:c>
      <x:c r="D330" s="17" t="str">
        <x:v>茂名</x:v>
      </x:c>
      <x:c r="E330" s="24" t="n">
        <x:v>110.9209511</x:v>
      </x:c>
      <x:c r="F330" s="24" t="n">
        <x:v>21.6656961</x:v>
      </x:c>
      <x:c r="G330" s="17" t="str">
        <x:v>C11</x:v>
      </x:c>
      <x:c r="H330" s="17" t="str">
        <x:v>collection</x:v>
      </x:c>
      <x:c r="I330" s="17" t="str">
        <x:v>东莞虚拟回收/检测中心</x:v>
      </x:c>
      <x:c r="J330" s="24" t="n">
        <x:v>113.7452332</x:v>
      </x:c>
      <x:c r="K330" s="24" t="n">
        <x:v>23.0183568</x:v>
      </x:c>
      <x:c r="L330" s="21" t="n">
        <x:f>6371*ACOS(MIN(1,COS(F330*PI()/180)*COS(K330*PI()/180)*COS((J330-E330)*PI()/180)+SIN(F330*PI()/180)*SIN(K330*PI()/180)))</x:f>
        <x:v>327.0898464197607</x:v>
      </x:c>
      <x:c r="M330" s="21" t="n">
        <x:f>L330*'情景参数模板'!$D$31</x:f>
        <x:v>392.5078157037128</x:v>
      </x:c>
      <x:c r="N330" s="21" t="n">
        <x:f>IF(C330="source",'情景参数模板'!$D$12,IF(H330="echelon",'情景参数模板'!$D$13,'情景参数模板'!$D$14))</x:f>
        <x:v>0.49</x:v>
      </x:c>
      <x:c r="O330" s="21" t="n">
        <x:f>IF(C330="source",'情景参数模板'!$D$18,IF(H330="echelon",'情景参数模板'!$D$19,'情景参数模板'!$D$20))</x:f>
        <x:v>150</x:v>
      </x:c>
      <x:c r="P330" s="17" t="n">
        <x:f>IF(M330&lt;=O330,1,0)</x:f>
        <x:v>0</x:v>
      </x:c>
      <x:c r="Q330" s="17" t="str">
        <x:v>D-road proxy; B-coordinates</x:v>
      </x:c>
    </x:row>
    <x:row r="331">
      <x:c r="A331" s="17" t="str">
        <x:v>A0327</x:v>
      </x:c>
      <x:c r="B331" s="17" t="str">
        <x:v>GD16</x:v>
      </x:c>
      <x:c r="C331" s="17" t="str">
        <x:v>source</x:v>
      </x:c>
      <x:c r="D331" s="17" t="str">
        <x:v>茂名</x:v>
      </x:c>
      <x:c r="E331" s="24" t="n">
        <x:v>110.9209511</x:v>
      </x:c>
      <x:c r="F331" s="24" t="n">
        <x:v>21.6656961</x:v>
      </x:c>
      <x:c r="G331" s="17" t="str">
        <x:v>C12</x:v>
      </x:c>
      <x:c r="H331" s="17" t="str">
        <x:v>collection</x:v>
      </x:c>
      <x:c r="I331" s="17" t="str">
        <x:v>中山虚拟回收/检测中心</x:v>
      </x:c>
      <x:c r="J331" s="24" t="n">
        <x:v>113.3872302</x:v>
      </x:c>
      <x:c r="K331" s="24" t="n">
        <x:v>22.5197073</x:v>
      </x:c>
      <x:c r="L331" s="21" t="n">
        <x:f>6371*ACOS(MIN(1,COS(F331*PI()/180)*COS(K331*PI()/180)*COS((J331-E331)*PI()/180)+SIN(F331*PI()/180)*SIN(K331*PI()/180)))</x:f>
        <x:v>271.26090740261486</x:v>
      </x:c>
      <x:c r="M331" s="21" t="n">
        <x:f>L331*'情景参数模板'!$D$31</x:f>
        <x:v>325.5130888831378</x:v>
      </x:c>
      <x:c r="N331" s="21" t="n">
        <x:f>IF(C331="source",'情景参数模板'!$D$12,IF(H331="echelon",'情景参数模板'!$D$13,'情景参数模板'!$D$14))</x:f>
        <x:v>0.49</x:v>
      </x:c>
      <x:c r="O331" s="21" t="n">
        <x:f>IF(C331="source",'情景参数模板'!$D$18,IF(H331="echelon",'情景参数模板'!$D$19,'情景参数模板'!$D$20))</x:f>
        <x:v>150</x:v>
      </x:c>
      <x:c r="P331" s="17" t="n">
        <x:f>IF(M331&lt;=O331,1,0)</x:f>
        <x:v>0</x:v>
      </x:c>
      <x:c r="Q331" s="17" t="str">
        <x:v>D-road proxy; B-coordinates</x:v>
      </x:c>
    </x:row>
    <x:row r="332">
      <x:c r="A332" s="17" t="str">
        <x:v>A0328</x:v>
      </x:c>
      <x:c r="B332" s="17" t="str">
        <x:v>GD16</x:v>
      </x:c>
      <x:c r="C332" s="17" t="str">
        <x:v>source</x:v>
      </x:c>
      <x:c r="D332" s="17" t="str">
        <x:v>茂名</x:v>
      </x:c>
      <x:c r="E332" s="24" t="n">
        <x:v>110.9209511</x:v>
      </x:c>
      <x:c r="F332" s="24" t="n">
        <x:v>21.6656961</x:v>
      </x:c>
      <x:c r="G332" s="17" t="str">
        <x:v>C13</x:v>
      </x:c>
      <x:c r="H332" s="17" t="str">
        <x:v>collection</x:v>
      </x:c>
      <x:c r="I332" s="17" t="str">
        <x:v>江门虚拟回收/检测中心</x:v>
      </x:c>
      <x:c r="J332" s="24" t="n">
        <x:v>113.0761073</x:v>
      </x:c>
      <x:c r="K332" s="24" t="n">
        <x:v>22.5816619</x:v>
      </x:c>
      <x:c r="L332" s="21" t="n">
        <x:f>6371*ACOS(MIN(1,COS(F332*PI()/180)*COS(K332*PI()/180)*COS((J332-E332)*PI()/180)+SIN(F332*PI()/180)*SIN(K332*PI()/180)))</x:f>
        <x:v>244.2425541235698</x:v>
      </x:c>
      <x:c r="M332" s="21" t="n">
        <x:f>L332*'情景参数模板'!$D$31</x:f>
        <x:v>293.09106494828376</x:v>
      </x:c>
      <x:c r="N332" s="21" t="n">
        <x:f>IF(C332="source",'情景参数模板'!$D$12,IF(H332="echelon",'情景参数模板'!$D$13,'情景参数模板'!$D$14))</x:f>
        <x:v>0.49</x:v>
      </x:c>
      <x:c r="O332" s="21" t="n">
        <x:f>IF(C332="source",'情景参数模板'!$D$18,IF(H332="echelon",'情景参数模板'!$D$19,'情景参数模板'!$D$20))</x:f>
        <x:v>150</x:v>
      </x:c>
      <x:c r="P332" s="17" t="n">
        <x:f>IF(M332&lt;=O332,1,0)</x:f>
        <x:v>0</x:v>
      </x:c>
      <x:c r="Q332" s="17" t="str">
        <x:v>D-road proxy; B-coordinates</x:v>
      </x:c>
    </x:row>
    <x:row r="333">
      <x:c r="A333" s="17" t="str">
        <x:v>A0329</x:v>
      </x:c>
      <x:c r="B333" s="17" t="str">
        <x:v>GD16</x:v>
      </x:c>
      <x:c r="C333" s="17" t="str">
        <x:v>source</x:v>
      </x:c>
      <x:c r="D333" s="17" t="str">
        <x:v>茂名</x:v>
      </x:c>
      <x:c r="E333" s="24" t="n">
        <x:v>110.9209511</x:v>
      </x:c>
      <x:c r="F333" s="24" t="n">
        <x:v>21.6656961</x:v>
      </x:c>
      <x:c r="G333" s="17" t="str">
        <x:v>C14</x:v>
      </x:c>
      <x:c r="H333" s="17" t="str">
        <x:v>collection</x:v>
      </x:c>
      <x:c r="I333" s="17" t="str">
        <x:v>阳江虚拟回收/检测中心</x:v>
      </x:c>
      <x:c r="J333" s="24" t="n">
        <x:v>111.7831393</x:v>
      </x:c>
      <x:c r="K333" s="24" t="n">
        <x:v>22.0958223</x:v>
      </x:c>
      <x:c r="L333" s="21" t="n">
        <x:f>6371*ACOS(MIN(1,COS(F333*PI()/180)*COS(K333*PI()/180)*COS((J333-E333)*PI()/180)+SIN(F333*PI()/180)*SIN(K333*PI()/180)))</x:f>
        <x:v>101.00553735425996</x:v>
      </x:c>
      <x:c r="M333" s="21" t="n">
        <x:f>L333*'情景参数模板'!$D$31</x:f>
        <x:v>121.20664482511194</x:v>
      </x:c>
      <x:c r="N333" s="21" t="n">
        <x:f>IF(C333="source",'情景参数模板'!$D$12,IF(H333="echelon",'情景参数模板'!$D$13,'情景参数模板'!$D$14))</x:f>
        <x:v>0.49</x:v>
      </x:c>
      <x:c r="O333" s="21" t="n">
        <x:f>IF(C333="source",'情景参数模板'!$D$18,IF(H333="echelon",'情景参数模板'!$D$19,'情景参数模板'!$D$20))</x:f>
        <x:v>150</x:v>
      </x:c>
      <x:c r="P333" s="17" t="n">
        <x:f>IF(M333&lt;=O333,1,0)</x:f>
        <x:v>1</x:v>
      </x:c>
      <x:c r="Q333" s="17" t="str">
        <x:v>D-road proxy; B-coordinates</x:v>
      </x:c>
    </x:row>
    <x:row r="334">
      <x:c r="A334" s="17" t="str">
        <x:v>A0330</x:v>
      </x:c>
      <x:c r="B334" s="17" t="str">
        <x:v>GD16</x:v>
      </x:c>
      <x:c r="C334" s="17" t="str">
        <x:v>source</x:v>
      </x:c>
      <x:c r="D334" s="17" t="str">
        <x:v>茂名</x:v>
      </x:c>
      <x:c r="E334" s="24" t="n">
        <x:v>110.9209511</x:v>
      </x:c>
      <x:c r="F334" s="24" t="n">
        <x:v>21.6656961</x:v>
      </x:c>
      <x:c r="G334" s="17" t="str">
        <x:v>C15</x:v>
      </x:c>
      <x:c r="H334" s="17" t="str">
        <x:v>collection</x:v>
      </x:c>
      <x:c r="I334" s="17" t="str">
        <x:v>湛江虚拟回收/检测中心</x:v>
      </x:c>
      <x:c r="J334" s="24" t="n">
        <x:v>110.3548318</x:v>
      </x:c>
      <x:c r="K334" s="24" t="n">
        <x:v>21.2737079</x:v>
      </x:c>
      <x:c r="L334" s="21" t="n">
        <x:f>6371*ACOS(MIN(1,COS(F334*PI()/180)*COS(K334*PI()/180)*COS((J334-E334)*PI()/180)+SIN(F334*PI()/180)*SIN(K334*PI()/180)))</x:f>
        <x:v>73.017913774945</x:v>
      </x:c>
      <x:c r="M334" s="21" t="n">
        <x:f>L334*'情景参数模板'!$D$31</x:f>
        <x:v>87.62149652993399</x:v>
      </x:c>
      <x:c r="N334" s="21" t="n">
        <x:f>IF(C334="source",'情景参数模板'!$D$12,IF(H334="echelon",'情景参数模板'!$D$13,'情景参数模板'!$D$14))</x:f>
        <x:v>0.49</x:v>
      </x:c>
      <x:c r="O334" s="21" t="n">
        <x:f>IF(C334="source",'情景参数模板'!$D$18,IF(H334="echelon",'情景参数模板'!$D$19,'情景参数模板'!$D$20))</x:f>
        <x:v>150</x:v>
      </x:c>
      <x:c r="P334" s="17" t="n">
        <x:f>IF(M334&lt;=O334,1,0)</x:f>
        <x:v>1</x:v>
      </x:c>
      <x:c r="Q334" s="17" t="str">
        <x:v>D-road proxy; B-coordinates</x:v>
      </x:c>
    </x:row>
    <x:row r="335">
      <x:c r="A335" s="17" t="str">
        <x:v>A0331</x:v>
      </x:c>
      <x:c r="B335" s="17" t="str">
        <x:v>GD16</x:v>
      </x:c>
      <x:c r="C335" s="17" t="str">
        <x:v>source</x:v>
      </x:c>
      <x:c r="D335" s="17" t="str">
        <x:v>茂名</x:v>
      </x:c>
      <x:c r="E335" s="24" t="n">
        <x:v>110.9209511</x:v>
      </x:c>
      <x:c r="F335" s="24" t="n">
        <x:v>21.6656961</x:v>
      </x:c>
      <x:c r="G335" s="17" t="str">
        <x:v>C16</x:v>
      </x:c>
      <x:c r="H335" s="17" t="str">
        <x:v>collection</x:v>
      </x:c>
      <x:c r="I335" s="17" t="str">
        <x:v>茂名虚拟回收/检测中心</x:v>
      </x:c>
      <x:c r="J335" s="24" t="n">
        <x:v>110.9209511</x:v>
      </x:c>
      <x:c r="K335" s="24" t="n">
        <x:v>21.6656961</x:v>
      </x:c>
      <x:c r="L335" s="21" t="n">
        <x:f>6371*ACOS(MIN(1,COS(F335*PI()/180)*COS(K335*PI()/180)*COS((J335-E335)*PI()/180)+SIN(F335*PI()/180)*SIN(K335*PI()/180)))</x:f>
        <x:v>0.00009493529796600342</x:v>
      </x:c>
      <x:c r="M335" s="21" t="n">
        <x:f>L335*'情景参数模板'!$D$31</x:f>
        <x:v>0.0001139223575592041</x:v>
      </x:c>
      <x:c r="N335" s="21" t="n">
        <x:f>IF(C335="source",'情景参数模板'!$D$12,IF(H335="echelon",'情景参数模板'!$D$13,'情景参数模板'!$D$14))</x:f>
        <x:v>0.49</x:v>
      </x:c>
      <x:c r="O335" s="21" t="n">
        <x:f>IF(C335="source",'情景参数模板'!$D$18,IF(H335="echelon",'情景参数模板'!$D$19,'情景参数模板'!$D$20))</x:f>
        <x:v>150</x:v>
      </x:c>
      <x:c r="P335" s="17" t="n">
        <x:f>IF(M335&lt;=O335,1,0)</x:f>
        <x:v>1</x:v>
      </x:c>
      <x:c r="Q335" s="17" t="str">
        <x:v>D-road proxy; B-coordinates</x:v>
      </x:c>
    </x:row>
    <x:row r="336">
      <x:c r="A336" s="17" t="str">
        <x:v>A0332</x:v>
      </x:c>
      <x:c r="B336" s="17" t="str">
        <x:v>GD16</x:v>
      </x:c>
      <x:c r="C336" s="17" t="str">
        <x:v>source</x:v>
      </x:c>
      <x:c r="D336" s="17" t="str">
        <x:v>茂名</x:v>
      </x:c>
      <x:c r="E336" s="24" t="n">
        <x:v>110.9209511</x:v>
      </x:c>
      <x:c r="F336" s="24" t="n">
        <x:v>21.6656961</x:v>
      </x:c>
      <x:c r="G336" s="17" t="str">
        <x:v>C17</x:v>
      </x:c>
      <x:c r="H336" s="17" t="str">
        <x:v>collection</x:v>
      </x:c>
      <x:c r="I336" s="17" t="str">
        <x:v>肇庆虚拟回收/检测中心</x:v>
      </x:c>
      <x:c r="J336" s="24" t="n">
        <x:v>112.4603629</x:v>
      </x:c>
      <x:c r="K336" s="24" t="n">
        <x:v>23.0501661</x:v>
      </x:c>
      <x:c r="L336" s="21" t="n">
        <x:f>6371*ACOS(MIN(1,COS(F336*PI()/180)*COS(K336*PI()/180)*COS((J336-E336)*PI()/180)+SIN(F336*PI()/180)*SIN(K336*PI()/180)))</x:f>
        <x:v>220.81298704421815</x:v>
      </x:c>
      <x:c r="M336" s="21" t="n">
        <x:f>L336*'情景参数模板'!$D$31</x:f>
        <x:v>264.97558445306174</x:v>
      </x:c>
      <x:c r="N336" s="21" t="n">
        <x:f>IF(C336="source",'情景参数模板'!$D$12,IF(H336="echelon",'情景参数模板'!$D$13,'情景参数模板'!$D$14))</x:f>
        <x:v>0.49</x:v>
      </x:c>
      <x:c r="O336" s="21" t="n">
        <x:f>IF(C336="source",'情景参数模板'!$D$18,IF(H336="echelon",'情景参数模板'!$D$19,'情景参数模板'!$D$20))</x:f>
        <x:v>150</x:v>
      </x:c>
      <x:c r="P336" s="17" t="n">
        <x:f>IF(M336&lt;=O336,1,0)</x:f>
        <x:v>0</x:v>
      </x:c>
      <x:c r="Q336" s="17" t="str">
        <x:v>D-road proxy; B-coordinates</x:v>
      </x:c>
    </x:row>
    <x:row r="337">
      <x:c r="A337" s="17" t="str">
        <x:v>A0333</x:v>
      </x:c>
      <x:c r="B337" s="17" t="str">
        <x:v>GD16</x:v>
      </x:c>
      <x:c r="C337" s="17" t="str">
        <x:v>source</x:v>
      </x:c>
      <x:c r="D337" s="17" t="str">
        <x:v>茂名</x:v>
      </x:c>
      <x:c r="E337" s="24" t="n">
        <x:v>110.9209511</x:v>
      </x:c>
      <x:c r="F337" s="24" t="n">
        <x:v>21.6656961</x:v>
      </x:c>
      <x:c r="G337" s="17" t="str">
        <x:v>C18</x:v>
      </x:c>
      <x:c r="H337" s="17" t="str">
        <x:v>collection</x:v>
      </x:c>
      <x:c r="I337" s="17" t="str">
        <x:v>清远虚拟回收/检测中心</x:v>
      </x:c>
      <x:c r="J337" s="24" t="n">
        <x:v>113.0505994</x:v>
      </x:c>
      <x:c r="K337" s="24" t="n">
        <x:v>23.6832984</x:v>
      </x:c>
      <x:c r="L337" s="21" t="n">
        <x:f>6371*ACOS(MIN(1,COS(F337*PI()/180)*COS(K337*PI()/180)*COS((J337-E337)*PI()/180)+SIN(F337*PI()/180)*SIN(K337*PI()/180)))</x:f>
        <x:v>313.15649752256786</x:v>
      </x:c>
      <x:c r="M337" s="21" t="n">
        <x:f>L337*'情景参数模板'!$D$31</x:f>
        <x:v>375.7877970270814</x:v>
      </x:c>
      <x:c r="N337" s="21" t="n">
        <x:f>IF(C337="source",'情景参数模板'!$D$12,IF(H337="echelon",'情景参数模板'!$D$13,'情景参数模板'!$D$14))</x:f>
        <x:v>0.49</x:v>
      </x:c>
      <x:c r="O337" s="21" t="n">
        <x:f>IF(C337="source",'情景参数模板'!$D$18,IF(H337="echelon",'情景参数模板'!$D$19,'情景参数模板'!$D$20))</x:f>
        <x:v>150</x:v>
      </x:c>
      <x:c r="P337" s="17" t="n">
        <x:f>IF(M337&lt;=O337,1,0)</x:f>
        <x:v>0</x:v>
      </x:c>
      <x:c r="Q337" s="17" t="str">
        <x:v>D-road proxy; B-coordinates</x:v>
      </x:c>
    </x:row>
    <x:row r="338">
      <x:c r="A338" s="17" t="str">
        <x:v>A0334</x:v>
      </x:c>
      <x:c r="B338" s="17" t="str">
        <x:v>GD16</x:v>
      </x:c>
      <x:c r="C338" s="17" t="str">
        <x:v>source</x:v>
      </x:c>
      <x:c r="D338" s="17" t="str">
        <x:v>茂名</x:v>
      </x:c>
      <x:c r="E338" s="24" t="n">
        <x:v>110.9209511</x:v>
      </x:c>
      <x:c r="F338" s="24" t="n">
        <x:v>21.6656961</x:v>
      </x:c>
      <x:c r="G338" s="17" t="str">
        <x:v>C19</x:v>
      </x:c>
      <x:c r="H338" s="17" t="str">
        <x:v>collection</x:v>
      </x:c>
      <x:c r="I338" s="17" t="str">
        <x:v>潮州虚拟回收/检测中心</x:v>
      </x:c>
      <x:c r="J338" s="24" t="n">
        <x:v>116.6204223</x:v>
      </x:c>
      <x:c r="K338" s="24" t="n">
        <x:v>23.656593</x:v>
      </x:c>
      <x:c r="L338" s="21" t="n">
        <x:f>6371*ACOS(MIN(1,COS(F338*PI()/180)*COS(K338*PI()/180)*COS((J338-E338)*PI()/180)+SIN(F338*PI()/180)*SIN(K338*PI()/180)))</x:f>
        <x:v>625.2484183411569</x:v>
      </x:c>
      <x:c r="M338" s="21" t="n">
        <x:f>L338*'情景参数模板'!$D$31</x:f>
        <x:v>750.2981020093883</x:v>
      </x:c>
      <x:c r="N338" s="21" t="n">
        <x:f>IF(C338="source",'情景参数模板'!$D$12,IF(H338="echelon",'情景参数模板'!$D$13,'情景参数模板'!$D$14))</x:f>
        <x:v>0.49</x:v>
      </x:c>
      <x:c r="O338" s="21" t="n">
        <x:f>IF(C338="source",'情景参数模板'!$D$18,IF(H338="echelon",'情景参数模板'!$D$19,'情景参数模板'!$D$20))</x:f>
        <x:v>150</x:v>
      </x:c>
      <x:c r="P338" s="17" t="n">
        <x:f>IF(M338&lt;=O338,1,0)</x:f>
        <x:v>0</x:v>
      </x:c>
      <x:c r="Q338" s="17" t="str">
        <x:v>D-road proxy; B-coordinates</x:v>
      </x:c>
    </x:row>
    <x:row r="339">
      <x:c r="A339" s="17" t="str">
        <x:v>A0335</x:v>
      </x:c>
      <x:c r="B339" s="17" t="str">
        <x:v>GD16</x:v>
      </x:c>
      <x:c r="C339" s="17" t="str">
        <x:v>source</x:v>
      </x:c>
      <x:c r="D339" s="17" t="str">
        <x:v>茂名</x:v>
      </x:c>
      <x:c r="E339" s="24" t="n">
        <x:v>110.9209511</x:v>
      </x:c>
      <x:c r="F339" s="24" t="n">
        <x:v>21.6656961</x:v>
      </x:c>
      <x:c r="G339" s="17" t="str">
        <x:v>C20</x:v>
      </x:c>
      <x:c r="H339" s="17" t="str">
        <x:v>collection</x:v>
      </x:c>
      <x:c r="I339" s="17" t="str">
        <x:v>揭阳虚拟回收/检测中心</x:v>
      </x:c>
      <x:c r="J339" s="24" t="n">
        <x:v>116.3680354</x:v>
      </x:c>
      <x:c r="K339" s="24" t="n">
        <x:v>23.553156</x:v>
      </x:c>
      <x:c r="L339" s="21" t="n">
        <x:f>6371*ACOS(MIN(1,COS(F339*PI()/180)*COS(K339*PI()/180)*COS((J339-E339)*PI()/180)+SIN(F339*PI()/180)*SIN(K339*PI()/180)))</x:f>
        <x:v>597.1655712096995</x:v>
      </x:c>
      <x:c r="M339" s="21" t="n">
        <x:f>L339*'情景参数模板'!$D$31</x:f>
        <x:v>716.5986854516393</x:v>
      </x:c>
      <x:c r="N339" s="21" t="n">
        <x:f>IF(C339="source",'情景参数模板'!$D$12,IF(H339="echelon",'情景参数模板'!$D$13,'情景参数模板'!$D$14))</x:f>
        <x:v>0.49</x:v>
      </x:c>
      <x:c r="O339" s="21" t="n">
        <x:f>IF(C339="source",'情景参数模板'!$D$18,IF(H339="echelon",'情景参数模板'!$D$19,'情景参数模板'!$D$20))</x:f>
        <x:v>150</x:v>
      </x:c>
      <x:c r="P339" s="17" t="n">
        <x:f>IF(M339&lt;=O339,1,0)</x:f>
        <x:v>0</x:v>
      </x:c>
      <x:c r="Q339" s="17" t="str">
        <x:v>D-road proxy; B-coordinates</x:v>
      </x:c>
    </x:row>
    <x:row r="340">
      <x:c r="A340" s="17" t="str">
        <x:v>A0336</x:v>
      </x:c>
      <x:c r="B340" s="17" t="str">
        <x:v>GD16</x:v>
      </x:c>
      <x:c r="C340" s="17" t="str">
        <x:v>source</x:v>
      </x:c>
      <x:c r="D340" s="17" t="str">
        <x:v>茂名</x:v>
      </x:c>
      <x:c r="E340" s="24" t="n">
        <x:v>110.9209511</x:v>
      </x:c>
      <x:c r="F340" s="24" t="n">
        <x:v>21.6656961</x:v>
      </x:c>
      <x:c r="G340" s="17" t="str">
        <x:v>C21</x:v>
      </x:c>
      <x:c r="H340" s="17" t="str">
        <x:v>collection</x:v>
      </x:c>
      <x:c r="I340" s="17" t="str">
        <x:v>云浮虚拟回收/检测中心</x:v>
      </x:c>
      <x:c r="J340" s="24" t="n">
        <x:v>111.8078586</x:v>
      </x:c>
      <x:c r="K340" s="24" t="n">
        <x:v>22.8546663</x:v>
      </x:c>
      <x:c r="L340" s="21" t="n">
        <x:f>6371*ACOS(MIN(1,COS(F340*PI()/180)*COS(K340*PI()/180)*COS((J340-E340)*PI()/180)+SIN(F340*PI()/180)*SIN(K340*PI()/180)))</x:f>
        <x:v>160.65029167234215</x:v>
      </x:c>
      <x:c r="M340" s="21" t="n">
        <x:f>L340*'情景参数模板'!$D$31</x:f>
        <x:v>192.78035000681058</x:v>
      </x:c>
      <x:c r="N340" s="21" t="n">
        <x:f>IF(C340="source",'情景参数模板'!$D$12,IF(H340="echelon",'情景参数模板'!$D$13,'情景参数模板'!$D$14))</x:f>
        <x:v>0.49</x:v>
      </x:c>
      <x:c r="O340" s="21" t="n">
        <x:f>IF(C340="source",'情景参数模板'!$D$18,IF(H340="echelon",'情景参数模板'!$D$19,'情景参数模板'!$D$20))</x:f>
        <x:v>150</x:v>
      </x:c>
      <x:c r="P340" s="17" t="n">
        <x:f>IF(M340&lt;=O340,1,0)</x:f>
        <x:v>0</x:v>
      </x:c>
      <x:c r="Q340" s="17" t="str">
        <x:v>D-road proxy; B-coordinates</x:v>
      </x:c>
    </x:row>
    <x:row r="341">
      <x:c r="A341" s="17" t="str">
        <x:v>A0337</x:v>
      </x:c>
      <x:c r="B341" s="17" t="str">
        <x:v>GD17</x:v>
      </x:c>
      <x:c r="C341" s="17" t="str">
        <x:v>source</x:v>
      </x:c>
      <x:c r="D341" s="17" t="str">
        <x:v>肇庆</x:v>
      </x:c>
      <x:c r="E341" s="24" t="n">
        <x:v>112.4603629</x:v>
      </x:c>
      <x:c r="F341" s="24" t="n">
        <x:v>23.0501661</x:v>
      </x:c>
      <x:c r="G341" s="17" t="str">
        <x:v>C01</x:v>
      </x:c>
      <x:c r="H341" s="17" t="str">
        <x:v>collection</x:v>
      </x:c>
      <x:c r="I341" s="17" t="str">
        <x:v>广州虚拟回收/检测中心</x:v>
      </x:c>
      <x:c r="J341" s="24" t="n">
        <x:v>113.2589581</x:v>
      </x:c>
      <x:c r="K341" s="24" t="n">
        <x:v>23.1288429</x:v>
      </x:c>
      <x:c r="L341" s="21" t="n">
        <x:f>6371*ACOS(MIN(1,COS(F341*PI()/180)*COS(K341*PI()/180)*COS((J341-E341)*PI()/180)+SIN(F341*PI()/180)*SIN(K341*PI()/180)))</x:f>
        <x:v>82.15331137313247</x:v>
      </x:c>
      <x:c r="M341" s="21" t="n">
        <x:f>L341*'情景参数模板'!$D$31</x:f>
        <x:v>98.58397364775895</x:v>
      </x:c>
      <x:c r="N341" s="21" t="n">
        <x:f>IF(C341="source",'情景参数模板'!$D$12,IF(H341="echelon",'情景参数模板'!$D$13,'情景参数模板'!$D$14))</x:f>
        <x:v>0.49</x:v>
      </x:c>
      <x:c r="O341" s="21" t="n">
        <x:f>IF(C341="source",'情景参数模板'!$D$18,IF(H341="echelon",'情景参数模板'!$D$19,'情景参数模板'!$D$20))</x:f>
        <x:v>150</x:v>
      </x:c>
      <x:c r="P341" s="17" t="n">
        <x:f>IF(M341&lt;=O341,1,0)</x:f>
        <x:v>1</x:v>
      </x:c>
      <x:c r="Q341" s="17" t="str">
        <x:v>D-road proxy; B-coordinates</x:v>
      </x:c>
    </x:row>
    <x:row r="342">
      <x:c r="A342" s="17" t="str">
        <x:v>A0338</x:v>
      </x:c>
      <x:c r="B342" s="17" t="str">
        <x:v>GD17</x:v>
      </x:c>
      <x:c r="C342" s="17" t="str">
        <x:v>source</x:v>
      </x:c>
      <x:c r="D342" s="17" t="str">
        <x:v>肇庆</x:v>
      </x:c>
      <x:c r="E342" s="24" t="n">
        <x:v>112.4603629</x:v>
      </x:c>
      <x:c r="F342" s="24" t="n">
        <x:v>23.0501661</x:v>
      </x:c>
      <x:c r="G342" s="17" t="str">
        <x:v>C02</x:v>
      </x:c>
      <x:c r="H342" s="17" t="str">
        <x:v>collection</x:v>
      </x:c>
      <x:c r="I342" s="17" t="str">
        <x:v>深圳虚拟回收/检测中心</x:v>
      </x:c>
      <x:c r="J342" s="24" t="n">
        <x:v>114.0545429</x:v>
      </x:c>
      <x:c r="K342" s="24" t="n">
        <x:v>22.5445741</x:v>
      </x:c>
      <x:c r="L342" s="21" t="n">
        <x:f>6371*ACOS(MIN(1,COS(F342*PI()/180)*COS(K342*PI()/180)*COS((J342-E342)*PI()/180)+SIN(F342*PI()/180)*SIN(K342*PI()/180)))</x:f>
        <x:v>172.815477677631</x:v>
      </x:c>
      <x:c r="M342" s="21" t="n">
        <x:f>L342*'情景参数模板'!$D$31</x:f>
        <x:v>207.3785732131572</x:v>
      </x:c>
      <x:c r="N342" s="21" t="n">
        <x:f>IF(C342="source",'情景参数模板'!$D$12,IF(H342="echelon",'情景参数模板'!$D$13,'情景参数模板'!$D$14))</x:f>
        <x:v>0.49</x:v>
      </x:c>
      <x:c r="O342" s="21" t="n">
        <x:f>IF(C342="source",'情景参数模板'!$D$18,IF(H342="echelon",'情景参数模板'!$D$19,'情景参数模板'!$D$20))</x:f>
        <x:v>150</x:v>
      </x:c>
      <x:c r="P342" s="17" t="n">
        <x:f>IF(M342&lt;=O342,1,0)</x:f>
        <x:v>0</x:v>
      </x:c>
      <x:c r="Q342" s="17" t="str">
        <x:v>D-road proxy; B-coordinates</x:v>
      </x:c>
    </x:row>
    <x:row r="343">
      <x:c r="A343" s="17" t="str">
        <x:v>A0339</x:v>
      </x:c>
      <x:c r="B343" s="17" t="str">
        <x:v>GD17</x:v>
      </x:c>
      <x:c r="C343" s="17" t="str">
        <x:v>source</x:v>
      </x:c>
      <x:c r="D343" s="17" t="str">
        <x:v>肇庆</x:v>
      </x:c>
      <x:c r="E343" s="24" t="n">
        <x:v>112.4603629</x:v>
      </x:c>
      <x:c r="F343" s="24" t="n">
        <x:v>23.0501661</x:v>
      </x:c>
      <x:c r="G343" s="17" t="str">
        <x:v>C03</x:v>
      </x:c>
      <x:c r="H343" s="17" t="str">
        <x:v>collection</x:v>
      </x:c>
      <x:c r="I343" s="17" t="str">
        <x:v>珠海虚拟回收/检测中心</x:v>
      </x:c>
      <x:c r="J343" s="24" t="n">
        <x:v>113.5721327</x:v>
      </x:c>
      <x:c r="K343" s="24" t="n">
        <x:v>22.273734</x:v>
      </x:c>
      <x:c r="L343" s="21" t="n">
        <x:f>6371*ACOS(MIN(1,COS(F343*PI()/180)*COS(K343*PI()/180)*COS((J343-E343)*PI()/180)+SIN(F343*PI()/180)*SIN(K343*PI()/180)))</x:f>
        <x:v>143.0642477152054</x:v>
      </x:c>
      <x:c r="M343" s="21" t="n">
        <x:f>L343*'情景参数模板'!$D$31</x:f>
        <x:v>171.67709725824648</x:v>
      </x:c>
      <x:c r="N343" s="21" t="n">
        <x:f>IF(C343="source",'情景参数模板'!$D$12,IF(H343="echelon",'情景参数模板'!$D$13,'情景参数模板'!$D$14))</x:f>
        <x:v>0.49</x:v>
      </x:c>
      <x:c r="O343" s="21" t="n">
        <x:f>IF(C343="source",'情景参数模板'!$D$18,IF(H343="echelon",'情景参数模板'!$D$19,'情景参数模板'!$D$20))</x:f>
        <x:v>150</x:v>
      </x:c>
      <x:c r="P343" s="17" t="n">
        <x:f>IF(M343&lt;=O343,1,0)</x:f>
        <x:v>0</x:v>
      </x:c>
      <x:c r="Q343" s="17" t="str">
        <x:v>D-road proxy; B-coordinates</x:v>
      </x:c>
    </x:row>
    <x:row r="344">
      <x:c r="A344" s="17" t="str">
        <x:v>A0340</x:v>
      </x:c>
      <x:c r="B344" s="17" t="str">
        <x:v>GD17</x:v>
      </x:c>
      <x:c r="C344" s="17" t="str">
        <x:v>source</x:v>
      </x:c>
      <x:c r="D344" s="17" t="str">
        <x:v>肇庆</x:v>
      </x:c>
      <x:c r="E344" s="24" t="n">
        <x:v>112.4603629</x:v>
      </x:c>
      <x:c r="F344" s="24" t="n">
        <x:v>23.0501661</x:v>
      </x:c>
      <x:c r="G344" s="17" t="str">
        <x:v>C04</x:v>
      </x:c>
      <x:c r="H344" s="17" t="str">
        <x:v>collection</x:v>
      </x:c>
      <x:c r="I344" s="17" t="str">
        <x:v>汕头虚拟回收/检测中心</x:v>
      </x:c>
      <x:c r="J344" s="24" t="n">
        <x:v>116.6775856</x:v>
      </x:c>
      <x:c r="K344" s="24" t="n">
        <x:v>23.3563921</x:v>
      </x:c>
      <x:c r="L344" s="21" t="n">
        <x:f>6371*ACOS(MIN(1,COS(F344*PI()/180)*COS(K344*PI()/180)*COS((J344-E344)*PI()/180)+SIN(F344*PI()/180)*SIN(K344*PI()/180)))</x:f>
        <x:v>432.3301436322801</x:v>
      </x:c>
      <x:c r="M344" s="21" t="n">
        <x:f>L344*'情景参数模板'!$D$31</x:f>
        <x:v>518.7961723587362</x:v>
      </x:c>
      <x:c r="N344" s="21" t="n">
        <x:f>IF(C344="source",'情景参数模板'!$D$12,IF(H344="echelon",'情景参数模板'!$D$13,'情景参数模板'!$D$14))</x:f>
        <x:v>0.49</x:v>
      </x:c>
      <x:c r="O344" s="21" t="n">
        <x:f>IF(C344="source",'情景参数模板'!$D$18,IF(H344="echelon",'情景参数模板'!$D$19,'情景参数模板'!$D$20))</x:f>
        <x:v>150</x:v>
      </x:c>
      <x:c r="P344" s="17" t="n">
        <x:f>IF(M344&lt;=O344,1,0)</x:f>
        <x:v>0</x:v>
      </x:c>
      <x:c r="Q344" s="17" t="str">
        <x:v>D-road proxy; B-coordinates</x:v>
      </x:c>
    </x:row>
    <x:row r="345">
      <x:c r="A345" s="17" t="str">
        <x:v>A0341</x:v>
      </x:c>
      <x:c r="B345" s="17" t="str">
        <x:v>GD17</x:v>
      </x:c>
      <x:c r="C345" s="17" t="str">
        <x:v>source</x:v>
      </x:c>
      <x:c r="D345" s="17" t="str">
        <x:v>肇庆</x:v>
      </x:c>
      <x:c r="E345" s="24" t="n">
        <x:v>112.4603629</x:v>
      </x:c>
      <x:c r="F345" s="24" t="n">
        <x:v>23.0501661</x:v>
      </x:c>
      <x:c r="G345" s="17" t="str">
        <x:v>C05</x:v>
      </x:c>
      <x:c r="H345" s="17" t="str">
        <x:v>collection</x:v>
      </x:c>
      <x:c r="I345" s="17" t="str">
        <x:v>佛山虚拟回收/检测中心</x:v>
      </x:c>
      <x:c r="J345" s="24" t="n">
        <x:v>113.1159558</x:v>
      </x:c>
      <x:c r="K345" s="24" t="n">
        <x:v>23.0239788</x:v>
      </x:c>
      <x:c r="L345" s="21" t="n">
        <x:f>6371*ACOS(MIN(1,COS(F345*PI()/180)*COS(K345*PI()/180)*COS((J345-E345)*PI()/180)+SIN(F345*PI()/180)*SIN(K345*PI()/180)))</x:f>
        <x:v>67.14818534262002</x:v>
      </x:c>
      <x:c r="M345" s="21" t="n">
        <x:f>L345*'情景参数模板'!$D$31</x:f>
        <x:v>80.57782241114403</x:v>
      </x:c>
      <x:c r="N345" s="21" t="n">
        <x:f>IF(C345="source",'情景参数模板'!$D$12,IF(H345="echelon",'情景参数模板'!$D$13,'情景参数模板'!$D$14))</x:f>
        <x:v>0.49</x:v>
      </x:c>
      <x:c r="O345" s="21" t="n">
        <x:f>IF(C345="source",'情景参数模板'!$D$18,IF(H345="echelon",'情景参数模板'!$D$19,'情景参数模板'!$D$20))</x:f>
        <x:v>150</x:v>
      </x:c>
      <x:c r="P345" s="17" t="n">
        <x:f>IF(M345&lt;=O345,1,0)</x:f>
        <x:v>1</x:v>
      </x:c>
      <x:c r="Q345" s="17" t="str">
        <x:v>D-road proxy; B-coordinates</x:v>
      </x:c>
    </x:row>
    <x:row r="346">
      <x:c r="A346" s="17" t="str">
        <x:v>A0342</x:v>
      </x:c>
      <x:c r="B346" s="17" t="str">
        <x:v>GD17</x:v>
      </x:c>
      <x:c r="C346" s="17" t="str">
        <x:v>source</x:v>
      </x:c>
      <x:c r="D346" s="17" t="str">
        <x:v>肇庆</x:v>
      </x:c>
      <x:c r="E346" s="24" t="n">
        <x:v>112.4603629</x:v>
      </x:c>
      <x:c r="F346" s="24" t="n">
        <x:v>23.0501661</x:v>
      </x:c>
      <x:c r="G346" s="17" t="str">
        <x:v>C06</x:v>
      </x:c>
      <x:c r="H346" s="17" t="str">
        <x:v>collection</x:v>
      </x:c>
      <x:c r="I346" s="17" t="str">
        <x:v>韶关虚拟回收/检测中心</x:v>
      </x:c>
      <x:c r="J346" s="24" t="n">
        <x:v>113.8155263</x:v>
      </x:c>
      <x:c r="K346" s="24" t="n">
        <x:v>24.8309489</x:v>
      </x:c>
      <x:c r="L346" s="21" t="n">
        <x:f>6371*ACOS(MIN(1,COS(F346*PI()/180)*COS(K346*PI()/180)*COS((J346-E346)*PI()/180)+SIN(F346*PI()/180)*SIN(K346*PI()/180)))</x:f>
        <x:v>241.1942270561686</x:v>
      </x:c>
      <x:c r="M346" s="21" t="n">
        <x:f>L346*'情景参数模板'!$D$31</x:f>
        <x:v>289.43307246740227</x:v>
      </x:c>
      <x:c r="N346" s="21" t="n">
        <x:f>IF(C346="source",'情景参数模板'!$D$12,IF(H346="echelon",'情景参数模板'!$D$13,'情景参数模板'!$D$14))</x:f>
        <x:v>0.49</x:v>
      </x:c>
      <x:c r="O346" s="21" t="n">
        <x:f>IF(C346="source",'情景参数模板'!$D$18,IF(H346="echelon",'情景参数模板'!$D$19,'情景参数模板'!$D$20))</x:f>
        <x:v>150</x:v>
      </x:c>
      <x:c r="P346" s="17" t="n">
        <x:f>IF(M346&lt;=O346,1,0)</x:f>
        <x:v>0</x:v>
      </x:c>
      <x:c r="Q346" s="17" t="str">
        <x:v>D-road proxy; B-coordinates</x:v>
      </x:c>
    </x:row>
    <x:row r="347">
      <x:c r="A347" s="17" t="str">
        <x:v>A0343</x:v>
      </x:c>
      <x:c r="B347" s="17" t="str">
        <x:v>GD17</x:v>
      </x:c>
      <x:c r="C347" s="17" t="str">
        <x:v>source</x:v>
      </x:c>
      <x:c r="D347" s="17" t="str">
        <x:v>肇庆</x:v>
      </x:c>
      <x:c r="E347" s="24" t="n">
        <x:v>112.4603629</x:v>
      </x:c>
      <x:c r="F347" s="24" t="n">
        <x:v>23.0501661</x:v>
      </x:c>
      <x:c r="G347" s="17" t="str">
        <x:v>C07</x:v>
      </x:c>
      <x:c r="H347" s="17" t="str">
        <x:v>collection</x:v>
      </x:c>
      <x:c r="I347" s="17" t="str">
        <x:v>河源虚拟回收/检测中心</x:v>
      </x:c>
      <x:c r="J347" s="24" t="n">
        <x:v>115.0577538</x:v>
      </x:c>
      <x:c r="K347" s="24" t="n">
        <x:v>24.1014769</x:v>
      </x:c>
      <x:c r="L347" s="21" t="n">
        <x:f>6371*ACOS(MIN(1,COS(F347*PI()/180)*COS(K347*PI()/180)*COS((J347-E347)*PI()/180)+SIN(F347*PI()/180)*SIN(K347*PI()/180)))</x:f>
        <x:v>289.36462181183225</x:v>
      </x:c>
      <x:c r="M347" s="21" t="n">
        <x:f>L347*'情景参数模板'!$D$31</x:f>
        <x:v>347.2375461741987</x:v>
      </x:c>
      <x:c r="N347" s="21" t="n">
        <x:f>IF(C347="source",'情景参数模板'!$D$12,IF(H347="echelon",'情景参数模板'!$D$13,'情景参数模板'!$D$14))</x:f>
        <x:v>0.49</x:v>
      </x:c>
      <x:c r="O347" s="21" t="n">
        <x:f>IF(C347="source",'情景参数模板'!$D$18,IF(H347="echelon",'情景参数模板'!$D$19,'情景参数模板'!$D$20))</x:f>
        <x:v>150</x:v>
      </x:c>
      <x:c r="P347" s="17" t="n">
        <x:f>IF(M347&lt;=O347,1,0)</x:f>
        <x:v>0</x:v>
      </x:c>
      <x:c r="Q347" s="17" t="str">
        <x:v>D-road proxy; B-coordinates</x:v>
      </x:c>
    </x:row>
    <x:row r="348">
      <x:c r="A348" s="17" t="str">
        <x:v>A0344</x:v>
      </x:c>
      <x:c r="B348" s="17" t="str">
        <x:v>GD17</x:v>
      </x:c>
      <x:c r="C348" s="17" t="str">
        <x:v>source</x:v>
      </x:c>
      <x:c r="D348" s="17" t="str">
        <x:v>肇庆</x:v>
      </x:c>
      <x:c r="E348" s="24" t="n">
        <x:v>112.4603629</x:v>
      </x:c>
      <x:c r="F348" s="24" t="n">
        <x:v>23.0501661</x:v>
      </x:c>
      <x:c r="G348" s="17" t="str">
        <x:v>C08</x:v>
      </x:c>
      <x:c r="H348" s="17" t="str">
        <x:v>collection</x:v>
      </x:c>
      <x:c r="I348" s="17" t="str">
        <x:v>梅州虚拟回收/检测中心</x:v>
      </x:c>
      <x:c r="J348" s="24" t="n">
        <x:v>116.1171428</x:v>
      </x:c>
      <x:c r="K348" s="24" t="n">
        <x:v>24.2918414</x:v>
      </x:c>
      <x:c r="L348" s="21" t="n">
        <x:f>6371*ACOS(MIN(1,COS(F348*PI()/180)*COS(K348*PI()/180)*COS((J348-E348)*PI()/180)+SIN(F348*PI()/180)*SIN(K348*PI()/180)))</x:f>
        <x:v>397.15515814756486</x:v>
      </x:c>
      <x:c r="M348" s="21" t="n">
        <x:f>L348*'情景参数模板'!$D$31</x:f>
        <x:v>476.58618977707783</x:v>
      </x:c>
      <x:c r="N348" s="21" t="n">
        <x:f>IF(C348="source",'情景参数模板'!$D$12,IF(H348="echelon",'情景参数模板'!$D$13,'情景参数模板'!$D$14))</x:f>
        <x:v>0.49</x:v>
      </x:c>
      <x:c r="O348" s="21" t="n">
        <x:f>IF(C348="source",'情景参数模板'!$D$18,IF(H348="echelon",'情景参数模板'!$D$19,'情景参数模板'!$D$20))</x:f>
        <x:v>150</x:v>
      </x:c>
      <x:c r="P348" s="17" t="n">
        <x:f>IF(M348&lt;=O348,1,0)</x:f>
        <x:v>0</x:v>
      </x:c>
      <x:c r="Q348" s="17" t="str">
        <x:v>D-road proxy; B-coordinates</x:v>
      </x:c>
    </x:row>
    <x:row r="349">
      <x:c r="A349" s="17" t="str">
        <x:v>A0345</x:v>
      </x:c>
      <x:c r="B349" s="17" t="str">
        <x:v>GD17</x:v>
      </x:c>
      <x:c r="C349" s="17" t="str">
        <x:v>source</x:v>
      </x:c>
      <x:c r="D349" s="17" t="str">
        <x:v>肇庆</x:v>
      </x:c>
      <x:c r="E349" s="24" t="n">
        <x:v>112.4603629</x:v>
      </x:c>
      <x:c r="F349" s="24" t="n">
        <x:v>23.0501661</x:v>
      </x:c>
      <x:c r="G349" s="17" t="str">
        <x:v>C09</x:v>
      </x:c>
      <x:c r="H349" s="17" t="str">
        <x:v>collection</x:v>
      </x:c>
      <x:c r="I349" s="17" t="str">
        <x:v>惠州虚拟回收/检测中心</x:v>
      </x:c>
      <x:c r="J349" s="24" t="n">
        <x:v>114.4127007</x:v>
      </x:c>
      <x:c r="K349" s="24" t="n">
        <x:v>23.1125153</x:v>
      </x:c>
      <x:c r="L349" s="21" t="n">
        <x:f>6371*ACOS(MIN(1,COS(F349*PI()/180)*COS(K349*PI()/180)*COS((J349-E349)*PI()/180)+SIN(F349*PI()/180)*SIN(K349*PI()/180)))</x:f>
        <x:v>199.83063084164635</x:v>
      </x:c>
      <x:c r="M349" s="21" t="n">
        <x:f>L349*'情景参数模板'!$D$31</x:f>
        <x:v>239.7967570099756</x:v>
      </x:c>
      <x:c r="N349" s="21" t="n">
        <x:f>IF(C349="source",'情景参数模板'!$D$12,IF(H349="echelon",'情景参数模板'!$D$13,'情景参数模板'!$D$14))</x:f>
        <x:v>0.49</x:v>
      </x:c>
      <x:c r="O349" s="21" t="n">
        <x:f>IF(C349="source",'情景参数模板'!$D$18,IF(H349="echelon",'情景参数模板'!$D$19,'情景参数模板'!$D$20))</x:f>
        <x:v>150</x:v>
      </x:c>
      <x:c r="P349" s="17" t="n">
        <x:f>IF(M349&lt;=O349,1,0)</x:f>
        <x:v>0</x:v>
      </x:c>
      <x:c r="Q349" s="17" t="str">
        <x:v>D-road proxy; B-coordinates</x:v>
      </x:c>
    </x:row>
    <x:row r="350">
      <x:c r="A350" s="17" t="str">
        <x:v>A0346</x:v>
      </x:c>
      <x:c r="B350" s="17" t="str">
        <x:v>GD17</x:v>
      </x:c>
      <x:c r="C350" s="17" t="str">
        <x:v>source</x:v>
      </x:c>
      <x:c r="D350" s="17" t="str">
        <x:v>肇庆</x:v>
      </x:c>
      <x:c r="E350" s="24" t="n">
        <x:v>112.4603629</x:v>
      </x:c>
      <x:c r="F350" s="24" t="n">
        <x:v>23.0501661</x:v>
      </x:c>
      <x:c r="G350" s="17" t="str">
        <x:v>C10</x:v>
      </x:c>
      <x:c r="H350" s="17" t="str">
        <x:v>collection</x:v>
      </x:c>
      <x:c r="I350" s="17" t="str">
        <x:v>汕尾虚拟回收/检测中心</x:v>
      </x:c>
      <x:c r="J350" s="24" t="n">
        <x:v>115.5099937</x:v>
      </x:c>
      <x:c r="K350" s="24" t="n">
        <x:v>23.0123639</x:v>
      </x:c>
      <x:c r="L350" s="21" t="n">
        <x:f>6371*ACOS(MIN(1,COS(F350*PI()/180)*COS(K350*PI()/180)*COS((J350-E350)*PI()/180)+SIN(F350*PI()/180)*SIN(K350*PI()/180)))</x:f>
        <x:v>312.0967041495048</x:v>
      </x:c>
      <x:c r="M350" s="21" t="n">
        <x:f>L350*'情景参数模板'!$D$31</x:f>
        <x:v>374.5160449794057</x:v>
      </x:c>
      <x:c r="N350" s="21" t="n">
        <x:f>IF(C350="source",'情景参数模板'!$D$12,IF(H350="echelon",'情景参数模板'!$D$13,'情景参数模板'!$D$14))</x:f>
        <x:v>0.49</x:v>
      </x:c>
      <x:c r="O350" s="21" t="n">
        <x:f>IF(C350="source",'情景参数模板'!$D$18,IF(H350="echelon",'情景参数模板'!$D$19,'情景参数模板'!$D$20))</x:f>
        <x:v>150</x:v>
      </x:c>
      <x:c r="P350" s="17" t="n">
        <x:f>IF(M350&lt;=O350,1,0)</x:f>
        <x:v>0</x:v>
      </x:c>
      <x:c r="Q350" s="17" t="str">
        <x:v>D-road proxy; B-coordinates</x:v>
      </x:c>
    </x:row>
    <x:row r="351">
      <x:c r="A351" s="17" t="str">
        <x:v>A0347</x:v>
      </x:c>
      <x:c r="B351" s="17" t="str">
        <x:v>GD17</x:v>
      </x:c>
      <x:c r="C351" s="17" t="str">
        <x:v>source</x:v>
      </x:c>
      <x:c r="D351" s="17" t="str">
        <x:v>肇庆</x:v>
      </x:c>
      <x:c r="E351" s="24" t="n">
        <x:v>112.4603629</x:v>
      </x:c>
      <x:c r="F351" s="24" t="n">
        <x:v>23.0501661</x:v>
      </x:c>
      <x:c r="G351" s="17" t="str">
        <x:v>C11</x:v>
      </x:c>
      <x:c r="H351" s="17" t="str">
        <x:v>collection</x:v>
      </x:c>
      <x:c r="I351" s="17" t="str">
        <x:v>东莞虚拟回收/检测中心</x:v>
      </x:c>
      <x:c r="J351" s="24" t="n">
        <x:v>113.7452332</x:v>
      </x:c>
      <x:c r="K351" s="24" t="n">
        <x:v>23.0183568</x:v>
      </x:c>
      <x:c r="L351" s="21" t="n">
        <x:f>6371*ACOS(MIN(1,COS(F351*PI()/180)*COS(K351*PI()/180)*COS((J351-E351)*PI()/180)+SIN(F351*PI()/180)*SIN(K351*PI()/180)))</x:f>
        <x:v>131.52724118580286</x:v>
      </x:c>
      <x:c r="M351" s="21" t="n">
        <x:f>L351*'情景参数模板'!$D$31</x:f>
        <x:v>157.83268942296343</x:v>
      </x:c>
      <x:c r="N351" s="21" t="n">
        <x:f>IF(C351="source",'情景参数模板'!$D$12,IF(H351="echelon",'情景参数模板'!$D$13,'情景参数模板'!$D$14))</x:f>
        <x:v>0.49</x:v>
      </x:c>
      <x:c r="O351" s="21" t="n">
        <x:f>IF(C351="source",'情景参数模板'!$D$18,IF(H351="echelon",'情景参数模板'!$D$19,'情景参数模板'!$D$20))</x:f>
        <x:v>150</x:v>
      </x:c>
      <x:c r="P351" s="17" t="n">
        <x:f>IF(M351&lt;=O351,1,0)</x:f>
        <x:v>0</x:v>
      </x:c>
      <x:c r="Q351" s="17" t="str">
        <x:v>D-road proxy; B-coordinates</x:v>
      </x:c>
    </x:row>
    <x:row r="352">
      <x:c r="A352" s="17" t="str">
        <x:v>A0348</x:v>
      </x:c>
      <x:c r="B352" s="17" t="str">
        <x:v>GD17</x:v>
      </x:c>
      <x:c r="C352" s="17" t="str">
        <x:v>source</x:v>
      </x:c>
      <x:c r="D352" s="17" t="str">
        <x:v>肇庆</x:v>
      </x:c>
      <x:c r="E352" s="24" t="n">
        <x:v>112.4603629</x:v>
      </x:c>
      <x:c r="F352" s="24" t="n">
        <x:v>23.0501661</x:v>
      </x:c>
      <x:c r="G352" s="17" t="str">
        <x:v>C12</x:v>
      </x:c>
      <x:c r="H352" s="17" t="str">
        <x:v>collection</x:v>
      </x:c>
      <x:c r="I352" s="17" t="str">
        <x:v>中山虚拟回收/检测中心</x:v>
      </x:c>
      <x:c r="J352" s="24" t="n">
        <x:v>113.3872302</x:v>
      </x:c>
      <x:c r="K352" s="24" t="n">
        <x:v>22.5197073</x:v>
      </x:c>
      <x:c r="L352" s="21" t="n">
        <x:f>6371*ACOS(MIN(1,COS(F352*PI()/180)*COS(K352*PI()/180)*COS((J352-E352)*PI()/180)+SIN(F352*PI()/180)*SIN(K352*PI()/180)))</x:f>
        <x:v>111.83874026153268</x:v>
      </x:c>
      <x:c r="M352" s="21" t="n">
        <x:f>L352*'情景参数模板'!$D$31</x:f>
        <x:v>134.2064883138392</x:v>
      </x:c>
      <x:c r="N352" s="21" t="n">
        <x:f>IF(C352="source",'情景参数模板'!$D$12,IF(H352="echelon",'情景参数模板'!$D$13,'情景参数模板'!$D$14))</x:f>
        <x:v>0.49</x:v>
      </x:c>
      <x:c r="O352" s="21" t="n">
        <x:f>IF(C352="source",'情景参数模板'!$D$18,IF(H352="echelon",'情景参数模板'!$D$19,'情景参数模板'!$D$20))</x:f>
        <x:v>150</x:v>
      </x:c>
      <x:c r="P352" s="17" t="n">
        <x:f>IF(M352&lt;=O352,1,0)</x:f>
        <x:v>1</x:v>
      </x:c>
      <x:c r="Q352" s="17" t="str">
        <x:v>D-road proxy; B-coordinates</x:v>
      </x:c>
    </x:row>
    <x:row r="353">
      <x:c r="A353" s="17" t="str">
        <x:v>A0349</x:v>
      </x:c>
      <x:c r="B353" s="17" t="str">
        <x:v>GD17</x:v>
      </x:c>
      <x:c r="C353" s="17" t="str">
        <x:v>source</x:v>
      </x:c>
      <x:c r="D353" s="17" t="str">
        <x:v>肇庆</x:v>
      </x:c>
      <x:c r="E353" s="24" t="n">
        <x:v>112.4603629</x:v>
      </x:c>
      <x:c r="F353" s="24" t="n">
        <x:v>23.0501661</x:v>
      </x:c>
      <x:c r="G353" s="17" t="str">
        <x:v>C13</x:v>
      </x:c>
      <x:c r="H353" s="17" t="str">
        <x:v>collection</x:v>
      </x:c>
      <x:c r="I353" s="17" t="str">
        <x:v>江门虚拟回收/检测中心</x:v>
      </x:c>
      <x:c r="J353" s="24" t="n">
        <x:v>113.0761073</x:v>
      </x:c>
      <x:c r="K353" s="24" t="n">
        <x:v>22.5816619</x:v>
      </x:c>
      <x:c r="L353" s="21" t="n">
        <x:f>6371*ACOS(MIN(1,COS(F353*PI()/180)*COS(K353*PI()/180)*COS((J353-E353)*PI()/180)+SIN(F353*PI()/180)*SIN(K353*PI()/180)))</x:f>
        <x:v>81.8340180596413</x:v>
      </x:c>
      <x:c r="M353" s="21" t="n">
        <x:f>L353*'情景参数模板'!$D$31</x:f>
        <x:v>98.20082167156956</x:v>
      </x:c>
      <x:c r="N353" s="21" t="n">
        <x:f>IF(C353="source",'情景参数模板'!$D$12,IF(H353="echelon",'情景参数模板'!$D$13,'情景参数模板'!$D$14))</x:f>
        <x:v>0.49</x:v>
      </x:c>
      <x:c r="O353" s="21" t="n">
        <x:f>IF(C353="source",'情景参数模板'!$D$18,IF(H353="echelon",'情景参数模板'!$D$19,'情景参数模板'!$D$20))</x:f>
        <x:v>150</x:v>
      </x:c>
      <x:c r="P353" s="17" t="n">
        <x:f>IF(M353&lt;=O353,1,0)</x:f>
        <x:v>1</x:v>
      </x:c>
      <x:c r="Q353" s="17" t="str">
        <x:v>D-road proxy; B-coordinates</x:v>
      </x:c>
    </x:row>
    <x:row r="354">
      <x:c r="A354" s="17" t="str">
        <x:v>A0350</x:v>
      </x:c>
      <x:c r="B354" s="17" t="str">
        <x:v>GD17</x:v>
      </x:c>
      <x:c r="C354" s="17" t="str">
        <x:v>source</x:v>
      </x:c>
      <x:c r="D354" s="17" t="str">
        <x:v>肇庆</x:v>
      </x:c>
      <x:c r="E354" s="24" t="n">
        <x:v>112.4603629</x:v>
      </x:c>
      <x:c r="F354" s="24" t="n">
        <x:v>23.0501661</x:v>
      </x:c>
      <x:c r="G354" s="17" t="str">
        <x:v>C14</x:v>
      </x:c>
      <x:c r="H354" s="17" t="str">
        <x:v>collection</x:v>
      </x:c>
      <x:c r="I354" s="17" t="str">
        <x:v>阳江虚拟回收/检测中心</x:v>
      </x:c>
      <x:c r="J354" s="24" t="n">
        <x:v>111.7831393</x:v>
      </x:c>
      <x:c r="K354" s="24" t="n">
        <x:v>22.0958223</x:v>
      </x:c>
      <x:c r="L354" s="21" t="n">
        <x:f>6371*ACOS(MIN(1,COS(F354*PI()/180)*COS(K354*PI()/180)*COS((J354-E354)*PI()/180)+SIN(F354*PI()/180)*SIN(K354*PI()/180)))</x:f>
        <x:v>126.86998761494044</x:v>
      </x:c>
      <x:c r="M354" s="21" t="n">
        <x:f>L354*'情景参数模板'!$D$31</x:f>
        <x:v>152.24398513792852</x:v>
      </x:c>
      <x:c r="N354" s="21" t="n">
        <x:f>IF(C354="source",'情景参数模板'!$D$12,IF(H354="echelon",'情景参数模板'!$D$13,'情景参数模板'!$D$14))</x:f>
        <x:v>0.49</x:v>
      </x:c>
      <x:c r="O354" s="21" t="n">
        <x:f>IF(C354="source",'情景参数模板'!$D$18,IF(H354="echelon",'情景参数模板'!$D$19,'情景参数模板'!$D$20))</x:f>
        <x:v>150</x:v>
      </x:c>
      <x:c r="P354" s="17" t="n">
        <x:f>IF(M354&lt;=O354,1,0)</x:f>
        <x:v>0</x:v>
      </x:c>
      <x:c r="Q354" s="17" t="str">
        <x:v>D-road proxy; B-coordinates</x:v>
      </x:c>
    </x:row>
    <x:row r="355">
      <x:c r="A355" s="17" t="str">
        <x:v>A0351</x:v>
      </x:c>
      <x:c r="B355" s="17" t="str">
        <x:v>GD17</x:v>
      </x:c>
      <x:c r="C355" s="17" t="str">
        <x:v>source</x:v>
      </x:c>
      <x:c r="D355" s="17" t="str">
        <x:v>肇庆</x:v>
      </x:c>
      <x:c r="E355" s="24" t="n">
        <x:v>112.4603629</x:v>
      </x:c>
      <x:c r="F355" s="24" t="n">
        <x:v>23.0501661</x:v>
      </x:c>
      <x:c r="G355" s="17" t="str">
        <x:v>C15</x:v>
      </x:c>
      <x:c r="H355" s="17" t="str">
        <x:v>collection</x:v>
      </x:c>
      <x:c r="I355" s="17" t="str">
        <x:v>湛江虚拟回收/检测中心</x:v>
      </x:c>
      <x:c r="J355" s="24" t="n">
        <x:v>110.3548318</x:v>
      </x:c>
      <x:c r="K355" s="24" t="n">
        <x:v>21.2737079</x:v>
      </x:c>
      <x:c r="L355" s="21" t="n">
        <x:f>6371*ACOS(MIN(1,COS(F355*PI()/180)*COS(K355*PI()/180)*COS((J355-E355)*PI()/180)+SIN(F355*PI()/180)*SIN(K355*PI()/180)))</x:f>
        <x:v>293.3038557955491</x:v>
      </x:c>
      <x:c r="M355" s="21" t="n">
        <x:f>L355*'情景参数模板'!$D$31</x:f>
        <x:v>351.9646269546589</x:v>
      </x:c>
      <x:c r="N355" s="21" t="n">
        <x:f>IF(C355="source",'情景参数模板'!$D$12,IF(H355="echelon",'情景参数模板'!$D$13,'情景参数模板'!$D$14))</x:f>
        <x:v>0.49</x:v>
      </x:c>
      <x:c r="O355" s="21" t="n">
        <x:f>IF(C355="source",'情景参数模板'!$D$18,IF(H355="echelon",'情景参数模板'!$D$19,'情景参数模板'!$D$20))</x:f>
        <x:v>150</x:v>
      </x:c>
      <x:c r="P355" s="17" t="n">
        <x:f>IF(M355&lt;=O355,1,0)</x:f>
        <x:v>0</x:v>
      </x:c>
      <x:c r="Q355" s="17" t="str">
        <x:v>D-road proxy; B-coordinates</x:v>
      </x:c>
    </x:row>
    <x:row r="356">
      <x:c r="A356" s="17" t="str">
        <x:v>A0352</x:v>
      </x:c>
      <x:c r="B356" s="17" t="str">
        <x:v>GD17</x:v>
      </x:c>
      <x:c r="C356" s="17" t="str">
        <x:v>source</x:v>
      </x:c>
      <x:c r="D356" s="17" t="str">
        <x:v>肇庆</x:v>
      </x:c>
      <x:c r="E356" s="24" t="n">
        <x:v>112.4603629</x:v>
      </x:c>
      <x:c r="F356" s="24" t="n">
        <x:v>23.0501661</x:v>
      </x:c>
      <x:c r="G356" s="17" t="str">
        <x:v>C16</x:v>
      </x:c>
      <x:c r="H356" s="17" t="str">
        <x:v>collection</x:v>
      </x:c>
      <x:c r="I356" s="17" t="str">
        <x:v>茂名虚拟回收/检测中心</x:v>
      </x:c>
      <x:c r="J356" s="24" t="n">
        <x:v>110.9209511</x:v>
      </x:c>
      <x:c r="K356" s="24" t="n">
        <x:v>21.6656961</x:v>
      </x:c>
      <x:c r="L356" s="21" t="n">
        <x:f>6371*ACOS(MIN(1,COS(F356*PI()/180)*COS(K356*PI()/180)*COS((J356-E356)*PI()/180)+SIN(F356*PI()/180)*SIN(K356*PI()/180)))</x:f>
        <x:v>220.81298704421815</x:v>
      </x:c>
      <x:c r="M356" s="21" t="n">
        <x:f>L356*'情景参数模板'!$D$31</x:f>
        <x:v>264.97558445306174</x:v>
      </x:c>
      <x:c r="N356" s="21" t="n">
        <x:f>IF(C356="source",'情景参数模板'!$D$12,IF(H356="echelon",'情景参数模板'!$D$13,'情景参数模板'!$D$14))</x:f>
        <x:v>0.49</x:v>
      </x:c>
      <x:c r="O356" s="21" t="n">
        <x:f>IF(C356="source",'情景参数模板'!$D$18,IF(H356="echelon",'情景参数模板'!$D$19,'情景参数模板'!$D$20))</x:f>
        <x:v>150</x:v>
      </x:c>
      <x:c r="P356" s="17" t="n">
        <x:f>IF(M356&lt;=O356,1,0)</x:f>
        <x:v>0</x:v>
      </x:c>
      <x:c r="Q356" s="17" t="str">
        <x:v>D-road proxy; B-coordinates</x:v>
      </x:c>
    </x:row>
    <x:row r="357">
      <x:c r="A357" s="17" t="str">
        <x:v>A0353</x:v>
      </x:c>
      <x:c r="B357" s="17" t="str">
        <x:v>GD17</x:v>
      </x:c>
      <x:c r="C357" s="17" t="str">
        <x:v>source</x:v>
      </x:c>
      <x:c r="D357" s="17" t="str">
        <x:v>肇庆</x:v>
      </x:c>
      <x:c r="E357" s="24" t="n">
        <x:v>112.4603629</x:v>
      </x:c>
      <x:c r="F357" s="24" t="n">
        <x:v>23.0501661</x:v>
      </x:c>
      <x:c r="G357" s="17" t="str">
        <x:v>C17</x:v>
      </x:c>
      <x:c r="H357" s="17" t="str">
        <x:v>collection</x:v>
      </x:c>
      <x:c r="I357" s="17" t="str">
        <x:v>肇庆虚拟回收/检测中心</x:v>
      </x:c>
      <x:c r="J357" s="24" t="n">
        <x:v>112.4603629</x:v>
      </x:c>
      <x:c r="K357" s="24" t="n">
        <x:v>23.0501661</x:v>
      </x:c>
      <x:c r="L357" s="21" t="n">
        <x:f>6371*ACOS(MIN(1,COS(F357*PI()/180)*COS(K357*PI()/180)*COS((J357-E357)*PI()/180)+SIN(F357*PI()/180)*SIN(K357*PI()/180)))</x:f>
        <x:v>0</x:v>
      </x:c>
      <x:c r="M357" s="21" t="n">
        <x:f>L357*'情景参数模板'!$D$31</x:f>
        <x:v>0</x:v>
      </x:c>
      <x:c r="N357" s="21" t="n">
        <x:f>IF(C357="source",'情景参数模板'!$D$12,IF(H357="echelon",'情景参数模板'!$D$13,'情景参数模板'!$D$14))</x:f>
        <x:v>0.49</x:v>
      </x:c>
      <x:c r="O357" s="21" t="n">
        <x:f>IF(C357="source",'情景参数模板'!$D$18,IF(H357="echelon",'情景参数模板'!$D$19,'情景参数模板'!$D$20))</x:f>
        <x:v>150</x:v>
      </x:c>
      <x:c r="P357" s="17" t="n">
        <x:f>IF(M357&lt;=O357,1,0)</x:f>
        <x:v>1</x:v>
      </x:c>
      <x:c r="Q357" s="17" t="str">
        <x:v>D-road proxy; B-coordinates</x:v>
      </x:c>
    </x:row>
    <x:row r="358">
      <x:c r="A358" s="17" t="str">
        <x:v>A0354</x:v>
      </x:c>
      <x:c r="B358" s="17" t="str">
        <x:v>GD17</x:v>
      </x:c>
      <x:c r="C358" s="17" t="str">
        <x:v>source</x:v>
      </x:c>
      <x:c r="D358" s="17" t="str">
        <x:v>肇庆</x:v>
      </x:c>
      <x:c r="E358" s="24" t="n">
        <x:v>112.4603629</x:v>
      </x:c>
      <x:c r="F358" s="24" t="n">
        <x:v>23.0501661</x:v>
      </x:c>
      <x:c r="G358" s="17" t="str">
        <x:v>C18</x:v>
      </x:c>
      <x:c r="H358" s="17" t="str">
        <x:v>collection</x:v>
      </x:c>
      <x:c r="I358" s="17" t="str">
        <x:v>清远虚拟回收/检测中心</x:v>
      </x:c>
      <x:c r="J358" s="24" t="n">
        <x:v>113.0505994</x:v>
      </x:c>
      <x:c r="K358" s="24" t="n">
        <x:v>23.6832984</x:v>
      </x:c>
      <x:c r="L358" s="21" t="n">
        <x:f>6371*ACOS(MIN(1,COS(F358*PI()/180)*COS(K358*PI()/180)*COS((J358-E358)*PI()/180)+SIN(F358*PI()/180)*SIN(K358*PI()/180)))</x:f>
        <x:v>92.66143114992624</x:v>
      </x:c>
      <x:c r="M358" s="21" t="n">
        <x:f>L358*'情景参数模板'!$D$31</x:f>
        <x:v>111.19371737991149</x:v>
      </x:c>
      <x:c r="N358" s="21" t="n">
        <x:f>IF(C358="source",'情景参数模板'!$D$12,IF(H358="echelon",'情景参数模板'!$D$13,'情景参数模板'!$D$14))</x:f>
        <x:v>0.49</x:v>
      </x:c>
      <x:c r="O358" s="21" t="n">
        <x:f>IF(C358="source",'情景参数模板'!$D$18,IF(H358="echelon",'情景参数模板'!$D$19,'情景参数模板'!$D$20))</x:f>
        <x:v>150</x:v>
      </x:c>
      <x:c r="P358" s="17" t="n">
        <x:f>IF(M358&lt;=O358,1,0)</x:f>
        <x:v>1</x:v>
      </x:c>
      <x:c r="Q358" s="17" t="str">
        <x:v>D-road proxy; B-coordinates</x:v>
      </x:c>
    </x:row>
    <x:row r="359">
      <x:c r="A359" s="17" t="str">
        <x:v>A0355</x:v>
      </x:c>
      <x:c r="B359" s="17" t="str">
        <x:v>GD17</x:v>
      </x:c>
      <x:c r="C359" s="17" t="str">
        <x:v>source</x:v>
      </x:c>
      <x:c r="D359" s="17" t="str">
        <x:v>肇庆</x:v>
      </x:c>
      <x:c r="E359" s="24" t="n">
        <x:v>112.4603629</x:v>
      </x:c>
      <x:c r="F359" s="24" t="n">
        <x:v>23.0501661</x:v>
      </x:c>
      <x:c r="G359" s="17" t="str">
        <x:v>C19</x:v>
      </x:c>
      <x:c r="H359" s="17" t="str">
        <x:v>collection</x:v>
      </x:c>
      <x:c r="I359" s="17" t="str">
        <x:v>潮州虚拟回收/检测中心</x:v>
      </x:c>
      <x:c r="J359" s="24" t="n">
        <x:v>116.6204223</x:v>
      </x:c>
      <x:c r="K359" s="24" t="n">
        <x:v>23.656593</x:v>
      </x:c>
      <x:c r="L359" s="21" t="n">
        <x:f>6371*ACOS(MIN(1,COS(F359*PI()/180)*COS(K359*PI()/180)*COS((J359-E359)*PI()/180)+SIN(F359*PI()/180)*SIN(K359*PI()/180)))</x:f>
        <x:v>429.98456385867706</x:v>
      </x:c>
      <x:c r="M359" s="21" t="n">
        <x:f>L359*'情景参数模板'!$D$31</x:f>
        <x:v>515.9814766304124</x:v>
      </x:c>
      <x:c r="N359" s="21" t="n">
        <x:f>IF(C359="source",'情景参数模板'!$D$12,IF(H359="echelon",'情景参数模板'!$D$13,'情景参数模板'!$D$14))</x:f>
        <x:v>0.49</x:v>
      </x:c>
      <x:c r="O359" s="21" t="n">
        <x:f>IF(C359="source",'情景参数模板'!$D$18,IF(H359="echelon",'情景参数模板'!$D$19,'情景参数模板'!$D$20))</x:f>
        <x:v>150</x:v>
      </x:c>
      <x:c r="P359" s="17" t="n">
        <x:f>IF(M359&lt;=O359,1,0)</x:f>
        <x:v>0</x:v>
      </x:c>
      <x:c r="Q359" s="17" t="str">
        <x:v>D-road proxy; B-coordinates</x:v>
      </x:c>
    </x:row>
    <x:row r="360">
      <x:c r="A360" s="17" t="str">
        <x:v>A0356</x:v>
      </x:c>
      <x:c r="B360" s="17" t="str">
        <x:v>GD17</x:v>
      </x:c>
      <x:c r="C360" s="17" t="str">
        <x:v>source</x:v>
      </x:c>
      <x:c r="D360" s="17" t="str">
        <x:v>肇庆</x:v>
      </x:c>
      <x:c r="E360" s="24" t="n">
        <x:v>112.4603629</x:v>
      </x:c>
      <x:c r="F360" s="24" t="n">
        <x:v>23.0501661</x:v>
      </x:c>
      <x:c r="G360" s="17" t="str">
        <x:v>C20</x:v>
      </x:c>
      <x:c r="H360" s="17" t="str">
        <x:v>collection</x:v>
      </x:c>
      <x:c r="I360" s="17" t="str">
        <x:v>揭阳虚拟回收/检测中心</x:v>
      </x:c>
      <x:c r="J360" s="24" t="n">
        <x:v>116.3680354</x:v>
      </x:c>
      <x:c r="K360" s="24" t="n">
        <x:v>23.553156</x:v>
      </x:c>
      <x:c r="L360" s="21" t="n">
        <x:f>6371*ACOS(MIN(1,COS(F360*PI()/180)*COS(K360*PI()/180)*COS((J360-E360)*PI()/180)+SIN(F360*PI()/180)*SIN(K360*PI()/180)))</x:f>
        <x:v>402.95849892739517</x:v>
      </x:c>
      <x:c r="M360" s="21" t="n">
        <x:f>L360*'情景参数模板'!$D$31</x:f>
        <x:v>483.5501987128742</x:v>
      </x:c>
      <x:c r="N360" s="21" t="n">
        <x:f>IF(C360="source",'情景参数模板'!$D$12,IF(H360="echelon",'情景参数模板'!$D$13,'情景参数模板'!$D$14))</x:f>
        <x:v>0.49</x:v>
      </x:c>
      <x:c r="O360" s="21" t="n">
        <x:f>IF(C360="source",'情景参数模板'!$D$18,IF(H360="echelon",'情景参数模板'!$D$19,'情景参数模板'!$D$20))</x:f>
        <x:v>150</x:v>
      </x:c>
      <x:c r="P360" s="17" t="n">
        <x:f>IF(M360&lt;=O360,1,0)</x:f>
        <x:v>0</x:v>
      </x:c>
      <x:c r="Q360" s="17" t="str">
        <x:v>D-road proxy; B-coordinates</x:v>
      </x:c>
    </x:row>
    <x:row r="361">
      <x:c r="A361" s="17" t="str">
        <x:v>A0357</x:v>
      </x:c>
      <x:c r="B361" s="17" t="str">
        <x:v>GD17</x:v>
      </x:c>
      <x:c r="C361" s="17" t="str">
        <x:v>source</x:v>
      </x:c>
      <x:c r="D361" s="17" t="str">
        <x:v>肇庆</x:v>
      </x:c>
      <x:c r="E361" s="24" t="n">
        <x:v>112.4603629</x:v>
      </x:c>
      <x:c r="F361" s="24" t="n">
        <x:v>23.0501661</x:v>
      </x:c>
      <x:c r="G361" s="17" t="str">
        <x:v>C21</x:v>
      </x:c>
      <x:c r="H361" s="17" t="str">
        <x:v>collection</x:v>
      </x:c>
      <x:c r="I361" s="17" t="str">
        <x:v>云浮虚拟回收/检测中心</x:v>
      </x:c>
      <x:c r="J361" s="24" t="n">
        <x:v>111.8078586</x:v>
      </x:c>
      <x:c r="K361" s="24" t="n">
        <x:v>22.8546663</x:v>
      </x:c>
      <x:c r="L361" s="21" t="n">
        <x:f>6371*ACOS(MIN(1,COS(F361*PI()/180)*COS(K361*PI()/180)*COS((J361-E361)*PI()/180)+SIN(F361*PI()/180)*SIN(K361*PI()/180)))</x:f>
        <x:v>70.25844555620367</x:v>
      </x:c>
      <x:c r="M361" s="21" t="n">
        <x:f>L361*'情景参数模板'!$D$31</x:f>
        <x:v>84.3101346674444</x:v>
      </x:c>
      <x:c r="N361" s="21" t="n">
        <x:f>IF(C361="source",'情景参数模板'!$D$12,IF(H361="echelon",'情景参数模板'!$D$13,'情景参数模板'!$D$14))</x:f>
        <x:v>0.49</x:v>
      </x:c>
      <x:c r="O361" s="21" t="n">
        <x:f>IF(C361="source",'情景参数模板'!$D$18,IF(H361="echelon",'情景参数模板'!$D$19,'情景参数模板'!$D$20))</x:f>
        <x:v>150</x:v>
      </x:c>
      <x:c r="P361" s="17" t="n">
        <x:f>IF(M361&lt;=O361,1,0)</x:f>
        <x:v>1</x:v>
      </x:c>
      <x:c r="Q361" s="17" t="str">
        <x:v>D-road proxy; B-coordinates</x:v>
      </x:c>
    </x:row>
    <x:row r="362">
      <x:c r="A362" s="17" t="str">
        <x:v>A0358</x:v>
      </x:c>
      <x:c r="B362" s="17" t="str">
        <x:v>GD18</x:v>
      </x:c>
      <x:c r="C362" s="17" t="str">
        <x:v>source</x:v>
      </x:c>
      <x:c r="D362" s="17" t="str">
        <x:v>清远</x:v>
      </x:c>
      <x:c r="E362" s="24" t="n">
        <x:v>113.0505994</x:v>
      </x:c>
      <x:c r="F362" s="24" t="n">
        <x:v>23.6832984</x:v>
      </x:c>
      <x:c r="G362" s="17" t="str">
        <x:v>C01</x:v>
      </x:c>
      <x:c r="H362" s="17" t="str">
        <x:v>collection</x:v>
      </x:c>
      <x:c r="I362" s="17" t="str">
        <x:v>广州虚拟回收/检测中心</x:v>
      </x:c>
      <x:c r="J362" s="24" t="n">
        <x:v>113.2589581</x:v>
      </x:c>
      <x:c r="K362" s="24" t="n">
        <x:v>23.1288429</x:v>
      </x:c>
      <x:c r="L362" s="21" t="n">
        <x:f>6371*ACOS(MIN(1,COS(F362*PI()/180)*COS(K362*PI()/180)*COS((J362-E362)*PI()/180)+SIN(F362*PI()/180)*SIN(K362*PI()/180)))</x:f>
        <x:v>65.21589659147114</x:v>
      </x:c>
      <x:c r="M362" s="21" t="n">
        <x:f>L362*'情景参数模板'!$D$31</x:f>
        <x:v>78.25907590976536</x:v>
      </x:c>
      <x:c r="N362" s="21" t="n">
        <x:f>IF(C362="source",'情景参数模板'!$D$12,IF(H362="echelon",'情景参数模板'!$D$13,'情景参数模板'!$D$14))</x:f>
        <x:v>0.49</x:v>
      </x:c>
      <x:c r="O362" s="21" t="n">
        <x:f>IF(C362="source",'情景参数模板'!$D$18,IF(H362="echelon",'情景参数模板'!$D$19,'情景参数模板'!$D$20))</x:f>
        <x:v>150</x:v>
      </x:c>
      <x:c r="P362" s="17" t="n">
        <x:f>IF(M362&lt;=O362,1,0)</x:f>
        <x:v>1</x:v>
      </x:c>
      <x:c r="Q362" s="17" t="str">
        <x:v>D-road proxy; B-coordinates</x:v>
      </x:c>
    </x:row>
    <x:row r="363">
      <x:c r="A363" s="17" t="str">
        <x:v>A0359</x:v>
      </x:c>
      <x:c r="B363" s="17" t="str">
        <x:v>GD18</x:v>
      </x:c>
      <x:c r="C363" s="17" t="str">
        <x:v>source</x:v>
      </x:c>
      <x:c r="D363" s="17" t="str">
        <x:v>清远</x:v>
      </x:c>
      <x:c r="E363" s="24" t="n">
        <x:v>113.0505994</x:v>
      </x:c>
      <x:c r="F363" s="24" t="n">
        <x:v>23.6832984</x:v>
      </x:c>
      <x:c r="G363" s="17" t="str">
        <x:v>C02</x:v>
      </x:c>
      <x:c r="H363" s="17" t="str">
        <x:v>collection</x:v>
      </x:c>
      <x:c r="I363" s="17" t="str">
        <x:v>深圳虚拟回收/检测中心</x:v>
      </x:c>
      <x:c r="J363" s="24" t="n">
        <x:v>114.0545429</x:v>
      </x:c>
      <x:c r="K363" s="24" t="n">
        <x:v>22.5445741</x:v>
      </x:c>
      <x:c r="L363" s="21" t="n">
        <x:f>6371*ACOS(MIN(1,COS(F363*PI()/180)*COS(K363*PI()/180)*COS((J363-E363)*PI()/180)+SIN(F363*PI()/180)*SIN(K363*PI()/180)))</x:f>
        <x:v>163.01445483081335</x:v>
      </x:c>
      <x:c r="M363" s="21" t="n">
        <x:f>L363*'情景参数模板'!$D$31</x:f>
        <x:v>195.61734579697602</x:v>
      </x:c>
      <x:c r="N363" s="21" t="n">
        <x:f>IF(C363="source",'情景参数模板'!$D$12,IF(H363="echelon",'情景参数模板'!$D$13,'情景参数模板'!$D$14))</x:f>
        <x:v>0.49</x:v>
      </x:c>
      <x:c r="O363" s="21" t="n">
        <x:f>IF(C363="source",'情景参数模板'!$D$18,IF(H363="echelon",'情景参数模板'!$D$19,'情景参数模板'!$D$20))</x:f>
        <x:v>150</x:v>
      </x:c>
      <x:c r="P363" s="17" t="n">
        <x:f>IF(M363&lt;=O363,1,0)</x:f>
        <x:v>0</x:v>
      </x:c>
      <x:c r="Q363" s="17" t="str">
        <x:v>D-road proxy; B-coordinates</x:v>
      </x:c>
    </x:row>
    <x:row r="364">
      <x:c r="A364" s="17" t="str">
        <x:v>A0360</x:v>
      </x:c>
      <x:c r="B364" s="17" t="str">
        <x:v>GD18</x:v>
      </x:c>
      <x:c r="C364" s="17" t="str">
        <x:v>source</x:v>
      </x:c>
      <x:c r="D364" s="17" t="str">
        <x:v>清远</x:v>
      </x:c>
      <x:c r="E364" s="24" t="n">
        <x:v>113.0505994</x:v>
      </x:c>
      <x:c r="F364" s="24" t="n">
        <x:v>23.6832984</x:v>
      </x:c>
      <x:c r="G364" s="17" t="str">
        <x:v>C03</x:v>
      </x:c>
      <x:c r="H364" s="17" t="str">
        <x:v>collection</x:v>
      </x:c>
      <x:c r="I364" s="17" t="str">
        <x:v>珠海虚拟回收/检测中心</x:v>
      </x:c>
      <x:c r="J364" s="24" t="n">
        <x:v>113.5721327</x:v>
      </x:c>
      <x:c r="K364" s="24" t="n">
        <x:v>22.273734</x:v>
      </x:c>
      <x:c r="L364" s="21" t="n">
        <x:f>6371*ACOS(MIN(1,COS(F364*PI()/180)*COS(K364*PI()/180)*COS((J364-E364)*PI()/180)+SIN(F364*PI()/180)*SIN(K364*PI()/180)))</x:f>
        <x:v>165.57958735422196</x:v>
      </x:c>
      <x:c r="M364" s="21" t="n">
        <x:f>L364*'情景参数模板'!$D$31</x:f>
        <x:v>198.69550482506634</x:v>
      </x:c>
      <x:c r="N364" s="21" t="n">
        <x:f>IF(C364="source",'情景参数模板'!$D$12,IF(H364="echelon",'情景参数模板'!$D$13,'情景参数模板'!$D$14))</x:f>
        <x:v>0.49</x:v>
      </x:c>
      <x:c r="O364" s="21" t="n">
        <x:f>IF(C364="source",'情景参数模板'!$D$18,IF(H364="echelon",'情景参数模板'!$D$19,'情景参数模板'!$D$20))</x:f>
        <x:v>150</x:v>
      </x:c>
      <x:c r="P364" s="17" t="n">
        <x:f>IF(M364&lt;=O364,1,0)</x:f>
        <x:v>0</x:v>
      </x:c>
      <x:c r="Q364" s="17" t="str">
        <x:v>D-road proxy; B-coordinates</x:v>
      </x:c>
    </x:row>
    <x:row r="365">
      <x:c r="A365" s="17" t="str">
        <x:v>A0361</x:v>
      </x:c>
      <x:c r="B365" s="17" t="str">
        <x:v>GD18</x:v>
      </x:c>
      <x:c r="C365" s="17" t="str">
        <x:v>source</x:v>
      </x:c>
      <x:c r="D365" s="17" t="str">
        <x:v>清远</x:v>
      </x:c>
      <x:c r="E365" s="24" t="n">
        <x:v>113.0505994</x:v>
      </x:c>
      <x:c r="F365" s="24" t="n">
        <x:v>23.6832984</x:v>
      </x:c>
      <x:c r="G365" s="17" t="str">
        <x:v>C04</x:v>
      </x:c>
      <x:c r="H365" s="17" t="str">
        <x:v>collection</x:v>
      </x:c>
      <x:c r="I365" s="17" t="str">
        <x:v>汕头虚拟回收/检测中心</x:v>
      </x:c>
      <x:c r="J365" s="24" t="n">
        <x:v>116.6775856</x:v>
      </x:c>
      <x:c r="K365" s="24" t="n">
        <x:v>23.3563921</x:v>
      </x:c>
      <x:c r="L365" s="21" t="n">
        <x:f>6371*ACOS(MIN(1,COS(F365*PI()/180)*COS(K365*PI()/180)*COS((J365-E365)*PI()/180)+SIN(F365*PI()/180)*SIN(K365*PI()/180)))</x:f>
        <x:v>371.5685810407413</x:v>
      </x:c>
      <x:c r="M365" s="21" t="n">
        <x:f>L365*'情景参数模板'!$D$31</x:f>
        <x:v>445.8822972488896</x:v>
      </x:c>
      <x:c r="N365" s="21" t="n">
        <x:f>IF(C365="source",'情景参数模板'!$D$12,IF(H365="echelon",'情景参数模板'!$D$13,'情景参数模板'!$D$14))</x:f>
        <x:v>0.49</x:v>
      </x:c>
      <x:c r="O365" s="21" t="n">
        <x:f>IF(C365="source",'情景参数模板'!$D$18,IF(H365="echelon",'情景参数模板'!$D$19,'情景参数模板'!$D$20))</x:f>
        <x:v>150</x:v>
      </x:c>
      <x:c r="P365" s="17" t="n">
        <x:f>IF(M365&lt;=O365,1,0)</x:f>
        <x:v>0</x:v>
      </x:c>
      <x:c r="Q365" s="17" t="str">
        <x:v>D-road proxy; B-coordinates</x:v>
      </x:c>
    </x:row>
    <x:row r="366">
      <x:c r="A366" s="17" t="str">
        <x:v>A0362</x:v>
      </x:c>
      <x:c r="B366" s="17" t="str">
        <x:v>GD18</x:v>
      </x:c>
      <x:c r="C366" s="17" t="str">
        <x:v>source</x:v>
      </x:c>
      <x:c r="D366" s="17" t="str">
        <x:v>清远</x:v>
      </x:c>
      <x:c r="E366" s="24" t="n">
        <x:v>113.0505994</x:v>
      </x:c>
      <x:c r="F366" s="24" t="n">
        <x:v>23.6832984</x:v>
      </x:c>
      <x:c r="G366" s="17" t="str">
        <x:v>C05</x:v>
      </x:c>
      <x:c r="H366" s="17" t="str">
        <x:v>collection</x:v>
      </x:c>
      <x:c r="I366" s="17" t="str">
        <x:v>佛山虚拟回收/检测中心</x:v>
      </x:c>
      <x:c r="J366" s="24" t="n">
        <x:v>113.1159558</x:v>
      </x:c>
      <x:c r="K366" s="24" t="n">
        <x:v>23.0239788</x:v>
      </x:c>
      <x:c r="L366" s="21" t="n">
        <x:f>6371*ACOS(MIN(1,COS(F366*PI()/180)*COS(K366*PI()/180)*COS((J366-E366)*PI()/180)+SIN(F366*PI()/180)*SIN(K366*PI()/180)))</x:f>
        <x:v>73.61595665399058</x:v>
      </x:c>
      <x:c r="M366" s="21" t="n">
        <x:f>L366*'情景参数模板'!$D$31</x:f>
        <x:v>88.3391479847887</x:v>
      </x:c>
      <x:c r="N366" s="21" t="n">
        <x:f>IF(C366="source",'情景参数模板'!$D$12,IF(H366="echelon",'情景参数模板'!$D$13,'情景参数模板'!$D$14))</x:f>
        <x:v>0.49</x:v>
      </x:c>
      <x:c r="O366" s="21" t="n">
        <x:f>IF(C366="source",'情景参数模板'!$D$18,IF(H366="echelon",'情景参数模板'!$D$19,'情景参数模板'!$D$20))</x:f>
        <x:v>150</x:v>
      </x:c>
      <x:c r="P366" s="17" t="n">
        <x:f>IF(M366&lt;=O366,1,0)</x:f>
        <x:v>1</x:v>
      </x:c>
      <x:c r="Q366" s="17" t="str">
        <x:v>D-road proxy; B-coordinates</x:v>
      </x:c>
    </x:row>
    <x:row r="367">
      <x:c r="A367" s="17" t="str">
        <x:v>A0363</x:v>
      </x:c>
      <x:c r="B367" s="17" t="str">
        <x:v>GD18</x:v>
      </x:c>
      <x:c r="C367" s="17" t="str">
        <x:v>source</x:v>
      </x:c>
      <x:c r="D367" s="17" t="str">
        <x:v>清远</x:v>
      </x:c>
      <x:c r="E367" s="24" t="n">
        <x:v>113.0505994</x:v>
      </x:c>
      <x:c r="F367" s="24" t="n">
        <x:v>23.6832984</x:v>
      </x:c>
      <x:c r="G367" s="17" t="str">
        <x:v>C06</x:v>
      </x:c>
      <x:c r="H367" s="17" t="str">
        <x:v>collection</x:v>
      </x:c>
      <x:c r="I367" s="17" t="str">
        <x:v>韶关虚拟回收/检测中心</x:v>
      </x:c>
      <x:c r="J367" s="24" t="n">
        <x:v>113.8155263</x:v>
      </x:c>
      <x:c r="K367" s="24" t="n">
        <x:v>24.8309489</x:v>
      </x:c>
      <x:c r="L367" s="21" t="n">
        <x:f>6371*ACOS(MIN(1,COS(F367*PI()/180)*COS(K367*PI()/180)*COS((J367-E367)*PI()/180)+SIN(F367*PI()/180)*SIN(K367*PI()/180)))</x:f>
        <x:v>149.32572957361296</x:v>
      </x:c>
      <x:c r="M367" s="21" t="n">
        <x:f>L367*'情景参数模板'!$D$31</x:f>
        <x:v>179.19087548833554</x:v>
      </x:c>
      <x:c r="N367" s="21" t="n">
        <x:f>IF(C367="source",'情景参数模板'!$D$12,IF(H367="echelon",'情景参数模板'!$D$13,'情景参数模板'!$D$14))</x:f>
        <x:v>0.49</x:v>
      </x:c>
      <x:c r="O367" s="21" t="n">
        <x:f>IF(C367="source",'情景参数模板'!$D$18,IF(H367="echelon",'情景参数模板'!$D$19,'情景参数模板'!$D$20))</x:f>
        <x:v>150</x:v>
      </x:c>
      <x:c r="P367" s="17" t="n">
        <x:f>IF(M367&lt;=O367,1,0)</x:f>
        <x:v>0</x:v>
      </x:c>
      <x:c r="Q367" s="17" t="str">
        <x:v>D-road proxy; B-coordinates</x:v>
      </x:c>
    </x:row>
    <x:row r="368">
      <x:c r="A368" s="17" t="str">
        <x:v>A0364</x:v>
      </x:c>
      <x:c r="B368" s="17" t="str">
        <x:v>GD18</x:v>
      </x:c>
      <x:c r="C368" s="17" t="str">
        <x:v>source</x:v>
      </x:c>
      <x:c r="D368" s="17" t="str">
        <x:v>清远</x:v>
      </x:c>
      <x:c r="E368" s="24" t="n">
        <x:v>113.0505994</x:v>
      </x:c>
      <x:c r="F368" s="24" t="n">
        <x:v>23.6832984</x:v>
      </x:c>
      <x:c r="G368" s="17" t="str">
        <x:v>C07</x:v>
      </x:c>
      <x:c r="H368" s="17" t="str">
        <x:v>collection</x:v>
      </x:c>
      <x:c r="I368" s="17" t="str">
        <x:v>河源虚拟回收/检测中心</x:v>
      </x:c>
      <x:c r="J368" s="24" t="n">
        <x:v>115.0577538</x:v>
      </x:c>
      <x:c r="K368" s="24" t="n">
        <x:v>24.1014769</x:v>
      </x:c>
      <x:c r="L368" s="21" t="n">
        <x:f>6371*ACOS(MIN(1,COS(F368*PI()/180)*COS(K368*PI()/180)*COS((J368-E368)*PI()/180)+SIN(F368*PI()/180)*SIN(K368*PI()/180)))</x:f>
        <x:v>209.288636539523</x:v>
      </x:c>
      <x:c r="M368" s="21" t="n">
        <x:f>L368*'情景参数模板'!$D$31</x:f>
        <x:v>251.14636384742758</x:v>
      </x:c>
      <x:c r="N368" s="21" t="n">
        <x:f>IF(C368="source",'情景参数模板'!$D$12,IF(H368="echelon",'情景参数模板'!$D$13,'情景参数模板'!$D$14))</x:f>
        <x:v>0.49</x:v>
      </x:c>
      <x:c r="O368" s="21" t="n">
        <x:f>IF(C368="source",'情景参数模板'!$D$18,IF(H368="echelon",'情景参数模板'!$D$19,'情景参数模板'!$D$20))</x:f>
        <x:v>150</x:v>
      </x:c>
      <x:c r="P368" s="17" t="n">
        <x:f>IF(M368&lt;=O368,1,0)</x:f>
        <x:v>0</x:v>
      </x:c>
      <x:c r="Q368" s="17" t="str">
        <x:v>D-road proxy; B-coordinates</x:v>
      </x:c>
    </x:row>
    <x:row r="369">
      <x:c r="A369" s="17" t="str">
        <x:v>A0365</x:v>
      </x:c>
      <x:c r="B369" s="17" t="str">
        <x:v>GD18</x:v>
      </x:c>
      <x:c r="C369" s="17" t="str">
        <x:v>source</x:v>
      </x:c>
      <x:c r="D369" s="17" t="str">
        <x:v>清远</x:v>
      </x:c>
      <x:c r="E369" s="24" t="n">
        <x:v>113.0505994</x:v>
      </x:c>
      <x:c r="F369" s="24" t="n">
        <x:v>23.6832984</x:v>
      </x:c>
      <x:c r="G369" s="17" t="str">
        <x:v>C08</x:v>
      </x:c>
      <x:c r="H369" s="17" t="str">
        <x:v>collection</x:v>
      </x:c>
      <x:c r="I369" s="17" t="str">
        <x:v>梅州虚拟回收/检测中心</x:v>
      </x:c>
      <x:c r="J369" s="24" t="n">
        <x:v>116.1171428</x:v>
      </x:c>
      <x:c r="K369" s="24" t="n">
        <x:v>24.2918414</x:v>
      </x:c>
      <x:c r="L369" s="21" t="n">
        <x:f>6371*ACOS(MIN(1,COS(F369*PI()/180)*COS(K369*PI()/180)*COS((J369-E369)*PI()/180)+SIN(F369*PI()/180)*SIN(K369*PI()/180)))</x:f>
        <x:v>318.7903486527325</x:v>
      </x:c>
      <x:c r="M369" s="21" t="n">
        <x:f>L369*'情景参数模板'!$D$31</x:f>
        <x:v>382.548418383279</x:v>
      </x:c>
      <x:c r="N369" s="21" t="n">
        <x:f>IF(C369="source",'情景参数模板'!$D$12,IF(H369="echelon",'情景参数模板'!$D$13,'情景参数模板'!$D$14))</x:f>
        <x:v>0.49</x:v>
      </x:c>
      <x:c r="O369" s="21" t="n">
        <x:f>IF(C369="source",'情景参数模板'!$D$18,IF(H369="echelon",'情景参数模板'!$D$19,'情景参数模板'!$D$20))</x:f>
        <x:v>150</x:v>
      </x:c>
      <x:c r="P369" s="17" t="n">
        <x:f>IF(M369&lt;=O369,1,0)</x:f>
        <x:v>0</x:v>
      </x:c>
      <x:c r="Q369" s="17" t="str">
        <x:v>D-road proxy; B-coordinates</x:v>
      </x:c>
    </x:row>
    <x:row r="370">
      <x:c r="A370" s="17" t="str">
        <x:v>A0366</x:v>
      </x:c>
      <x:c r="B370" s="17" t="str">
        <x:v>GD18</x:v>
      </x:c>
      <x:c r="C370" s="17" t="str">
        <x:v>source</x:v>
      </x:c>
      <x:c r="D370" s="17" t="str">
        <x:v>清远</x:v>
      </x:c>
      <x:c r="E370" s="24" t="n">
        <x:v>113.0505994</x:v>
      </x:c>
      <x:c r="F370" s="24" t="n">
        <x:v>23.6832984</x:v>
      </x:c>
      <x:c r="G370" s="17" t="str">
        <x:v>C09</x:v>
      </x:c>
      <x:c r="H370" s="17" t="str">
        <x:v>collection</x:v>
      </x:c>
      <x:c r="I370" s="17" t="str">
        <x:v>惠州虚拟回收/检测中心</x:v>
      </x:c>
      <x:c r="J370" s="24" t="n">
        <x:v>114.4127007</x:v>
      </x:c>
      <x:c r="K370" s="24" t="n">
        <x:v>23.1125153</x:v>
      </x:c>
      <x:c r="L370" s="21" t="n">
        <x:f>6371*ACOS(MIN(1,COS(F370*PI()/180)*COS(K370*PI()/180)*COS((J370-E370)*PI()/180)+SIN(F370*PI()/180)*SIN(K370*PI()/180)))</x:f>
        <x:v>152.80699130297583</x:v>
      </x:c>
      <x:c r="M370" s="21" t="n">
        <x:f>L370*'情景参数模板'!$D$31</x:f>
        <x:v>183.368389563571</x:v>
      </x:c>
      <x:c r="N370" s="21" t="n">
        <x:f>IF(C370="source",'情景参数模板'!$D$12,IF(H370="echelon",'情景参数模板'!$D$13,'情景参数模板'!$D$14))</x:f>
        <x:v>0.49</x:v>
      </x:c>
      <x:c r="O370" s="21" t="n">
        <x:f>IF(C370="source",'情景参数模板'!$D$18,IF(H370="echelon",'情景参数模板'!$D$19,'情景参数模板'!$D$20))</x:f>
        <x:v>150</x:v>
      </x:c>
      <x:c r="P370" s="17" t="n">
        <x:f>IF(M370&lt;=O370,1,0)</x:f>
        <x:v>0</x:v>
      </x:c>
      <x:c r="Q370" s="17" t="str">
        <x:v>D-road proxy; B-coordinates</x:v>
      </x:c>
    </x:row>
    <x:row r="371">
      <x:c r="A371" s="17" t="str">
        <x:v>A0367</x:v>
      </x:c>
      <x:c r="B371" s="17" t="str">
        <x:v>GD18</x:v>
      </x:c>
      <x:c r="C371" s="17" t="str">
        <x:v>source</x:v>
      </x:c>
      <x:c r="D371" s="17" t="str">
        <x:v>清远</x:v>
      </x:c>
      <x:c r="E371" s="24" t="n">
        <x:v>113.0505994</x:v>
      </x:c>
      <x:c r="F371" s="24" t="n">
        <x:v>23.6832984</x:v>
      </x:c>
      <x:c r="G371" s="17" t="str">
        <x:v>C10</x:v>
      </x:c>
      <x:c r="H371" s="17" t="str">
        <x:v>collection</x:v>
      </x:c>
      <x:c r="I371" s="17" t="str">
        <x:v>汕尾虚拟回收/检测中心</x:v>
      </x:c>
      <x:c r="J371" s="24" t="n">
        <x:v>115.5099937</x:v>
      </x:c>
      <x:c r="K371" s="24" t="n">
        <x:v>23.0123639</x:v>
      </x:c>
      <x:c r="L371" s="21" t="n">
        <x:f>6371*ACOS(MIN(1,COS(F371*PI()/180)*COS(K371*PI()/180)*COS((J371-E371)*PI()/180)+SIN(F371*PI()/180)*SIN(K371*PI()/180)))</x:f>
        <x:v>261.9235028063955</x:v>
      </x:c>
      <x:c r="M371" s="21" t="n">
        <x:f>L371*'情景参数模板'!$D$31</x:f>
        <x:v>314.3082033676746</x:v>
      </x:c>
      <x:c r="N371" s="21" t="n">
        <x:f>IF(C371="source",'情景参数模板'!$D$12,IF(H371="echelon",'情景参数模板'!$D$13,'情景参数模板'!$D$14))</x:f>
        <x:v>0.49</x:v>
      </x:c>
      <x:c r="O371" s="21" t="n">
        <x:f>IF(C371="source",'情景参数模板'!$D$18,IF(H371="echelon",'情景参数模板'!$D$19,'情景参数模板'!$D$20))</x:f>
        <x:v>150</x:v>
      </x:c>
      <x:c r="P371" s="17" t="n">
        <x:f>IF(M371&lt;=O371,1,0)</x:f>
        <x:v>0</x:v>
      </x:c>
      <x:c r="Q371" s="17" t="str">
        <x:v>D-road proxy; B-coordinates</x:v>
      </x:c>
    </x:row>
    <x:row r="372">
      <x:c r="A372" s="17" t="str">
        <x:v>A0368</x:v>
      </x:c>
      <x:c r="B372" s="17" t="str">
        <x:v>GD18</x:v>
      </x:c>
      <x:c r="C372" s="17" t="str">
        <x:v>source</x:v>
      </x:c>
      <x:c r="D372" s="17" t="str">
        <x:v>清远</x:v>
      </x:c>
      <x:c r="E372" s="24" t="n">
        <x:v>113.0505994</x:v>
      </x:c>
      <x:c r="F372" s="24" t="n">
        <x:v>23.6832984</x:v>
      </x:c>
      <x:c r="G372" s="17" t="str">
        <x:v>C11</x:v>
      </x:c>
      <x:c r="H372" s="17" t="str">
        <x:v>collection</x:v>
      </x:c>
      <x:c r="I372" s="17" t="str">
        <x:v>东莞虚拟回收/检测中心</x:v>
      </x:c>
      <x:c r="J372" s="24" t="n">
        <x:v>113.7452332</x:v>
      </x:c>
      <x:c r="K372" s="24" t="n">
        <x:v>23.0183568</x:v>
      </x:c>
      <x:c r="L372" s="21" t="n">
        <x:f>6371*ACOS(MIN(1,COS(F372*PI()/180)*COS(K372*PI()/180)*COS((J372-E372)*PI()/180)+SIN(F372*PI()/180)*SIN(K372*PI()/180)))</x:f>
        <x:v>102.44738181217072</x:v>
      </x:c>
      <x:c r="M372" s="21" t="n">
        <x:f>L372*'情景参数模板'!$D$31</x:f>
        <x:v>122.93685817460485</x:v>
      </x:c>
      <x:c r="N372" s="21" t="n">
        <x:f>IF(C372="source",'情景参数模板'!$D$12,IF(H372="echelon",'情景参数模板'!$D$13,'情景参数模板'!$D$14))</x:f>
        <x:v>0.49</x:v>
      </x:c>
      <x:c r="O372" s="21" t="n">
        <x:f>IF(C372="source",'情景参数模板'!$D$18,IF(H372="echelon",'情景参数模板'!$D$19,'情景参数模板'!$D$20))</x:f>
        <x:v>150</x:v>
      </x:c>
      <x:c r="P372" s="17" t="n">
        <x:f>IF(M372&lt;=O372,1,0)</x:f>
        <x:v>1</x:v>
      </x:c>
      <x:c r="Q372" s="17" t="str">
        <x:v>D-road proxy; B-coordinates</x:v>
      </x:c>
    </x:row>
    <x:row r="373">
      <x:c r="A373" s="17" t="str">
        <x:v>A0369</x:v>
      </x:c>
      <x:c r="B373" s="17" t="str">
        <x:v>GD18</x:v>
      </x:c>
      <x:c r="C373" s="17" t="str">
        <x:v>source</x:v>
      </x:c>
      <x:c r="D373" s="17" t="str">
        <x:v>清远</x:v>
      </x:c>
      <x:c r="E373" s="24" t="n">
        <x:v>113.0505994</x:v>
      </x:c>
      <x:c r="F373" s="24" t="n">
        <x:v>23.6832984</x:v>
      </x:c>
      <x:c r="G373" s="17" t="str">
        <x:v>C12</x:v>
      </x:c>
      <x:c r="H373" s="17" t="str">
        <x:v>collection</x:v>
      </x:c>
      <x:c r="I373" s="17" t="str">
        <x:v>中山虚拟回收/检测中心</x:v>
      </x:c>
      <x:c r="J373" s="24" t="n">
        <x:v>113.3872302</x:v>
      </x:c>
      <x:c r="K373" s="24" t="n">
        <x:v>22.5197073</x:v>
      </x:c>
      <x:c r="L373" s="21" t="n">
        <x:f>6371*ACOS(MIN(1,COS(F373*PI()/180)*COS(K373*PI()/180)*COS((J373-E373)*PI()/180)+SIN(F373*PI()/180)*SIN(K373*PI()/180)))</x:f>
        <x:v>133.88783670594157</x:v>
      </x:c>
      <x:c r="M373" s="21" t="n">
        <x:f>L373*'情景参数模板'!$D$31</x:f>
        <x:v>160.66540404712987</x:v>
      </x:c>
      <x:c r="N373" s="21" t="n">
        <x:f>IF(C373="source",'情景参数模板'!$D$12,IF(H373="echelon",'情景参数模板'!$D$13,'情景参数模板'!$D$14))</x:f>
        <x:v>0.49</x:v>
      </x:c>
      <x:c r="O373" s="21" t="n">
        <x:f>IF(C373="source",'情景参数模板'!$D$18,IF(H373="echelon",'情景参数模板'!$D$19,'情景参数模板'!$D$20))</x:f>
        <x:v>150</x:v>
      </x:c>
      <x:c r="P373" s="17" t="n">
        <x:f>IF(M373&lt;=O373,1,0)</x:f>
        <x:v>0</x:v>
      </x:c>
      <x:c r="Q373" s="17" t="str">
        <x:v>D-road proxy; B-coordinates</x:v>
      </x:c>
    </x:row>
    <x:row r="374">
      <x:c r="A374" s="17" t="str">
        <x:v>A0370</x:v>
      </x:c>
      <x:c r="B374" s="17" t="str">
        <x:v>GD18</x:v>
      </x:c>
      <x:c r="C374" s="17" t="str">
        <x:v>source</x:v>
      </x:c>
      <x:c r="D374" s="17" t="str">
        <x:v>清远</x:v>
      </x:c>
      <x:c r="E374" s="24" t="n">
        <x:v>113.0505994</x:v>
      </x:c>
      <x:c r="F374" s="24" t="n">
        <x:v>23.6832984</x:v>
      </x:c>
      <x:c r="G374" s="17" t="str">
        <x:v>C13</x:v>
      </x:c>
      <x:c r="H374" s="17" t="str">
        <x:v>collection</x:v>
      </x:c>
      <x:c r="I374" s="17" t="str">
        <x:v>江门虚拟回收/检测中心</x:v>
      </x:c>
      <x:c r="J374" s="24" t="n">
        <x:v>113.0761073</x:v>
      </x:c>
      <x:c r="K374" s="24" t="n">
        <x:v>22.5816619</x:v>
      </x:c>
      <x:c r="L374" s="21" t="n">
        <x:f>6371*ACOS(MIN(1,COS(F374*PI()/180)*COS(K374*PI()/180)*COS((J374-E374)*PI()/180)+SIN(F374*PI()/180)*SIN(K374*PI()/180)))</x:f>
        <x:v>122.52415451208954</x:v>
      </x:c>
      <x:c r="M374" s="21" t="n">
        <x:f>L374*'情景参数模板'!$D$31</x:f>
        <x:v>147.02898541450745</x:v>
      </x:c>
      <x:c r="N374" s="21" t="n">
        <x:f>IF(C374="source",'情景参数模板'!$D$12,IF(H374="echelon",'情景参数模板'!$D$13,'情景参数模板'!$D$14))</x:f>
        <x:v>0.49</x:v>
      </x:c>
      <x:c r="O374" s="21" t="n">
        <x:f>IF(C374="source",'情景参数模板'!$D$18,IF(H374="echelon",'情景参数模板'!$D$19,'情景参数模板'!$D$20))</x:f>
        <x:v>150</x:v>
      </x:c>
      <x:c r="P374" s="17" t="n">
        <x:f>IF(M374&lt;=O374,1,0)</x:f>
        <x:v>1</x:v>
      </x:c>
      <x:c r="Q374" s="17" t="str">
        <x:v>D-road proxy; B-coordinates</x:v>
      </x:c>
    </x:row>
    <x:row r="375">
      <x:c r="A375" s="17" t="str">
        <x:v>A0371</x:v>
      </x:c>
      <x:c r="B375" s="17" t="str">
        <x:v>GD18</x:v>
      </x:c>
      <x:c r="C375" s="17" t="str">
        <x:v>source</x:v>
      </x:c>
      <x:c r="D375" s="17" t="str">
        <x:v>清远</x:v>
      </x:c>
      <x:c r="E375" s="24" t="n">
        <x:v>113.0505994</x:v>
      </x:c>
      <x:c r="F375" s="24" t="n">
        <x:v>23.6832984</x:v>
      </x:c>
      <x:c r="G375" s="17" t="str">
        <x:v>C14</x:v>
      </x:c>
      <x:c r="H375" s="17" t="str">
        <x:v>collection</x:v>
      </x:c>
      <x:c r="I375" s="17" t="str">
        <x:v>阳江虚拟回收/检测中心</x:v>
      </x:c>
      <x:c r="J375" s="24" t="n">
        <x:v>111.7831393</x:v>
      </x:c>
      <x:c r="K375" s="24" t="n">
        <x:v>22.0958223</x:v>
      </x:c>
      <x:c r="L375" s="21" t="n">
        <x:f>6371*ACOS(MIN(1,COS(F375*PI()/180)*COS(K375*PI()/180)*COS((J375-E375)*PI()/180)+SIN(F375*PI()/180)*SIN(K375*PI()/180)))</x:f>
        <x:v>219.12335494772935</x:v>
      </x:c>
      <x:c r="M375" s="21" t="n">
        <x:f>L375*'情景参数模板'!$D$31</x:f>
        <x:v>262.9480259372752</x:v>
      </x:c>
      <x:c r="N375" s="21" t="n">
        <x:f>IF(C375="source",'情景参数模板'!$D$12,IF(H375="echelon",'情景参数模板'!$D$13,'情景参数模板'!$D$14))</x:f>
        <x:v>0.49</x:v>
      </x:c>
      <x:c r="O375" s="21" t="n">
        <x:f>IF(C375="source",'情景参数模板'!$D$18,IF(H375="echelon",'情景参数模板'!$D$19,'情景参数模板'!$D$20))</x:f>
        <x:v>150</x:v>
      </x:c>
      <x:c r="P375" s="17" t="n">
        <x:f>IF(M375&lt;=O375,1,0)</x:f>
        <x:v>0</x:v>
      </x:c>
      <x:c r="Q375" s="17" t="str">
        <x:v>D-road proxy; B-coordinates</x:v>
      </x:c>
    </x:row>
    <x:row r="376">
      <x:c r="A376" s="17" t="str">
        <x:v>A0372</x:v>
      </x:c>
      <x:c r="B376" s="17" t="str">
        <x:v>GD18</x:v>
      </x:c>
      <x:c r="C376" s="17" t="str">
        <x:v>source</x:v>
      </x:c>
      <x:c r="D376" s="17" t="str">
        <x:v>清远</x:v>
      </x:c>
      <x:c r="E376" s="24" t="n">
        <x:v>113.0505994</x:v>
      </x:c>
      <x:c r="F376" s="24" t="n">
        <x:v>23.6832984</x:v>
      </x:c>
      <x:c r="G376" s="17" t="str">
        <x:v>C15</x:v>
      </x:c>
      <x:c r="H376" s="17" t="str">
        <x:v>collection</x:v>
      </x:c>
      <x:c r="I376" s="17" t="str">
        <x:v>湛江虚拟回收/检测中心</x:v>
      </x:c>
      <x:c r="J376" s="24" t="n">
        <x:v>110.3548318</x:v>
      </x:c>
      <x:c r="K376" s="24" t="n">
        <x:v>21.2737079</x:v>
      </x:c>
      <x:c r="L376" s="21" t="n">
        <x:f>6371*ACOS(MIN(1,COS(F376*PI()/180)*COS(K376*PI()/180)*COS((J376-E376)*PI()/180)+SIN(F376*PI()/180)*SIN(K376*PI()/180)))</x:f>
        <x:v>385.34157769899264</x:v>
      </x:c>
      <x:c r="M376" s="21" t="n">
        <x:f>L376*'情景参数模板'!$D$31</x:f>
        <x:v>462.40989323879114</x:v>
      </x:c>
      <x:c r="N376" s="21" t="n">
        <x:f>IF(C376="source",'情景参数模板'!$D$12,IF(H376="echelon",'情景参数模板'!$D$13,'情景参数模板'!$D$14))</x:f>
        <x:v>0.49</x:v>
      </x:c>
      <x:c r="O376" s="21" t="n">
        <x:f>IF(C376="source",'情景参数模板'!$D$18,IF(H376="echelon",'情景参数模板'!$D$19,'情景参数模板'!$D$20))</x:f>
        <x:v>150</x:v>
      </x:c>
      <x:c r="P376" s="17" t="n">
        <x:f>IF(M376&lt;=O376,1,0)</x:f>
        <x:v>0</x:v>
      </x:c>
      <x:c r="Q376" s="17" t="str">
        <x:v>D-road proxy; B-coordinates</x:v>
      </x:c>
    </x:row>
    <x:row r="377">
      <x:c r="A377" s="17" t="str">
        <x:v>A0373</x:v>
      </x:c>
      <x:c r="B377" s="17" t="str">
        <x:v>GD18</x:v>
      </x:c>
      <x:c r="C377" s="17" t="str">
        <x:v>source</x:v>
      </x:c>
      <x:c r="D377" s="17" t="str">
        <x:v>清远</x:v>
      </x:c>
      <x:c r="E377" s="24" t="n">
        <x:v>113.0505994</x:v>
      </x:c>
      <x:c r="F377" s="24" t="n">
        <x:v>23.6832984</x:v>
      </x:c>
      <x:c r="G377" s="17" t="str">
        <x:v>C16</x:v>
      </x:c>
      <x:c r="H377" s="17" t="str">
        <x:v>collection</x:v>
      </x:c>
      <x:c r="I377" s="17" t="str">
        <x:v>茂名虚拟回收/检测中心</x:v>
      </x:c>
      <x:c r="J377" s="24" t="n">
        <x:v>110.9209511</x:v>
      </x:c>
      <x:c r="K377" s="24" t="n">
        <x:v>21.6656961</x:v>
      </x:c>
      <x:c r="L377" s="21" t="n">
        <x:f>6371*ACOS(MIN(1,COS(F377*PI()/180)*COS(K377*PI()/180)*COS((J377-E377)*PI()/180)+SIN(F377*PI()/180)*SIN(K377*PI()/180)))</x:f>
        <x:v>313.15649752256786</x:v>
      </x:c>
      <x:c r="M377" s="21" t="n">
        <x:f>L377*'情景参数模板'!$D$31</x:f>
        <x:v>375.7877970270814</x:v>
      </x:c>
      <x:c r="N377" s="21" t="n">
        <x:f>IF(C377="source",'情景参数模板'!$D$12,IF(H377="echelon",'情景参数模板'!$D$13,'情景参数模板'!$D$14))</x:f>
        <x:v>0.49</x:v>
      </x:c>
      <x:c r="O377" s="21" t="n">
        <x:f>IF(C377="source",'情景参数模板'!$D$18,IF(H377="echelon",'情景参数模板'!$D$19,'情景参数模板'!$D$20))</x:f>
        <x:v>150</x:v>
      </x:c>
      <x:c r="P377" s="17" t="n">
        <x:f>IF(M377&lt;=O377,1,0)</x:f>
        <x:v>0</x:v>
      </x:c>
      <x:c r="Q377" s="17" t="str">
        <x:v>D-road proxy; B-coordinates</x:v>
      </x:c>
    </x:row>
    <x:row r="378">
      <x:c r="A378" s="17" t="str">
        <x:v>A0374</x:v>
      </x:c>
      <x:c r="B378" s="17" t="str">
        <x:v>GD18</x:v>
      </x:c>
      <x:c r="C378" s="17" t="str">
        <x:v>source</x:v>
      </x:c>
      <x:c r="D378" s="17" t="str">
        <x:v>清远</x:v>
      </x:c>
      <x:c r="E378" s="24" t="n">
        <x:v>113.0505994</x:v>
      </x:c>
      <x:c r="F378" s="24" t="n">
        <x:v>23.6832984</x:v>
      </x:c>
      <x:c r="G378" s="17" t="str">
        <x:v>C17</x:v>
      </x:c>
      <x:c r="H378" s="17" t="str">
        <x:v>collection</x:v>
      </x:c>
      <x:c r="I378" s="17" t="str">
        <x:v>肇庆虚拟回收/检测中心</x:v>
      </x:c>
      <x:c r="J378" s="24" t="n">
        <x:v>112.4603629</x:v>
      </x:c>
      <x:c r="K378" s="24" t="n">
        <x:v>23.0501661</x:v>
      </x:c>
      <x:c r="L378" s="21" t="n">
        <x:f>6371*ACOS(MIN(1,COS(F378*PI()/180)*COS(K378*PI()/180)*COS((J378-E378)*PI()/180)+SIN(F378*PI()/180)*SIN(K378*PI()/180)))</x:f>
        <x:v>92.66143114992624</x:v>
      </x:c>
      <x:c r="M378" s="21" t="n">
        <x:f>L378*'情景参数模板'!$D$31</x:f>
        <x:v>111.19371737991149</x:v>
      </x:c>
      <x:c r="N378" s="21" t="n">
        <x:f>IF(C378="source",'情景参数模板'!$D$12,IF(H378="echelon",'情景参数模板'!$D$13,'情景参数模板'!$D$14))</x:f>
        <x:v>0.49</x:v>
      </x:c>
      <x:c r="O378" s="21" t="n">
        <x:f>IF(C378="source",'情景参数模板'!$D$18,IF(H378="echelon",'情景参数模板'!$D$19,'情景参数模板'!$D$20))</x:f>
        <x:v>150</x:v>
      </x:c>
      <x:c r="P378" s="17" t="n">
        <x:f>IF(M378&lt;=O378,1,0)</x:f>
        <x:v>1</x:v>
      </x:c>
      <x:c r="Q378" s="17" t="str">
        <x:v>D-road proxy; B-coordinates</x:v>
      </x:c>
    </x:row>
    <x:row r="379">
      <x:c r="A379" s="17" t="str">
        <x:v>A0375</x:v>
      </x:c>
      <x:c r="B379" s="17" t="str">
        <x:v>GD18</x:v>
      </x:c>
      <x:c r="C379" s="17" t="str">
        <x:v>source</x:v>
      </x:c>
      <x:c r="D379" s="17" t="str">
        <x:v>清远</x:v>
      </x:c>
      <x:c r="E379" s="24" t="n">
        <x:v>113.0505994</x:v>
      </x:c>
      <x:c r="F379" s="24" t="n">
        <x:v>23.6832984</x:v>
      </x:c>
      <x:c r="G379" s="17" t="str">
        <x:v>C18</x:v>
      </x:c>
      <x:c r="H379" s="17" t="str">
        <x:v>collection</x:v>
      </x:c>
      <x:c r="I379" s="17" t="str">
        <x:v>清远虚拟回收/检测中心</x:v>
      </x:c>
      <x:c r="J379" s="24" t="n">
        <x:v>113.0505994</x:v>
      </x:c>
      <x:c r="K379" s="24" t="n">
        <x:v>23.6832984</x:v>
      </x:c>
      <x:c r="L379" s="21" t="n">
        <x:f>6371*ACOS(MIN(1,COS(F379*PI()/180)*COS(K379*PI()/180)*COS((J379-E379)*PI()/180)+SIN(F379*PI()/180)*SIN(K379*PI()/180)))</x:f>
        <x:v>0</x:v>
      </x:c>
      <x:c r="M379" s="21" t="n">
        <x:f>L379*'情景参数模板'!$D$31</x:f>
        <x:v>0</x:v>
      </x:c>
      <x:c r="N379" s="21" t="n">
        <x:f>IF(C379="source",'情景参数模板'!$D$12,IF(H379="echelon",'情景参数模板'!$D$13,'情景参数模板'!$D$14))</x:f>
        <x:v>0.49</x:v>
      </x:c>
      <x:c r="O379" s="21" t="n">
        <x:f>IF(C379="source",'情景参数模板'!$D$18,IF(H379="echelon",'情景参数模板'!$D$19,'情景参数模板'!$D$20))</x:f>
        <x:v>150</x:v>
      </x:c>
      <x:c r="P379" s="17" t="n">
        <x:f>IF(M379&lt;=O379,1,0)</x:f>
        <x:v>1</x:v>
      </x:c>
      <x:c r="Q379" s="17" t="str">
        <x:v>D-road proxy; B-coordinates</x:v>
      </x:c>
    </x:row>
    <x:row r="380">
      <x:c r="A380" s="17" t="str">
        <x:v>A0376</x:v>
      </x:c>
      <x:c r="B380" s="17" t="str">
        <x:v>GD18</x:v>
      </x:c>
      <x:c r="C380" s="17" t="str">
        <x:v>source</x:v>
      </x:c>
      <x:c r="D380" s="17" t="str">
        <x:v>清远</x:v>
      </x:c>
      <x:c r="E380" s="24" t="n">
        <x:v>113.0505994</x:v>
      </x:c>
      <x:c r="F380" s="24" t="n">
        <x:v>23.6832984</x:v>
      </x:c>
      <x:c r="G380" s="17" t="str">
        <x:v>C19</x:v>
      </x:c>
      <x:c r="H380" s="17" t="str">
        <x:v>collection</x:v>
      </x:c>
      <x:c r="I380" s="17" t="str">
        <x:v>潮州虚拟回收/检测中心</x:v>
      </x:c>
      <x:c r="J380" s="24" t="n">
        <x:v>116.6204223</x:v>
      </x:c>
      <x:c r="K380" s="24" t="n">
        <x:v>23.656593</x:v>
      </x:c>
      <x:c r="L380" s="21" t="n">
        <x:f>6371*ACOS(MIN(1,COS(F380*PI()/180)*COS(K380*PI()/180)*COS((J380-E380)*PI()/180)+SIN(F380*PI()/180)*SIN(K380*PI()/180)))</x:f>
        <x:v>363.5550667063742</x:v>
      </x:c>
      <x:c r="M380" s="21" t="n">
        <x:f>L380*'情景参数模板'!$D$31</x:f>
        <x:v>436.26608004764904</x:v>
      </x:c>
      <x:c r="N380" s="21" t="n">
        <x:f>IF(C380="source",'情景参数模板'!$D$12,IF(H380="echelon",'情景参数模板'!$D$13,'情景参数模板'!$D$14))</x:f>
        <x:v>0.49</x:v>
      </x:c>
      <x:c r="O380" s="21" t="n">
        <x:f>IF(C380="source",'情景参数模板'!$D$18,IF(H380="echelon",'情景参数模板'!$D$19,'情景参数模板'!$D$20))</x:f>
        <x:v>150</x:v>
      </x:c>
      <x:c r="P380" s="17" t="n">
        <x:f>IF(M380&lt;=O380,1,0)</x:f>
        <x:v>0</x:v>
      </x:c>
      <x:c r="Q380" s="17" t="str">
        <x:v>D-road proxy; B-coordinates</x:v>
      </x:c>
    </x:row>
    <x:row r="381">
      <x:c r="A381" s="17" t="str">
        <x:v>A0377</x:v>
      </x:c>
      <x:c r="B381" s="17" t="str">
        <x:v>GD18</x:v>
      </x:c>
      <x:c r="C381" s="17" t="str">
        <x:v>source</x:v>
      </x:c>
      <x:c r="D381" s="17" t="str">
        <x:v>清远</x:v>
      </x:c>
      <x:c r="E381" s="24" t="n">
        <x:v>113.0505994</x:v>
      </x:c>
      <x:c r="F381" s="24" t="n">
        <x:v>23.6832984</x:v>
      </x:c>
      <x:c r="G381" s="17" t="str">
        <x:v>C20</x:v>
      </x:c>
      <x:c r="H381" s="17" t="str">
        <x:v>collection</x:v>
      </x:c>
      <x:c r="I381" s="17" t="str">
        <x:v>揭阳虚拟回收/检测中心</x:v>
      </x:c>
      <x:c r="J381" s="24" t="n">
        <x:v>116.3680354</x:v>
      </x:c>
      <x:c r="K381" s="24" t="n">
        <x:v>23.553156</x:v>
      </x:c>
      <x:c r="L381" s="21" t="n">
        <x:f>6371*ACOS(MIN(1,COS(F381*PI()/180)*COS(K381*PI()/180)*COS((J381-E381)*PI()/180)+SIN(F381*PI()/180)*SIN(K381*PI()/180)))</x:f>
        <x:v>338.28473835116233</x:v>
      </x:c>
      <x:c r="M381" s="21" t="n">
        <x:f>L381*'情景参数模板'!$D$31</x:f>
        <x:v>405.9416860213948</x:v>
      </x:c>
      <x:c r="N381" s="21" t="n">
        <x:f>IF(C381="source",'情景参数模板'!$D$12,IF(H381="echelon",'情景参数模板'!$D$13,'情景参数模板'!$D$14))</x:f>
        <x:v>0.49</x:v>
      </x:c>
      <x:c r="O381" s="21" t="n">
        <x:f>IF(C381="source",'情景参数模板'!$D$18,IF(H381="echelon",'情景参数模板'!$D$19,'情景参数模板'!$D$20))</x:f>
        <x:v>150</x:v>
      </x:c>
      <x:c r="P381" s="17" t="n">
        <x:f>IF(M381&lt;=O381,1,0)</x:f>
        <x:v>0</x:v>
      </x:c>
      <x:c r="Q381" s="17" t="str">
        <x:v>D-road proxy; B-coordinates</x:v>
      </x:c>
    </x:row>
    <x:row r="382">
      <x:c r="A382" s="17" t="str">
        <x:v>A0378</x:v>
      </x:c>
      <x:c r="B382" s="17" t="str">
        <x:v>GD18</x:v>
      </x:c>
      <x:c r="C382" s="17" t="str">
        <x:v>source</x:v>
      </x:c>
      <x:c r="D382" s="17" t="str">
        <x:v>清远</x:v>
      </x:c>
      <x:c r="E382" s="24" t="n">
        <x:v>113.0505994</x:v>
      </x:c>
      <x:c r="F382" s="24" t="n">
        <x:v>23.6832984</x:v>
      </x:c>
      <x:c r="G382" s="17" t="str">
        <x:v>C21</x:v>
      </x:c>
      <x:c r="H382" s="17" t="str">
        <x:v>collection</x:v>
      </x:c>
      <x:c r="I382" s="17" t="str">
        <x:v>云浮虚拟回收/检测中心</x:v>
      </x:c>
      <x:c r="J382" s="24" t="n">
        <x:v>111.8078586</x:v>
      </x:c>
      <x:c r="K382" s="24" t="n">
        <x:v>22.8546663</x:v>
      </x:c>
      <x:c r="L382" s="21" t="n">
        <x:f>6371*ACOS(MIN(1,COS(F382*PI()/180)*COS(K382*PI()/180)*COS((J382-E382)*PI()/180)+SIN(F382*PI()/180)*SIN(K382*PI()/180)))</x:f>
        <x:v>156.85848449978135</x:v>
      </x:c>
      <x:c r="M382" s="21" t="n">
        <x:f>L382*'情景参数模板'!$D$31</x:f>
        <x:v>188.23018139973763</x:v>
      </x:c>
      <x:c r="N382" s="21" t="n">
        <x:f>IF(C382="source",'情景参数模板'!$D$12,IF(H382="echelon",'情景参数模板'!$D$13,'情景参数模板'!$D$14))</x:f>
        <x:v>0.49</x:v>
      </x:c>
      <x:c r="O382" s="21" t="n">
        <x:f>IF(C382="source",'情景参数模板'!$D$18,IF(H382="echelon",'情景参数模板'!$D$19,'情景参数模板'!$D$20))</x:f>
        <x:v>150</x:v>
      </x:c>
      <x:c r="P382" s="17" t="n">
        <x:f>IF(M382&lt;=O382,1,0)</x:f>
        <x:v>0</x:v>
      </x:c>
      <x:c r="Q382" s="17" t="str">
        <x:v>D-road proxy; B-coordinates</x:v>
      </x:c>
    </x:row>
    <x:row r="383">
      <x:c r="A383" s="17" t="str">
        <x:v>A0379</x:v>
      </x:c>
      <x:c r="B383" s="17" t="str">
        <x:v>GD19</x:v>
      </x:c>
      <x:c r="C383" s="17" t="str">
        <x:v>source</x:v>
      </x:c>
      <x:c r="D383" s="17" t="str">
        <x:v>潮州</x:v>
      </x:c>
      <x:c r="E383" s="24" t="n">
        <x:v>116.6204223</x:v>
      </x:c>
      <x:c r="F383" s="24" t="n">
        <x:v>23.656593</x:v>
      </x:c>
      <x:c r="G383" s="17" t="str">
        <x:v>C01</x:v>
      </x:c>
      <x:c r="H383" s="17" t="str">
        <x:v>collection</x:v>
      </x:c>
      <x:c r="I383" s="17" t="str">
        <x:v>广州虚拟回收/检测中心</x:v>
      </x:c>
      <x:c r="J383" s="24" t="n">
        <x:v>113.2589581</x:v>
      </x:c>
      <x:c r="K383" s="24" t="n">
        <x:v>23.1288429</x:v>
      </x:c>
      <x:c r="L383" s="21" t="n">
        <x:f>6371*ACOS(MIN(1,COS(F383*PI()/180)*COS(K383*PI()/180)*COS((J383-E383)*PI()/180)+SIN(F383*PI()/180)*SIN(K383*PI()/180)))</x:f>
        <x:v>348.02861264383995</x:v>
      </x:c>
      <x:c r="M383" s="21" t="n">
        <x:f>L383*'情景参数模板'!$D$31</x:f>
        <x:v>417.6343351726079</x:v>
      </x:c>
      <x:c r="N383" s="21" t="n">
        <x:f>IF(C383="source",'情景参数模板'!$D$12,IF(H383="echelon",'情景参数模板'!$D$13,'情景参数模板'!$D$14))</x:f>
        <x:v>0.49</x:v>
      </x:c>
      <x:c r="O383" s="21" t="n">
        <x:f>IF(C383="source",'情景参数模板'!$D$18,IF(H383="echelon",'情景参数模板'!$D$19,'情景参数模板'!$D$20))</x:f>
        <x:v>150</x:v>
      </x:c>
      <x:c r="P383" s="17" t="n">
        <x:f>IF(M383&lt;=O383,1,0)</x:f>
        <x:v>0</x:v>
      </x:c>
      <x:c r="Q383" s="17" t="str">
        <x:v>D-road proxy; B-coordinates</x:v>
      </x:c>
    </x:row>
    <x:row r="384">
      <x:c r="A384" s="17" t="str">
        <x:v>A0380</x:v>
      </x:c>
      <x:c r="B384" s="17" t="str">
        <x:v>GD19</x:v>
      </x:c>
      <x:c r="C384" s="17" t="str">
        <x:v>source</x:v>
      </x:c>
      <x:c r="D384" s="17" t="str">
        <x:v>潮州</x:v>
      </x:c>
      <x:c r="E384" s="24" t="n">
        <x:v>116.6204223</x:v>
      </x:c>
      <x:c r="F384" s="24" t="n">
        <x:v>23.656593</x:v>
      </x:c>
      <x:c r="G384" s="17" t="str">
        <x:v>C02</x:v>
      </x:c>
      <x:c r="H384" s="17" t="str">
        <x:v>collection</x:v>
      </x:c>
      <x:c r="I384" s="17" t="str">
        <x:v>深圳虚拟回收/检测中心</x:v>
      </x:c>
      <x:c r="J384" s="24" t="n">
        <x:v>114.0545429</x:v>
      </x:c>
      <x:c r="K384" s="24" t="n">
        <x:v>22.5445741</x:v>
      </x:c>
      <x:c r="L384" s="21" t="n">
        <x:f>6371*ACOS(MIN(1,COS(F384*PI()/180)*COS(K384*PI()/180)*COS((J384-E384)*PI()/180)+SIN(F384*PI()/180)*SIN(K384*PI()/180)))</x:f>
        <x:v>290.0980995679465</x:v>
      </x:c>
      <x:c r="M384" s="21" t="n">
        <x:f>L384*'情景参数模板'!$D$31</x:f>
        <x:v>348.1177194815358</x:v>
      </x:c>
      <x:c r="N384" s="21" t="n">
        <x:f>IF(C384="source",'情景参数模板'!$D$12,IF(H384="echelon",'情景参数模板'!$D$13,'情景参数模板'!$D$14))</x:f>
        <x:v>0.49</x:v>
      </x:c>
      <x:c r="O384" s="21" t="n">
        <x:f>IF(C384="source",'情景参数模板'!$D$18,IF(H384="echelon",'情景参数模板'!$D$19,'情景参数模板'!$D$20))</x:f>
        <x:v>150</x:v>
      </x:c>
      <x:c r="P384" s="17" t="n">
        <x:f>IF(M384&lt;=O384,1,0)</x:f>
        <x:v>0</x:v>
      </x:c>
      <x:c r="Q384" s="17" t="str">
        <x:v>D-road proxy; B-coordinates</x:v>
      </x:c>
    </x:row>
    <x:row r="385">
      <x:c r="A385" s="17" t="str">
        <x:v>A0381</x:v>
      </x:c>
      <x:c r="B385" s="17" t="str">
        <x:v>GD19</x:v>
      </x:c>
      <x:c r="C385" s="17" t="str">
        <x:v>source</x:v>
      </x:c>
      <x:c r="D385" s="17" t="str">
        <x:v>潮州</x:v>
      </x:c>
      <x:c r="E385" s="24" t="n">
        <x:v>116.6204223</x:v>
      </x:c>
      <x:c r="F385" s="24" t="n">
        <x:v>23.656593</x:v>
      </x:c>
      <x:c r="G385" s="17" t="str">
        <x:v>C03</x:v>
      </x:c>
      <x:c r="H385" s="17" t="str">
        <x:v>collection</x:v>
      </x:c>
      <x:c r="I385" s="17" t="str">
        <x:v>珠海虚拟回收/检测中心</x:v>
      </x:c>
      <x:c r="J385" s="24" t="n">
        <x:v>113.5721327</x:v>
      </x:c>
      <x:c r="K385" s="24" t="n">
        <x:v>22.273734</x:v>
      </x:c>
      <x:c r="L385" s="21" t="n">
        <x:f>6371*ACOS(MIN(1,COS(F385*PI()/180)*COS(K385*PI()/180)*COS((J385-E385)*PI()/180)+SIN(F385*PI()/180)*SIN(K385*PI()/180)))</x:f>
        <x:v>347.89853925176067</x:v>
      </x:c>
      <x:c r="M385" s="21" t="n">
        <x:f>L385*'情景参数模板'!$D$31</x:f>
        <x:v>417.4782471021128</x:v>
      </x:c>
      <x:c r="N385" s="21" t="n">
        <x:f>IF(C385="source",'情景参数模板'!$D$12,IF(H385="echelon",'情景参数模板'!$D$13,'情景参数模板'!$D$14))</x:f>
        <x:v>0.49</x:v>
      </x:c>
      <x:c r="O385" s="21" t="n">
        <x:f>IF(C385="source",'情景参数模板'!$D$18,IF(H385="echelon",'情景参数模板'!$D$19,'情景参数模板'!$D$20))</x:f>
        <x:v>150</x:v>
      </x:c>
      <x:c r="P385" s="17" t="n">
        <x:f>IF(M385&lt;=O385,1,0)</x:f>
        <x:v>0</x:v>
      </x:c>
      <x:c r="Q385" s="17" t="str">
        <x:v>D-road proxy; B-coordinates</x:v>
      </x:c>
    </x:row>
    <x:row r="386">
      <x:c r="A386" s="17" t="str">
        <x:v>A0382</x:v>
      </x:c>
      <x:c r="B386" s="17" t="str">
        <x:v>GD19</x:v>
      </x:c>
      <x:c r="C386" s="17" t="str">
        <x:v>source</x:v>
      </x:c>
      <x:c r="D386" s="17" t="str">
        <x:v>潮州</x:v>
      </x:c>
      <x:c r="E386" s="24" t="n">
        <x:v>116.6204223</x:v>
      </x:c>
      <x:c r="F386" s="24" t="n">
        <x:v>23.656593</x:v>
      </x:c>
      <x:c r="G386" s="17" t="str">
        <x:v>C04</x:v>
      </x:c>
      <x:c r="H386" s="17" t="str">
        <x:v>collection</x:v>
      </x:c>
      <x:c r="I386" s="17" t="str">
        <x:v>汕头虚拟回收/检测中心</x:v>
      </x:c>
      <x:c r="J386" s="24" t="n">
        <x:v>116.6775856</x:v>
      </x:c>
      <x:c r="K386" s="24" t="n">
        <x:v>23.3563921</x:v>
      </x:c>
      <x:c r="L386" s="21" t="n">
        <x:f>6371*ACOS(MIN(1,COS(F386*PI()/180)*COS(K386*PI()/180)*COS((J386-E386)*PI()/180)+SIN(F386*PI()/180)*SIN(K386*PI()/180)))</x:f>
        <x:v>33.88589168759266</x:v>
      </x:c>
      <x:c r="M386" s="21" t="n">
        <x:f>L386*'情景参数模板'!$D$31</x:f>
        <x:v>40.66307002511119</x:v>
      </x:c>
      <x:c r="N386" s="21" t="n">
        <x:f>IF(C386="source",'情景参数模板'!$D$12,IF(H386="echelon",'情景参数模板'!$D$13,'情景参数模板'!$D$14))</x:f>
        <x:v>0.49</x:v>
      </x:c>
      <x:c r="O386" s="21" t="n">
        <x:f>IF(C386="source",'情景参数模板'!$D$18,IF(H386="echelon",'情景参数模板'!$D$19,'情景参数模板'!$D$20))</x:f>
        <x:v>150</x:v>
      </x:c>
      <x:c r="P386" s="17" t="n">
        <x:f>IF(M386&lt;=O386,1,0)</x:f>
        <x:v>1</x:v>
      </x:c>
      <x:c r="Q386" s="17" t="str">
        <x:v>D-road proxy; B-coordinates</x:v>
      </x:c>
    </x:row>
    <x:row r="387">
      <x:c r="A387" s="17" t="str">
        <x:v>A0383</x:v>
      </x:c>
      <x:c r="B387" s="17" t="str">
        <x:v>GD19</x:v>
      </x:c>
      <x:c r="C387" s="17" t="str">
        <x:v>source</x:v>
      </x:c>
      <x:c r="D387" s="17" t="str">
        <x:v>潮州</x:v>
      </x:c>
      <x:c r="E387" s="24" t="n">
        <x:v>116.6204223</x:v>
      </x:c>
      <x:c r="F387" s="24" t="n">
        <x:v>23.656593</x:v>
      </x:c>
      <x:c r="G387" s="17" t="str">
        <x:v>C05</x:v>
      </x:c>
      <x:c r="H387" s="17" t="str">
        <x:v>collection</x:v>
      </x:c>
      <x:c r="I387" s="17" t="str">
        <x:v>佛山虚拟回收/检测中心</x:v>
      </x:c>
      <x:c r="J387" s="24" t="n">
        <x:v>113.1159558</x:v>
      </x:c>
      <x:c r="K387" s="24" t="n">
        <x:v>23.0239788</x:v>
      </x:c>
      <x:c r="L387" s="21" t="n">
        <x:f>6371*ACOS(MIN(1,COS(F387*PI()/180)*COS(K387*PI()/180)*COS((J387-E387)*PI()/180)+SIN(F387*PI()/180)*SIN(K387*PI()/180)))</x:f>
        <x:v>364.62871927074957</x:v>
      </x:c>
      <x:c r="M387" s="21" t="n">
        <x:f>L387*'情景参数模板'!$D$31</x:f>
        <x:v>437.5544631248995</x:v>
      </x:c>
      <x:c r="N387" s="21" t="n">
        <x:f>IF(C387="source",'情景参数模板'!$D$12,IF(H387="echelon",'情景参数模板'!$D$13,'情景参数模板'!$D$14))</x:f>
        <x:v>0.49</x:v>
      </x:c>
      <x:c r="O387" s="21" t="n">
        <x:f>IF(C387="source",'情景参数模板'!$D$18,IF(H387="echelon",'情景参数模板'!$D$19,'情景参数模板'!$D$20))</x:f>
        <x:v>150</x:v>
      </x:c>
      <x:c r="P387" s="17" t="n">
        <x:f>IF(M387&lt;=O387,1,0)</x:f>
        <x:v>0</x:v>
      </x:c>
      <x:c r="Q387" s="17" t="str">
        <x:v>D-road proxy; B-coordinates</x:v>
      </x:c>
    </x:row>
    <x:row r="388">
      <x:c r="A388" s="17" t="str">
        <x:v>A0384</x:v>
      </x:c>
      <x:c r="B388" s="17" t="str">
        <x:v>GD19</x:v>
      </x:c>
      <x:c r="C388" s="17" t="str">
        <x:v>source</x:v>
      </x:c>
      <x:c r="D388" s="17" t="str">
        <x:v>潮州</x:v>
      </x:c>
      <x:c r="E388" s="24" t="n">
        <x:v>116.6204223</x:v>
      </x:c>
      <x:c r="F388" s="24" t="n">
        <x:v>23.656593</x:v>
      </x:c>
      <x:c r="G388" s="17" t="str">
        <x:v>C06</x:v>
      </x:c>
      <x:c r="H388" s="17" t="str">
        <x:v>collection</x:v>
      </x:c>
      <x:c r="I388" s="17" t="str">
        <x:v>韶关虚拟回收/检测中心</x:v>
      </x:c>
      <x:c r="J388" s="24" t="n">
        <x:v>113.8155263</x:v>
      </x:c>
      <x:c r="K388" s="24" t="n">
        <x:v>24.8309489</x:v>
      </x:c>
      <x:c r="L388" s="21" t="n">
        <x:f>6371*ACOS(MIN(1,COS(F388*PI()/180)*COS(K388*PI()/180)*COS((J388-E388)*PI()/180)+SIN(F388*PI()/180)*SIN(K388*PI()/180)))</x:f>
        <x:v>312.91933151179103</x:v>
      </x:c>
      <x:c r="M388" s="21" t="n">
        <x:f>L388*'情景参数模板'!$D$31</x:f>
        <x:v>375.50319781414925</x:v>
      </x:c>
      <x:c r="N388" s="21" t="n">
        <x:f>IF(C388="source",'情景参数模板'!$D$12,IF(H388="echelon",'情景参数模板'!$D$13,'情景参数模板'!$D$14))</x:f>
        <x:v>0.49</x:v>
      </x:c>
      <x:c r="O388" s="21" t="n">
        <x:f>IF(C388="source",'情景参数模板'!$D$18,IF(H388="echelon",'情景参数模板'!$D$19,'情景参数模板'!$D$20))</x:f>
        <x:v>150</x:v>
      </x:c>
      <x:c r="P388" s="17" t="n">
        <x:f>IF(M388&lt;=O388,1,0)</x:f>
        <x:v>0</x:v>
      </x:c>
      <x:c r="Q388" s="17" t="str">
        <x:v>D-road proxy; B-coordinates</x:v>
      </x:c>
    </x:row>
    <x:row r="389">
      <x:c r="A389" s="17" t="str">
        <x:v>A0385</x:v>
      </x:c>
      <x:c r="B389" s="17" t="str">
        <x:v>GD19</x:v>
      </x:c>
      <x:c r="C389" s="17" t="str">
        <x:v>source</x:v>
      </x:c>
      <x:c r="D389" s="17" t="str">
        <x:v>潮州</x:v>
      </x:c>
      <x:c r="E389" s="24" t="n">
        <x:v>116.6204223</x:v>
      </x:c>
      <x:c r="F389" s="24" t="n">
        <x:v>23.656593</x:v>
      </x:c>
      <x:c r="G389" s="17" t="str">
        <x:v>C07</x:v>
      </x:c>
      <x:c r="H389" s="17" t="str">
        <x:v>collection</x:v>
      </x:c>
      <x:c r="I389" s="17" t="str">
        <x:v>河源虚拟回收/检测中心</x:v>
      </x:c>
      <x:c r="J389" s="24" t="n">
        <x:v>115.0577538</x:v>
      </x:c>
      <x:c r="K389" s="24" t="n">
        <x:v>24.1014769</x:v>
      </x:c>
      <x:c r="L389" s="21" t="n">
        <x:f>6371*ACOS(MIN(1,COS(F389*PI()/180)*COS(K389*PI()/180)*COS((J389-E389)*PI()/180)+SIN(F389*PI()/180)*SIN(K389*PI()/180)))</x:f>
        <x:v>166.40873636630144</x:v>
      </x:c>
      <x:c r="M389" s="21" t="n">
        <x:f>L389*'情景参数模板'!$D$31</x:f>
        <x:v>199.69048363956173</x:v>
      </x:c>
      <x:c r="N389" s="21" t="n">
        <x:f>IF(C389="source",'情景参数模板'!$D$12,IF(H389="echelon",'情景参数模板'!$D$13,'情景参数模板'!$D$14))</x:f>
        <x:v>0.49</x:v>
      </x:c>
      <x:c r="O389" s="21" t="n">
        <x:f>IF(C389="source",'情景参数模板'!$D$18,IF(H389="echelon",'情景参数模板'!$D$19,'情景参数模板'!$D$20))</x:f>
        <x:v>150</x:v>
      </x:c>
      <x:c r="P389" s="17" t="n">
        <x:f>IF(M389&lt;=O389,1,0)</x:f>
        <x:v>0</x:v>
      </x:c>
      <x:c r="Q389" s="17" t="str">
        <x:v>D-road proxy; B-coordinates</x:v>
      </x:c>
    </x:row>
    <x:row r="390">
      <x:c r="A390" s="17" t="str">
        <x:v>A0386</x:v>
      </x:c>
      <x:c r="B390" s="17" t="str">
        <x:v>GD19</x:v>
      </x:c>
      <x:c r="C390" s="17" t="str">
        <x:v>source</x:v>
      </x:c>
      <x:c r="D390" s="17" t="str">
        <x:v>潮州</x:v>
      </x:c>
      <x:c r="E390" s="24" t="n">
        <x:v>116.6204223</x:v>
      </x:c>
      <x:c r="F390" s="24" t="n">
        <x:v>23.656593</x:v>
      </x:c>
      <x:c r="G390" s="17" t="str">
        <x:v>C08</x:v>
      </x:c>
      <x:c r="H390" s="17" t="str">
        <x:v>collection</x:v>
      </x:c>
      <x:c r="I390" s="17" t="str">
        <x:v>梅州虚拟回收/检测中心</x:v>
      </x:c>
      <x:c r="J390" s="24" t="n">
        <x:v>116.1171428</x:v>
      </x:c>
      <x:c r="K390" s="24" t="n">
        <x:v>24.2918414</x:v>
      </x:c>
      <x:c r="L390" s="21" t="n">
        <x:f>6371*ACOS(MIN(1,COS(F390*PI()/180)*COS(K390*PI()/180)*COS((J390-E390)*PI()/180)+SIN(F390*PI()/180)*SIN(K390*PI()/180)))</x:f>
        <x:v>87.2018364205848</x:v>
      </x:c>
      <x:c r="M390" s="21" t="n">
        <x:f>L390*'情景参数模板'!$D$31</x:f>
        <x:v>104.64220370470176</x:v>
      </x:c>
      <x:c r="N390" s="21" t="n">
        <x:f>IF(C390="source",'情景参数模板'!$D$12,IF(H390="echelon",'情景参数模板'!$D$13,'情景参数模板'!$D$14))</x:f>
        <x:v>0.49</x:v>
      </x:c>
      <x:c r="O390" s="21" t="n">
        <x:f>IF(C390="source",'情景参数模板'!$D$18,IF(H390="echelon",'情景参数模板'!$D$19,'情景参数模板'!$D$20))</x:f>
        <x:v>150</x:v>
      </x:c>
      <x:c r="P390" s="17" t="n">
        <x:f>IF(M390&lt;=O390,1,0)</x:f>
        <x:v>1</x:v>
      </x:c>
      <x:c r="Q390" s="17" t="str">
        <x:v>D-road proxy; B-coordinates</x:v>
      </x:c>
    </x:row>
    <x:row r="391">
      <x:c r="A391" s="17" t="str">
        <x:v>A0387</x:v>
      </x:c>
      <x:c r="B391" s="17" t="str">
        <x:v>GD19</x:v>
      </x:c>
      <x:c r="C391" s="17" t="str">
        <x:v>source</x:v>
      </x:c>
      <x:c r="D391" s="17" t="str">
        <x:v>潮州</x:v>
      </x:c>
      <x:c r="E391" s="24" t="n">
        <x:v>116.6204223</x:v>
      </x:c>
      <x:c r="F391" s="24" t="n">
        <x:v>23.656593</x:v>
      </x:c>
      <x:c r="G391" s="17" t="str">
        <x:v>C09</x:v>
      </x:c>
      <x:c r="H391" s="17" t="str">
        <x:v>collection</x:v>
      </x:c>
      <x:c r="I391" s="17" t="str">
        <x:v>惠州虚拟回收/检测中心</x:v>
      </x:c>
      <x:c r="J391" s="24" t="n">
        <x:v>114.4127007</x:v>
      </x:c>
      <x:c r="K391" s="24" t="n">
        <x:v>23.1125153</x:v>
      </x:c>
      <x:c r="L391" s="21" t="n">
        <x:f>6371*ACOS(MIN(1,COS(F391*PI()/180)*COS(K391*PI()/180)*COS((J391-E391)*PI()/180)+SIN(F391*PI()/180)*SIN(K391*PI()/180)))</x:f>
        <x:v>233.30064071473075</x:v>
      </x:c>
      <x:c r="M391" s="21" t="n">
        <x:f>L391*'情景参数模板'!$D$31</x:f>
        <x:v>279.9607688576769</x:v>
      </x:c>
      <x:c r="N391" s="21" t="n">
        <x:f>IF(C391="source",'情景参数模板'!$D$12,IF(H391="echelon",'情景参数模板'!$D$13,'情景参数模板'!$D$14))</x:f>
        <x:v>0.49</x:v>
      </x:c>
      <x:c r="O391" s="21" t="n">
        <x:f>IF(C391="source",'情景参数模板'!$D$18,IF(H391="echelon",'情景参数模板'!$D$19,'情景参数模板'!$D$20))</x:f>
        <x:v>150</x:v>
      </x:c>
      <x:c r="P391" s="17" t="n">
        <x:f>IF(M391&lt;=O391,1,0)</x:f>
        <x:v>0</x:v>
      </x:c>
      <x:c r="Q391" s="17" t="str">
        <x:v>D-road proxy; B-coordinates</x:v>
      </x:c>
    </x:row>
    <x:row r="392">
      <x:c r="A392" s="17" t="str">
        <x:v>A0388</x:v>
      </x:c>
      <x:c r="B392" s="17" t="str">
        <x:v>GD19</x:v>
      </x:c>
      <x:c r="C392" s="17" t="str">
        <x:v>source</x:v>
      </x:c>
      <x:c r="D392" s="17" t="str">
        <x:v>潮州</x:v>
      </x:c>
      <x:c r="E392" s="24" t="n">
        <x:v>116.6204223</x:v>
      </x:c>
      <x:c r="F392" s="24" t="n">
        <x:v>23.656593</x:v>
      </x:c>
      <x:c r="G392" s="17" t="str">
        <x:v>C10</x:v>
      </x:c>
      <x:c r="H392" s="17" t="str">
        <x:v>collection</x:v>
      </x:c>
      <x:c r="I392" s="17" t="str">
        <x:v>汕尾虚拟回收/检测中心</x:v>
      </x:c>
      <x:c r="J392" s="24" t="n">
        <x:v>115.5099937</x:v>
      </x:c>
      <x:c r="K392" s="24" t="n">
        <x:v>23.0123639</x:v>
      </x:c>
      <x:c r="L392" s="21" t="n">
        <x:f>6371*ACOS(MIN(1,COS(F392*PI()/180)*COS(K392*PI()/180)*COS((J392-E392)*PI()/180)+SIN(F392*PI()/180)*SIN(K392*PI()/180)))</x:f>
        <x:v>134.10876046805132</x:v>
      </x:c>
      <x:c r="M392" s="21" t="n">
        <x:f>L392*'情景参数模板'!$D$31</x:f>
        <x:v>160.93051256166157</x:v>
      </x:c>
      <x:c r="N392" s="21" t="n">
        <x:f>IF(C392="source",'情景参数模板'!$D$12,IF(H392="echelon",'情景参数模板'!$D$13,'情景参数模板'!$D$14))</x:f>
        <x:v>0.49</x:v>
      </x:c>
      <x:c r="O392" s="21" t="n">
        <x:f>IF(C392="source",'情景参数模板'!$D$18,IF(H392="echelon",'情景参数模板'!$D$19,'情景参数模板'!$D$20))</x:f>
        <x:v>150</x:v>
      </x:c>
      <x:c r="P392" s="17" t="n">
        <x:f>IF(M392&lt;=O392,1,0)</x:f>
        <x:v>0</x:v>
      </x:c>
      <x:c r="Q392" s="17" t="str">
        <x:v>D-road proxy; B-coordinates</x:v>
      </x:c>
    </x:row>
    <x:row r="393">
      <x:c r="A393" s="17" t="str">
        <x:v>A0389</x:v>
      </x:c>
      <x:c r="B393" s="17" t="str">
        <x:v>GD19</x:v>
      </x:c>
      <x:c r="C393" s="17" t="str">
        <x:v>source</x:v>
      </x:c>
      <x:c r="D393" s="17" t="str">
        <x:v>潮州</x:v>
      </x:c>
      <x:c r="E393" s="24" t="n">
        <x:v>116.6204223</x:v>
      </x:c>
      <x:c r="F393" s="24" t="n">
        <x:v>23.656593</x:v>
      </x:c>
      <x:c r="G393" s="17" t="str">
        <x:v>C11</x:v>
      </x:c>
      <x:c r="H393" s="17" t="str">
        <x:v>collection</x:v>
      </x:c>
      <x:c r="I393" s="17" t="str">
        <x:v>东莞虚拟回收/检测中心</x:v>
      </x:c>
      <x:c r="J393" s="24" t="n">
        <x:v>113.7452332</x:v>
      </x:c>
      <x:c r="K393" s="24" t="n">
        <x:v>23.0183568</x:v>
      </x:c>
      <x:c r="L393" s="21" t="n">
        <x:f>6371*ACOS(MIN(1,COS(F393*PI()/180)*COS(K393*PI()/180)*COS((J393-E393)*PI()/180)+SIN(F393*PI()/180)*SIN(K393*PI()/180)))</x:f>
        <x:v>302.0003070616597</x:v>
      </x:c>
      <x:c r="M393" s="21" t="n">
        <x:f>L393*'情景参数模板'!$D$31</x:f>
        <x:v>362.40036847399165</x:v>
      </x:c>
      <x:c r="N393" s="21" t="n">
        <x:f>IF(C393="source",'情景参数模板'!$D$12,IF(H393="echelon",'情景参数模板'!$D$13,'情景参数模板'!$D$14))</x:f>
        <x:v>0.49</x:v>
      </x:c>
      <x:c r="O393" s="21" t="n">
        <x:f>IF(C393="source",'情景参数模板'!$D$18,IF(H393="echelon",'情景参数模板'!$D$19,'情景参数模板'!$D$20))</x:f>
        <x:v>150</x:v>
      </x:c>
      <x:c r="P393" s="17" t="n">
        <x:f>IF(M393&lt;=O393,1,0)</x:f>
        <x:v>0</x:v>
      </x:c>
      <x:c r="Q393" s="17" t="str">
        <x:v>D-road proxy; B-coordinates</x:v>
      </x:c>
    </x:row>
    <x:row r="394">
      <x:c r="A394" s="17" t="str">
        <x:v>A0390</x:v>
      </x:c>
      <x:c r="B394" s="17" t="str">
        <x:v>GD19</x:v>
      </x:c>
      <x:c r="C394" s="17" t="str">
        <x:v>source</x:v>
      </x:c>
      <x:c r="D394" s="17" t="str">
        <x:v>潮州</x:v>
      </x:c>
      <x:c r="E394" s="24" t="n">
        <x:v>116.6204223</x:v>
      </x:c>
      <x:c r="F394" s="24" t="n">
        <x:v>23.656593</x:v>
      </x:c>
      <x:c r="G394" s="17" t="str">
        <x:v>C12</x:v>
      </x:c>
      <x:c r="H394" s="17" t="str">
        <x:v>collection</x:v>
      </x:c>
      <x:c r="I394" s="17" t="str">
        <x:v>中山虚拟回收/检测中心</x:v>
      </x:c>
      <x:c r="J394" s="24" t="n">
        <x:v>113.3872302</x:v>
      </x:c>
      <x:c r="K394" s="24" t="n">
        <x:v>22.5197073</x:v>
      </x:c>
      <x:c r="L394" s="21" t="n">
        <x:f>6371*ACOS(MIN(1,COS(F394*PI()/180)*COS(K394*PI()/180)*COS((J394-E394)*PI()/180)+SIN(F394*PI()/180)*SIN(K394*PI()/180)))</x:f>
        <x:v>354.041841083676</x:v>
      </x:c>
      <x:c r="M394" s="21" t="n">
        <x:f>L394*'情景参数模板'!$D$31</x:f>
        <x:v>424.85020930041117</x:v>
      </x:c>
      <x:c r="N394" s="21" t="n">
        <x:f>IF(C394="source",'情景参数模板'!$D$12,IF(H394="echelon",'情景参数模板'!$D$13,'情景参数模板'!$D$14))</x:f>
        <x:v>0.49</x:v>
      </x:c>
      <x:c r="O394" s="21" t="n">
        <x:f>IF(C394="source",'情景参数模板'!$D$18,IF(H394="echelon",'情景参数模板'!$D$19,'情景参数模板'!$D$20))</x:f>
        <x:v>150</x:v>
      </x:c>
      <x:c r="P394" s="17" t="n">
        <x:f>IF(M394&lt;=O394,1,0)</x:f>
        <x:v>0</x:v>
      </x:c>
      <x:c r="Q394" s="17" t="str">
        <x:v>D-road proxy; B-coordinates</x:v>
      </x:c>
    </x:row>
    <x:row r="395">
      <x:c r="A395" s="17" t="str">
        <x:v>A0391</x:v>
      </x:c>
      <x:c r="B395" s="17" t="str">
        <x:v>GD19</x:v>
      </x:c>
      <x:c r="C395" s="17" t="str">
        <x:v>source</x:v>
      </x:c>
      <x:c r="D395" s="17" t="str">
        <x:v>潮州</x:v>
      </x:c>
      <x:c r="E395" s="24" t="n">
        <x:v>116.6204223</x:v>
      </x:c>
      <x:c r="F395" s="24" t="n">
        <x:v>23.656593</x:v>
      </x:c>
      <x:c r="G395" s="17" t="str">
        <x:v>C13</x:v>
      </x:c>
      <x:c r="H395" s="17" t="str">
        <x:v>collection</x:v>
      </x:c>
      <x:c r="I395" s="17" t="str">
        <x:v>江门虚拟回收/检测中心</x:v>
      </x:c>
      <x:c r="J395" s="24" t="n">
        <x:v>113.0761073</x:v>
      </x:c>
      <x:c r="K395" s="24" t="n">
        <x:v>22.5816619</x:v>
      </x:c>
      <x:c r="L395" s="21" t="n">
        <x:f>6371*ACOS(MIN(1,COS(F395*PI()/180)*COS(K395*PI()/180)*COS((J395-E395)*PI()/180)+SIN(F395*PI()/180)*SIN(K395*PI()/180)))</x:f>
        <x:v>381.64228200755093</x:v>
      </x:c>
      <x:c r="M395" s="21" t="n">
        <x:f>L395*'情景参数模板'!$D$31</x:f>
        <x:v>457.9707384090611</x:v>
      </x:c>
      <x:c r="N395" s="21" t="n">
        <x:f>IF(C395="source",'情景参数模板'!$D$12,IF(H395="echelon",'情景参数模板'!$D$13,'情景参数模板'!$D$14))</x:f>
        <x:v>0.49</x:v>
      </x:c>
      <x:c r="O395" s="21" t="n">
        <x:f>IF(C395="source",'情景参数模板'!$D$18,IF(H395="echelon",'情景参数模板'!$D$19,'情景参数模板'!$D$20))</x:f>
        <x:v>150</x:v>
      </x:c>
      <x:c r="P395" s="17" t="n">
        <x:f>IF(M395&lt;=O395,1,0)</x:f>
        <x:v>0</x:v>
      </x:c>
      <x:c r="Q395" s="17" t="str">
        <x:v>D-road proxy; B-coordinates</x:v>
      </x:c>
    </x:row>
    <x:row r="396">
      <x:c r="A396" s="17" t="str">
        <x:v>A0392</x:v>
      </x:c>
      <x:c r="B396" s="17" t="str">
        <x:v>GD19</x:v>
      </x:c>
      <x:c r="C396" s="17" t="str">
        <x:v>source</x:v>
      </x:c>
      <x:c r="D396" s="17" t="str">
        <x:v>潮州</x:v>
      </x:c>
      <x:c r="E396" s="24" t="n">
        <x:v>116.6204223</x:v>
      </x:c>
      <x:c r="F396" s="24" t="n">
        <x:v>23.656593</x:v>
      </x:c>
      <x:c r="G396" s="17" t="str">
        <x:v>C14</x:v>
      </x:c>
      <x:c r="H396" s="17" t="str">
        <x:v>collection</x:v>
      </x:c>
      <x:c r="I396" s="17" t="str">
        <x:v>阳江虚拟回收/检测中心</x:v>
      </x:c>
      <x:c r="J396" s="24" t="n">
        <x:v>111.7831393</x:v>
      </x:c>
      <x:c r="K396" s="24" t="n">
        <x:v>22.0958223</x:v>
      </x:c>
      <x:c r="L396" s="21" t="n">
        <x:f>6371*ACOS(MIN(1,COS(F396*PI()/180)*COS(K396*PI()/180)*COS((J396-E396)*PI()/180)+SIN(F396*PI()/180)*SIN(K396*PI()/180)))</x:f>
        <x:v>525.0419469827197</x:v>
      </x:c>
      <x:c r="M396" s="21" t="n">
        <x:f>L396*'情景参数模板'!$D$31</x:f>
        <x:v>630.0503363792635</x:v>
      </x:c>
      <x:c r="N396" s="21" t="n">
        <x:f>IF(C396="source",'情景参数模板'!$D$12,IF(H396="echelon",'情景参数模板'!$D$13,'情景参数模板'!$D$14))</x:f>
        <x:v>0.49</x:v>
      </x:c>
      <x:c r="O396" s="21" t="n">
        <x:f>IF(C396="source",'情景参数模板'!$D$18,IF(H396="echelon",'情景参数模板'!$D$19,'情景参数模板'!$D$20))</x:f>
        <x:v>150</x:v>
      </x:c>
      <x:c r="P396" s="17" t="n">
        <x:f>IF(M396&lt;=O396,1,0)</x:f>
        <x:v>0</x:v>
      </x:c>
      <x:c r="Q396" s="17" t="str">
        <x:v>D-road proxy; B-coordinates</x:v>
      </x:c>
    </x:row>
    <x:row r="397">
      <x:c r="A397" s="17" t="str">
        <x:v>A0393</x:v>
      </x:c>
      <x:c r="B397" s="17" t="str">
        <x:v>GD19</x:v>
      </x:c>
      <x:c r="C397" s="17" t="str">
        <x:v>source</x:v>
      </x:c>
      <x:c r="D397" s="17" t="str">
        <x:v>潮州</x:v>
      </x:c>
      <x:c r="E397" s="24" t="n">
        <x:v>116.6204223</x:v>
      </x:c>
      <x:c r="F397" s="24" t="n">
        <x:v>23.656593</x:v>
      </x:c>
      <x:c r="G397" s="17" t="str">
        <x:v>C15</x:v>
      </x:c>
      <x:c r="H397" s="17" t="str">
        <x:v>collection</x:v>
      </x:c>
      <x:c r="I397" s="17" t="str">
        <x:v>湛江虚拟回收/检测中心</x:v>
      </x:c>
      <x:c r="J397" s="24" t="n">
        <x:v>110.3548318</x:v>
      </x:c>
      <x:c r="K397" s="24" t="n">
        <x:v>21.2737079</x:v>
      </x:c>
      <x:c r="L397" s="21" t="n">
        <x:f>6371*ACOS(MIN(1,COS(F397*PI()/180)*COS(K397*PI()/180)*COS((J397-E397)*PI()/180)+SIN(F397*PI()/180)*SIN(K397*PI()/180)))</x:f>
        <x:v>696.1130775866975</x:v>
      </x:c>
      <x:c r="M397" s="21" t="n">
        <x:f>L397*'情景参数模板'!$D$31</x:f>
        <x:v>835.335693104037</x:v>
      </x:c>
      <x:c r="N397" s="21" t="n">
        <x:f>IF(C397="source",'情景参数模板'!$D$12,IF(H397="echelon",'情景参数模板'!$D$13,'情景参数模板'!$D$14))</x:f>
        <x:v>0.49</x:v>
      </x:c>
      <x:c r="O397" s="21" t="n">
        <x:f>IF(C397="source",'情景参数模板'!$D$18,IF(H397="echelon",'情景参数模板'!$D$19,'情景参数模板'!$D$20))</x:f>
        <x:v>150</x:v>
      </x:c>
      <x:c r="P397" s="17" t="n">
        <x:f>IF(M397&lt;=O397,1,0)</x:f>
        <x:v>0</x:v>
      </x:c>
      <x:c r="Q397" s="17" t="str">
        <x:v>D-road proxy; B-coordinates</x:v>
      </x:c>
    </x:row>
    <x:row r="398">
      <x:c r="A398" s="17" t="str">
        <x:v>A0394</x:v>
      </x:c>
      <x:c r="B398" s="17" t="str">
        <x:v>GD19</x:v>
      </x:c>
      <x:c r="C398" s="17" t="str">
        <x:v>source</x:v>
      </x:c>
      <x:c r="D398" s="17" t="str">
        <x:v>潮州</x:v>
      </x:c>
      <x:c r="E398" s="24" t="n">
        <x:v>116.6204223</x:v>
      </x:c>
      <x:c r="F398" s="24" t="n">
        <x:v>23.656593</x:v>
      </x:c>
      <x:c r="G398" s="17" t="str">
        <x:v>C16</x:v>
      </x:c>
      <x:c r="H398" s="17" t="str">
        <x:v>collection</x:v>
      </x:c>
      <x:c r="I398" s="17" t="str">
        <x:v>茂名虚拟回收/检测中心</x:v>
      </x:c>
      <x:c r="J398" s="24" t="n">
        <x:v>110.9209511</x:v>
      </x:c>
      <x:c r="K398" s="24" t="n">
        <x:v>21.6656961</x:v>
      </x:c>
      <x:c r="L398" s="21" t="n">
        <x:f>6371*ACOS(MIN(1,COS(F398*PI()/180)*COS(K398*PI()/180)*COS((J398-E398)*PI()/180)+SIN(F398*PI()/180)*SIN(K398*PI()/180)))</x:f>
        <x:v>625.2484183411569</x:v>
      </x:c>
      <x:c r="M398" s="21" t="n">
        <x:f>L398*'情景参数模板'!$D$31</x:f>
        <x:v>750.2981020093883</x:v>
      </x:c>
      <x:c r="N398" s="21" t="n">
        <x:f>IF(C398="source",'情景参数模板'!$D$12,IF(H398="echelon",'情景参数模板'!$D$13,'情景参数模板'!$D$14))</x:f>
        <x:v>0.49</x:v>
      </x:c>
      <x:c r="O398" s="21" t="n">
        <x:f>IF(C398="source",'情景参数模板'!$D$18,IF(H398="echelon",'情景参数模板'!$D$19,'情景参数模板'!$D$20))</x:f>
        <x:v>150</x:v>
      </x:c>
      <x:c r="P398" s="17" t="n">
        <x:f>IF(M398&lt;=O398,1,0)</x:f>
        <x:v>0</x:v>
      </x:c>
      <x:c r="Q398" s="17" t="str">
        <x:v>D-road proxy; B-coordinates</x:v>
      </x:c>
    </x:row>
    <x:row r="399">
      <x:c r="A399" s="17" t="str">
        <x:v>A0395</x:v>
      </x:c>
      <x:c r="B399" s="17" t="str">
        <x:v>GD19</x:v>
      </x:c>
      <x:c r="C399" s="17" t="str">
        <x:v>source</x:v>
      </x:c>
      <x:c r="D399" s="17" t="str">
        <x:v>潮州</x:v>
      </x:c>
      <x:c r="E399" s="24" t="n">
        <x:v>116.6204223</x:v>
      </x:c>
      <x:c r="F399" s="24" t="n">
        <x:v>23.656593</x:v>
      </x:c>
      <x:c r="G399" s="17" t="str">
        <x:v>C17</x:v>
      </x:c>
      <x:c r="H399" s="17" t="str">
        <x:v>collection</x:v>
      </x:c>
      <x:c r="I399" s="17" t="str">
        <x:v>肇庆虚拟回收/检测中心</x:v>
      </x:c>
      <x:c r="J399" s="24" t="n">
        <x:v>112.4603629</x:v>
      </x:c>
      <x:c r="K399" s="24" t="n">
        <x:v>23.0501661</x:v>
      </x:c>
      <x:c r="L399" s="21" t="n">
        <x:f>6371*ACOS(MIN(1,COS(F399*PI()/180)*COS(K399*PI()/180)*COS((J399-E399)*PI()/180)+SIN(F399*PI()/180)*SIN(K399*PI()/180)))</x:f>
        <x:v>429.98456385867706</x:v>
      </x:c>
      <x:c r="M399" s="21" t="n">
        <x:f>L399*'情景参数模板'!$D$31</x:f>
        <x:v>515.9814766304124</x:v>
      </x:c>
      <x:c r="N399" s="21" t="n">
        <x:f>IF(C399="source",'情景参数模板'!$D$12,IF(H399="echelon",'情景参数模板'!$D$13,'情景参数模板'!$D$14))</x:f>
        <x:v>0.49</x:v>
      </x:c>
      <x:c r="O399" s="21" t="n">
        <x:f>IF(C399="source",'情景参数模板'!$D$18,IF(H399="echelon",'情景参数模板'!$D$19,'情景参数模板'!$D$20))</x:f>
        <x:v>150</x:v>
      </x:c>
      <x:c r="P399" s="17" t="n">
        <x:f>IF(M399&lt;=O399,1,0)</x:f>
        <x:v>0</x:v>
      </x:c>
      <x:c r="Q399" s="17" t="str">
        <x:v>D-road proxy; B-coordinates</x:v>
      </x:c>
    </x:row>
    <x:row r="400">
      <x:c r="A400" s="17" t="str">
        <x:v>A0396</x:v>
      </x:c>
      <x:c r="B400" s="17" t="str">
        <x:v>GD19</x:v>
      </x:c>
      <x:c r="C400" s="17" t="str">
        <x:v>source</x:v>
      </x:c>
      <x:c r="D400" s="17" t="str">
        <x:v>潮州</x:v>
      </x:c>
      <x:c r="E400" s="24" t="n">
        <x:v>116.6204223</x:v>
      </x:c>
      <x:c r="F400" s="24" t="n">
        <x:v>23.656593</x:v>
      </x:c>
      <x:c r="G400" s="17" t="str">
        <x:v>C18</x:v>
      </x:c>
      <x:c r="H400" s="17" t="str">
        <x:v>collection</x:v>
      </x:c>
      <x:c r="I400" s="17" t="str">
        <x:v>清远虚拟回收/检测中心</x:v>
      </x:c>
      <x:c r="J400" s="24" t="n">
        <x:v>113.0505994</x:v>
      </x:c>
      <x:c r="K400" s="24" t="n">
        <x:v>23.6832984</x:v>
      </x:c>
      <x:c r="L400" s="21" t="n">
        <x:f>6371*ACOS(MIN(1,COS(F400*PI()/180)*COS(K400*PI()/180)*COS((J400-E400)*PI()/180)+SIN(F400*PI()/180)*SIN(K400*PI()/180)))</x:f>
        <x:v>363.5550667063742</x:v>
      </x:c>
      <x:c r="M400" s="21" t="n">
        <x:f>L400*'情景参数模板'!$D$31</x:f>
        <x:v>436.26608004764904</x:v>
      </x:c>
      <x:c r="N400" s="21" t="n">
        <x:f>IF(C400="source",'情景参数模板'!$D$12,IF(H400="echelon",'情景参数模板'!$D$13,'情景参数模板'!$D$14))</x:f>
        <x:v>0.49</x:v>
      </x:c>
      <x:c r="O400" s="21" t="n">
        <x:f>IF(C400="source",'情景参数模板'!$D$18,IF(H400="echelon",'情景参数模板'!$D$19,'情景参数模板'!$D$20))</x:f>
        <x:v>150</x:v>
      </x:c>
      <x:c r="P400" s="17" t="n">
        <x:f>IF(M400&lt;=O400,1,0)</x:f>
        <x:v>0</x:v>
      </x:c>
      <x:c r="Q400" s="17" t="str">
        <x:v>D-road proxy; B-coordinates</x:v>
      </x:c>
    </x:row>
    <x:row r="401">
      <x:c r="A401" s="17" t="str">
        <x:v>A0397</x:v>
      </x:c>
      <x:c r="B401" s="17" t="str">
        <x:v>GD19</x:v>
      </x:c>
      <x:c r="C401" s="17" t="str">
        <x:v>source</x:v>
      </x:c>
      <x:c r="D401" s="17" t="str">
        <x:v>潮州</x:v>
      </x:c>
      <x:c r="E401" s="24" t="n">
        <x:v>116.6204223</x:v>
      </x:c>
      <x:c r="F401" s="24" t="n">
        <x:v>23.656593</x:v>
      </x:c>
      <x:c r="G401" s="17" t="str">
        <x:v>C19</x:v>
      </x:c>
      <x:c r="H401" s="17" t="str">
        <x:v>collection</x:v>
      </x:c>
      <x:c r="I401" s="17" t="str">
        <x:v>潮州虚拟回收/检测中心</x:v>
      </x:c>
      <x:c r="J401" s="24" t="n">
        <x:v>116.6204223</x:v>
      </x:c>
      <x:c r="K401" s="24" t="n">
        <x:v>23.656593</x:v>
      </x:c>
      <x:c r="L401" s="21" t="n">
        <x:f>6371*ACOS(MIN(1,COS(F401*PI()/180)*COS(K401*PI()/180)*COS((J401-E401)*PI()/180)+SIN(F401*PI()/180)*SIN(K401*PI()/180)))</x:f>
        <x:v>0.00009493529796600342</x:v>
      </x:c>
      <x:c r="M401" s="21" t="n">
        <x:f>L401*'情景参数模板'!$D$31</x:f>
        <x:v>0.0001139223575592041</x:v>
      </x:c>
      <x:c r="N401" s="21" t="n">
        <x:f>IF(C401="source",'情景参数模板'!$D$12,IF(H401="echelon",'情景参数模板'!$D$13,'情景参数模板'!$D$14))</x:f>
        <x:v>0.49</x:v>
      </x:c>
      <x:c r="O401" s="21" t="n">
        <x:f>IF(C401="source",'情景参数模板'!$D$18,IF(H401="echelon",'情景参数模板'!$D$19,'情景参数模板'!$D$20))</x:f>
        <x:v>150</x:v>
      </x:c>
      <x:c r="P401" s="17" t="n">
        <x:f>IF(M401&lt;=O401,1,0)</x:f>
        <x:v>1</x:v>
      </x:c>
      <x:c r="Q401" s="17" t="str">
        <x:v>D-road proxy; B-coordinates</x:v>
      </x:c>
    </x:row>
    <x:row r="402">
      <x:c r="A402" s="17" t="str">
        <x:v>A0398</x:v>
      </x:c>
      <x:c r="B402" s="17" t="str">
        <x:v>GD19</x:v>
      </x:c>
      <x:c r="C402" s="17" t="str">
        <x:v>source</x:v>
      </x:c>
      <x:c r="D402" s="17" t="str">
        <x:v>潮州</x:v>
      </x:c>
      <x:c r="E402" s="24" t="n">
        <x:v>116.6204223</x:v>
      </x:c>
      <x:c r="F402" s="24" t="n">
        <x:v>23.656593</x:v>
      </x:c>
      <x:c r="G402" s="17" t="str">
        <x:v>C20</x:v>
      </x:c>
      <x:c r="H402" s="17" t="str">
        <x:v>collection</x:v>
      </x:c>
      <x:c r="I402" s="17" t="str">
        <x:v>揭阳虚拟回收/检测中心</x:v>
      </x:c>
      <x:c r="J402" s="24" t="n">
        <x:v>116.3680354</x:v>
      </x:c>
      <x:c r="K402" s="24" t="n">
        <x:v>23.553156</x:v>
      </x:c>
      <x:c r="L402" s="21" t="n">
        <x:f>6371*ACOS(MIN(1,COS(F402*PI()/180)*COS(K402*PI()/180)*COS((J402-E402)*PI()/180)+SIN(F402*PI()/180)*SIN(K402*PI()/180)))</x:f>
        <x:v>28.170898173495665</x:v>
      </x:c>
      <x:c r="M402" s="21" t="n">
        <x:f>L402*'情景参数模板'!$D$31</x:f>
        <x:v>33.805077808194795</x:v>
      </x:c>
      <x:c r="N402" s="21" t="n">
        <x:f>IF(C402="source",'情景参数模板'!$D$12,IF(H402="echelon",'情景参数模板'!$D$13,'情景参数模板'!$D$14))</x:f>
        <x:v>0.49</x:v>
      </x:c>
      <x:c r="O402" s="21" t="n">
        <x:f>IF(C402="source",'情景参数模板'!$D$18,IF(H402="echelon",'情景参数模板'!$D$19,'情景参数模板'!$D$20))</x:f>
        <x:v>150</x:v>
      </x:c>
      <x:c r="P402" s="17" t="n">
        <x:f>IF(M402&lt;=O402,1,0)</x:f>
        <x:v>1</x:v>
      </x:c>
      <x:c r="Q402" s="17" t="str">
        <x:v>D-road proxy; B-coordinates</x:v>
      </x:c>
    </x:row>
    <x:row r="403">
      <x:c r="A403" s="17" t="str">
        <x:v>A0399</x:v>
      </x:c>
      <x:c r="B403" s="17" t="str">
        <x:v>GD19</x:v>
      </x:c>
      <x:c r="C403" s="17" t="str">
        <x:v>source</x:v>
      </x:c>
      <x:c r="D403" s="17" t="str">
        <x:v>潮州</x:v>
      </x:c>
      <x:c r="E403" s="24" t="n">
        <x:v>116.6204223</x:v>
      </x:c>
      <x:c r="F403" s="24" t="n">
        <x:v>23.656593</x:v>
      </x:c>
      <x:c r="G403" s="17" t="str">
        <x:v>C21</x:v>
      </x:c>
      <x:c r="H403" s="17" t="str">
        <x:v>collection</x:v>
      </x:c>
      <x:c r="I403" s="17" t="str">
        <x:v>云浮虚拟回收/检测中心</x:v>
      </x:c>
      <x:c r="J403" s="24" t="n">
        <x:v>111.8078586</x:v>
      </x:c>
      <x:c r="K403" s="24" t="n">
        <x:v>22.8546663</x:v>
      </x:c>
      <x:c r="L403" s="21" t="n">
        <x:f>6371*ACOS(MIN(1,COS(F403*PI()/180)*COS(K403*PI()/180)*COS((J403-E403)*PI()/180)+SIN(F403*PI()/180)*SIN(K403*PI()/180)))</x:f>
        <x:v>499.64697728311506</x:v>
      </x:c>
      <x:c r="M403" s="21" t="n">
        <x:f>L403*'情景参数模板'!$D$31</x:f>
        <x:v>599.5763727397381</x:v>
      </x:c>
      <x:c r="N403" s="21" t="n">
        <x:f>IF(C403="source",'情景参数模板'!$D$12,IF(H403="echelon",'情景参数模板'!$D$13,'情景参数模板'!$D$14))</x:f>
        <x:v>0.49</x:v>
      </x:c>
      <x:c r="O403" s="21" t="n">
        <x:f>IF(C403="source",'情景参数模板'!$D$18,IF(H403="echelon",'情景参数模板'!$D$19,'情景参数模板'!$D$20))</x:f>
        <x:v>150</x:v>
      </x:c>
      <x:c r="P403" s="17" t="n">
        <x:f>IF(M403&lt;=O403,1,0)</x:f>
        <x:v>0</x:v>
      </x:c>
      <x:c r="Q403" s="17" t="str">
        <x:v>D-road proxy; B-coordinates</x:v>
      </x:c>
    </x:row>
    <x:row r="404">
      <x:c r="A404" s="17" t="str">
        <x:v>A0400</x:v>
      </x:c>
      <x:c r="B404" s="17" t="str">
        <x:v>GD20</x:v>
      </x:c>
      <x:c r="C404" s="17" t="str">
        <x:v>source</x:v>
      </x:c>
      <x:c r="D404" s="17" t="str">
        <x:v>揭阳</x:v>
      </x:c>
      <x:c r="E404" s="24" t="n">
        <x:v>116.3680354</x:v>
      </x:c>
      <x:c r="F404" s="24" t="n">
        <x:v>23.553156</x:v>
      </x:c>
      <x:c r="G404" s="17" t="str">
        <x:v>C01</x:v>
      </x:c>
      <x:c r="H404" s="17" t="str">
        <x:v>collection</x:v>
      </x:c>
      <x:c r="I404" s="17" t="str">
        <x:v>广州虚拟回收/检测中心</x:v>
      </x:c>
      <x:c r="J404" s="24" t="n">
        <x:v>113.2589581</x:v>
      </x:c>
      <x:c r="K404" s="24" t="n">
        <x:v>23.1288429</x:v>
      </x:c>
      <x:c r="L404" s="21" t="n">
        <x:f>6371*ACOS(MIN(1,COS(F404*PI()/180)*COS(K404*PI()/180)*COS((J404-E404)*PI()/180)+SIN(F404*PI()/180)*SIN(K404*PI()/180)))</x:f>
        <x:v>320.9016901068273</x:v>
      </x:c>
      <x:c r="M404" s="21" t="n">
        <x:f>L404*'情景参数模板'!$D$31</x:f>
        <x:v>385.08202812819275</x:v>
      </x:c>
      <x:c r="N404" s="21" t="n">
        <x:f>IF(C404="source",'情景参数模板'!$D$12,IF(H404="echelon",'情景参数模板'!$D$13,'情景参数模板'!$D$14))</x:f>
        <x:v>0.49</x:v>
      </x:c>
      <x:c r="O404" s="21" t="n">
        <x:f>IF(C404="source",'情景参数模板'!$D$18,IF(H404="echelon",'情景参数模板'!$D$19,'情景参数模板'!$D$20))</x:f>
        <x:v>150</x:v>
      </x:c>
      <x:c r="P404" s="17" t="n">
        <x:f>IF(M404&lt;=O404,1,0)</x:f>
        <x:v>0</x:v>
      </x:c>
      <x:c r="Q404" s="17" t="str">
        <x:v>D-road proxy; B-coordinates</x:v>
      </x:c>
    </x:row>
    <x:row r="405">
      <x:c r="A405" s="17" t="str">
        <x:v>A0401</x:v>
      </x:c>
      <x:c r="B405" s="17" t="str">
        <x:v>GD20</x:v>
      </x:c>
      <x:c r="C405" s="17" t="str">
        <x:v>source</x:v>
      </x:c>
      <x:c r="D405" s="17" t="str">
        <x:v>揭阳</x:v>
      </x:c>
      <x:c r="E405" s="24" t="n">
        <x:v>116.3680354</x:v>
      </x:c>
      <x:c r="F405" s="24" t="n">
        <x:v>23.553156</x:v>
      </x:c>
      <x:c r="G405" s="17" t="str">
        <x:v>C02</x:v>
      </x:c>
      <x:c r="H405" s="17" t="str">
        <x:v>collection</x:v>
      </x:c>
      <x:c r="I405" s="17" t="str">
        <x:v>深圳虚拟回收/检测中心</x:v>
      </x:c>
      <x:c r="J405" s="24" t="n">
        <x:v>114.0545429</x:v>
      </x:c>
      <x:c r="K405" s="24" t="n">
        <x:v>22.5445741</x:v>
      </x:c>
      <x:c r="L405" s="21" t="n">
        <x:f>6371*ACOS(MIN(1,COS(F405*PI()/180)*COS(K405*PI()/180)*COS((J405-E405)*PI()/180)+SIN(F405*PI()/180)*SIN(K405*PI()/180)))</x:f>
        <x:v>261.92936233802646</x:v>
      </x:c>
      <x:c r="M405" s="21" t="n">
        <x:f>L405*'情景参数模板'!$D$31</x:f>
        <x:v>314.31523480563175</x:v>
      </x:c>
      <x:c r="N405" s="21" t="n">
        <x:f>IF(C405="source",'情景参数模板'!$D$12,IF(H405="echelon",'情景参数模板'!$D$13,'情景参数模板'!$D$14))</x:f>
        <x:v>0.49</x:v>
      </x:c>
      <x:c r="O405" s="21" t="n">
        <x:f>IF(C405="source",'情景参数模板'!$D$18,IF(H405="echelon",'情景参数模板'!$D$19,'情景参数模板'!$D$20))</x:f>
        <x:v>150</x:v>
      </x:c>
      <x:c r="P405" s="17" t="n">
        <x:f>IF(M405&lt;=O405,1,0)</x:f>
        <x:v>0</x:v>
      </x:c>
      <x:c r="Q405" s="17" t="str">
        <x:v>D-road proxy; B-coordinates</x:v>
      </x:c>
    </x:row>
    <x:row r="406">
      <x:c r="A406" s="17" t="str">
        <x:v>A0402</x:v>
      </x:c>
      <x:c r="B406" s="17" t="str">
        <x:v>GD20</x:v>
      </x:c>
      <x:c r="C406" s="17" t="str">
        <x:v>source</x:v>
      </x:c>
      <x:c r="D406" s="17" t="str">
        <x:v>揭阳</x:v>
      </x:c>
      <x:c r="E406" s="24" t="n">
        <x:v>116.3680354</x:v>
      </x:c>
      <x:c r="F406" s="24" t="n">
        <x:v>23.553156</x:v>
      </x:c>
      <x:c r="G406" s="17" t="str">
        <x:v>C03</x:v>
      </x:c>
      <x:c r="H406" s="17" t="str">
        <x:v>collection</x:v>
      </x:c>
      <x:c r="I406" s="17" t="str">
        <x:v>珠海虚拟回收/检测中心</x:v>
      </x:c>
      <x:c r="J406" s="24" t="n">
        <x:v>113.5721327</x:v>
      </x:c>
      <x:c r="K406" s="24" t="n">
        <x:v>22.273734</x:v>
      </x:c>
      <x:c r="L406" s="21" t="n">
        <x:f>6371*ACOS(MIN(1,COS(F406*PI()/180)*COS(K406*PI()/180)*COS((J406-E406)*PI()/180)+SIN(F406*PI()/180)*SIN(K406*PI()/180)))</x:f>
        <x:v>319.7393294978697</x:v>
      </x:c>
      <x:c r="M406" s="21" t="n">
        <x:f>L406*'情景参数模板'!$D$31</x:f>
        <x:v>383.6871953974436</x:v>
      </x:c>
      <x:c r="N406" s="21" t="n">
        <x:f>IF(C406="source",'情景参数模板'!$D$12,IF(H406="echelon",'情景参数模板'!$D$13,'情景参数模板'!$D$14))</x:f>
        <x:v>0.49</x:v>
      </x:c>
      <x:c r="O406" s="21" t="n">
        <x:f>IF(C406="source",'情景参数模板'!$D$18,IF(H406="echelon",'情景参数模板'!$D$19,'情景参数模板'!$D$20))</x:f>
        <x:v>150</x:v>
      </x:c>
      <x:c r="P406" s="17" t="n">
        <x:f>IF(M406&lt;=O406,1,0)</x:f>
        <x:v>0</x:v>
      </x:c>
      <x:c r="Q406" s="17" t="str">
        <x:v>D-road proxy; B-coordinates</x:v>
      </x:c>
    </x:row>
    <x:row r="407">
      <x:c r="A407" s="17" t="str">
        <x:v>A0403</x:v>
      </x:c>
      <x:c r="B407" s="17" t="str">
        <x:v>GD20</x:v>
      </x:c>
      <x:c r="C407" s="17" t="str">
        <x:v>source</x:v>
      </x:c>
      <x:c r="D407" s="17" t="str">
        <x:v>揭阳</x:v>
      </x:c>
      <x:c r="E407" s="24" t="n">
        <x:v>116.3680354</x:v>
      </x:c>
      <x:c r="F407" s="24" t="n">
        <x:v>23.553156</x:v>
      </x:c>
      <x:c r="G407" s="17" t="str">
        <x:v>C04</x:v>
      </x:c>
      <x:c r="H407" s="17" t="str">
        <x:v>collection</x:v>
      </x:c>
      <x:c r="I407" s="17" t="str">
        <x:v>汕头虚拟回收/检测中心</x:v>
      </x:c>
      <x:c r="J407" s="24" t="n">
        <x:v>116.6775856</x:v>
      </x:c>
      <x:c r="K407" s="24" t="n">
        <x:v>23.3563921</x:v>
      </x:c>
      <x:c r="L407" s="21" t="n">
        <x:f>6371*ACOS(MIN(1,COS(F407*PI()/180)*COS(K407*PI()/180)*COS((J407-E407)*PI()/180)+SIN(F407*PI()/180)*SIN(K407*PI()/180)))</x:f>
        <x:v>38.41568432658492</x:v>
      </x:c>
      <x:c r="M407" s="21" t="n">
        <x:f>L407*'情景参数模板'!$D$31</x:f>
        <x:v>46.098821191901905</x:v>
      </x:c>
      <x:c r="N407" s="21" t="n">
        <x:f>IF(C407="source",'情景参数模板'!$D$12,IF(H407="echelon",'情景参数模板'!$D$13,'情景参数模板'!$D$14))</x:f>
        <x:v>0.49</x:v>
      </x:c>
      <x:c r="O407" s="21" t="n">
        <x:f>IF(C407="source",'情景参数模板'!$D$18,IF(H407="echelon",'情景参数模板'!$D$19,'情景参数模板'!$D$20))</x:f>
        <x:v>150</x:v>
      </x:c>
      <x:c r="P407" s="17" t="n">
        <x:f>IF(M407&lt;=O407,1,0)</x:f>
        <x:v>1</x:v>
      </x:c>
      <x:c r="Q407" s="17" t="str">
        <x:v>D-road proxy; B-coordinates</x:v>
      </x:c>
    </x:row>
    <x:row r="408">
      <x:c r="A408" s="17" t="str">
        <x:v>A0404</x:v>
      </x:c>
      <x:c r="B408" s="17" t="str">
        <x:v>GD20</x:v>
      </x:c>
      <x:c r="C408" s="17" t="str">
        <x:v>source</x:v>
      </x:c>
      <x:c r="D408" s="17" t="str">
        <x:v>揭阳</x:v>
      </x:c>
      <x:c r="E408" s="24" t="n">
        <x:v>116.3680354</x:v>
      </x:c>
      <x:c r="F408" s="24" t="n">
        <x:v>23.553156</x:v>
      </x:c>
      <x:c r="G408" s="17" t="str">
        <x:v>C05</x:v>
      </x:c>
      <x:c r="H408" s="17" t="str">
        <x:v>collection</x:v>
      </x:c>
      <x:c r="I408" s="17" t="str">
        <x:v>佛山虚拟回收/检测中心</x:v>
      </x:c>
      <x:c r="J408" s="24" t="n">
        <x:v>113.1159558</x:v>
      </x:c>
      <x:c r="K408" s="24" t="n">
        <x:v>23.0239788</x:v>
      </x:c>
      <x:c r="L408" s="21" t="n">
        <x:f>6371*ACOS(MIN(1,COS(F408*PI()/180)*COS(K408*PI()/180)*COS((J408-E408)*PI()/180)+SIN(F408*PI()/180)*SIN(K408*PI()/180)))</x:f>
        <x:v>337.31536533239324</x:v>
      </x:c>
      <x:c r="M408" s="21" t="n">
        <x:f>L408*'情景参数模板'!$D$31</x:f>
        <x:v>404.77843839887186</x:v>
      </x:c>
      <x:c r="N408" s="21" t="n">
        <x:f>IF(C408="source",'情景参数模板'!$D$12,IF(H408="echelon",'情景参数模板'!$D$13,'情景参数模板'!$D$14))</x:f>
        <x:v>0.49</x:v>
      </x:c>
      <x:c r="O408" s="21" t="n">
        <x:f>IF(C408="source",'情景参数模板'!$D$18,IF(H408="echelon",'情景参数模板'!$D$19,'情景参数模板'!$D$20))</x:f>
        <x:v>150</x:v>
      </x:c>
      <x:c r="P408" s="17" t="n">
        <x:f>IF(M408&lt;=O408,1,0)</x:f>
        <x:v>0</x:v>
      </x:c>
      <x:c r="Q408" s="17" t="str">
        <x:v>D-road proxy; B-coordinates</x:v>
      </x:c>
    </x:row>
    <x:row r="409">
      <x:c r="A409" s="17" t="str">
        <x:v>A0405</x:v>
      </x:c>
      <x:c r="B409" s="17" t="str">
        <x:v>GD20</x:v>
      </x:c>
      <x:c r="C409" s="17" t="str">
        <x:v>source</x:v>
      </x:c>
      <x:c r="D409" s="17" t="str">
        <x:v>揭阳</x:v>
      </x:c>
      <x:c r="E409" s="24" t="n">
        <x:v>116.3680354</x:v>
      </x:c>
      <x:c r="F409" s="24" t="n">
        <x:v>23.553156</x:v>
      </x:c>
      <x:c r="G409" s="17" t="str">
        <x:v>C06</x:v>
      </x:c>
      <x:c r="H409" s="17" t="str">
        <x:v>collection</x:v>
      </x:c>
      <x:c r="I409" s="17" t="str">
        <x:v>韶关虚拟回收/检测中心</x:v>
      </x:c>
      <x:c r="J409" s="24" t="n">
        <x:v>113.8155263</x:v>
      </x:c>
      <x:c r="K409" s="24" t="n">
        <x:v>24.8309489</x:v>
      </x:c>
      <x:c r="L409" s="21" t="n">
        <x:f>6371*ACOS(MIN(1,COS(F409*PI()/180)*COS(K409*PI()/180)*COS((J409-E409)*PI()/180)+SIN(F409*PI()/180)*SIN(K409*PI()/180)))</x:f>
        <x:v>295.3143523759985</x:v>
      </x:c>
      <x:c r="M409" s="21" t="n">
        <x:f>L409*'情景参数模板'!$D$31</x:f>
        <x:v>354.3772228511982</x:v>
      </x:c>
      <x:c r="N409" s="21" t="n">
        <x:f>IF(C409="source",'情景参数模板'!$D$12,IF(H409="echelon",'情景参数模板'!$D$13,'情景参数模板'!$D$14))</x:f>
        <x:v>0.49</x:v>
      </x:c>
      <x:c r="O409" s="21" t="n">
        <x:f>IF(C409="source",'情景参数模板'!$D$18,IF(H409="echelon",'情景参数模板'!$D$19,'情景参数模板'!$D$20))</x:f>
        <x:v>150</x:v>
      </x:c>
      <x:c r="P409" s="17" t="n">
        <x:f>IF(M409&lt;=O409,1,0)</x:f>
        <x:v>0</x:v>
      </x:c>
      <x:c r="Q409" s="17" t="str">
        <x:v>D-road proxy; B-coordinates</x:v>
      </x:c>
    </x:row>
    <x:row r="410">
      <x:c r="A410" s="17" t="str">
        <x:v>A0406</x:v>
      </x:c>
      <x:c r="B410" s="17" t="str">
        <x:v>GD20</x:v>
      </x:c>
      <x:c r="C410" s="17" t="str">
        <x:v>source</x:v>
      </x:c>
      <x:c r="D410" s="17" t="str">
        <x:v>揭阳</x:v>
      </x:c>
      <x:c r="E410" s="24" t="n">
        <x:v>116.3680354</x:v>
      </x:c>
      <x:c r="F410" s="24" t="n">
        <x:v>23.553156</x:v>
      </x:c>
      <x:c r="G410" s="17" t="str">
        <x:v>C07</x:v>
      </x:c>
      <x:c r="H410" s="17" t="str">
        <x:v>collection</x:v>
      </x:c>
      <x:c r="I410" s="17" t="str">
        <x:v>河源虚拟回收/检测中心</x:v>
      </x:c>
      <x:c r="J410" s="24" t="n">
        <x:v>115.0577538</x:v>
      </x:c>
      <x:c r="K410" s="24" t="n">
        <x:v>24.1014769</x:v>
      </x:c>
      <x:c r="L410" s="21" t="n">
        <x:f>6371*ACOS(MIN(1,COS(F410*PI()/180)*COS(K410*PI()/180)*COS((J410-E410)*PI()/180)+SIN(F410*PI()/180)*SIN(K410*PI()/180)))</x:f>
        <x:v>146.56134098131724</x:v>
      </x:c>
      <x:c r="M410" s="21" t="n">
        <x:f>L410*'情景参数模板'!$D$31</x:f>
        <x:v>175.87360917758068</x:v>
      </x:c>
      <x:c r="N410" s="21" t="n">
        <x:f>IF(C410="source",'情景参数模板'!$D$12,IF(H410="echelon",'情景参数模板'!$D$13,'情景参数模板'!$D$14))</x:f>
        <x:v>0.49</x:v>
      </x:c>
      <x:c r="O410" s="21" t="n">
        <x:f>IF(C410="source",'情景参数模板'!$D$18,IF(H410="echelon",'情景参数模板'!$D$19,'情景参数模板'!$D$20))</x:f>
        <x:v>150</x:v>
      </x:c>
      <x:c r="P410" s="17" t="n">
        <x:f>IF(M410&lt;=O410,1,0)</x:f>
        <x:v>0</x:v>
      </x:c>
      <x:c r="Q410" s="17" t="str">
        <x:v>D-road proxy; B-coordinates</x:v>
      </x:c>
    </x:row>
    <x:row r="411">
      <x:c r="A411" s="17" t="str">
        <x:v>A0407</x:v>
      </x:c>
      <x:c r="B411" s="17" t="str">
        <x:v>GD20</x:v>
      </x:c>
      <x:c r="C411" s="17" t="str">
        <x:v>source</x:v>
      </x:c>
      <x:c r="D411" s="17" t="str">
        <x:v>揭阳</x:v>
      </x:c>
      <x:c r="E411" s="24" t="n">
        <x:v>116.3680354</x:v>
      </x:c>
      <x:c r="F411" s="24" t="n">
        <x:v>23.553156</x:v>
      </x:c>
      <x:c r="G411" s="17" t="str">
        <x:v>C08</x:v>
      </x:c>
      <x:c r="H411" s="17" t="str">
        <x:v>collection</x:v>
      </x:c>
      <x:c r="I411" s="17" t="str">
        <x:v>梅州虚拟回收/检测中心</x:v>
      </x:c>
      <x:c r="J411" s="24" t="n">
        <x:v>116.1171428</x:v>
      </x:c>
      <x:c r="K411" s="24" t="n">
        <x:v>24.2918414</x:v>
      </x:c>
      <x:c r="L411" s="21" t="n">
        <x:f>6371*ACOS(MIN(1,COS(F411*PI()/180)*COS(K411*PI()/180)*COS((J411-E411)*PI()/180)+SIN(F411*PI()/180)*SIN(K411*PI()/180)))</x:f>
        <x:v>86.00563571444273</x:v>
      </x:c>
      <x:c r="M411" s="21" t="n">
        <x:f>L411*'情景参数模板'!$D$31</x:f>
        <x:v>103.20676285733127</x:v>
      </x:c>
      <x:c r="N411" s="21" t="n">
        <x:f>IF(C411="source",'情景参数模板'!$D$12,IF(H411="echelon",'情景参数模板'!$D$13,'情景参数模板'!$D$14))</x:f>
        <x:v>0.49</x:v>
      </x:c>
      <x:c r="O411" s="21" t="n">
        <x:f>IF(C411="source",'情景参数模板'!$D$18,IF(H411="echelon",'情景参数模板'!$D$19,'情景参数模板'!$D$20))</x:f>
        <x:v>150</x:v>
      </x:c>
      <x:c r="P411" s="17" t="n">
        <x:f>IF(M411&lt;=O411,1,0)</x:f>
        <x:v>1</x:v>
      </x:c>
      <x:c r="Q411" s="17" t="str">
        <x:v>D-road proxy; B-coordinates</x:v>
      </x:c>
    </x:row>
    <x:row r="412">
      <x:c r="A412" s="17" t="str">
        <x:v>A0408</x:v>
      </x:c>
      <x:c r="B412" s="17" t="str">
        <x:v>GD20</x:v>
      </x:c>
      <x:c r="C412" s="17" t="str">
        <x:v>source</x:v>
      </x:c>
      <x:c r="D412" s="17" t="str">
        <x:v>揭阳</x:v>
      </x:c>
      <x:c r="E412" s="24" t="n">
        <x:v>116.3680354</x:v>
      </x:c>
      <x:c r="F412" s="24" t="n">
        <x:v>23.553156</x:v>
      </x:c>
      <x:c r="G412" s="17" t="str">
        <x:v>C09</x:v>
      </x:c>
      <x:c r="H412" s="17" t="str">
        <x:v>collection</x:v>
      </x:c>
      <x:c r="I412" s="17" t="str">
        <x:v>惠州虚拟回收/检测中心</x:v>
      </x:c>
      <x:c r="J412" s="24" t="n">
        <x:v>114.4127007</x:v>
      </x:c>
      <x:c r="K412" s="24" t="n">
        <x:v>23.1125153</x:v>
      </x:c>
      <x:c r="L412" s="21" t="n">
        <x:f>6371*ACOS(MIN(1,COS(F412*PI()/180)*COS(K412*PI()/180)*COS((J412-E412)*PI()/180)+SIN(F412*PI()/180)*SIN(K412*PI()/180)))</x:f>
        <x:v>205.5647125663095</x:v>
      </x:c>
      <x:c r="M412" s="21" t="n">
        <x:f>L412*'情景参数模板'!$D$31</x:f>
        <x:v>246.6776550795714</x:v>
      </x:c>
      <x:c r="N412" s="21" t="n">
        <x:f>IF(C412="source",'情景参数模板'!$D$12,IF(H412="echelon",'情景参数模板'!$D$13,'情景参数模板'!$D$14))</x:f>
        <x:v>0.49</x:v>
      </x:c>
      <x:c r="O412" s="21" t="n">
        <x:f>IF(C412="source",'情景参数模板'!$D$18,IF(H412="echelon",'情景参数模板'!$D$19,'情景参数模板'!$D$20))</x:f>
        <x:v>150</x:v>
      </x:c>
      <x:c r="P412" s="17" t="n">
        <x:f>IF(M412&lt;=O412,1,0)</x:f>
        <x:v>0</x:v>
      </x:c>
      <x:c r="Q412" s="17" t="str">
        <x:v>D-road proxy; B-coordinates</x:v>
      </x:c>
    </x:row>
    <x:row r="413">
      <x:c r="A413" s="17" t="str">
        <x:v>A0409</x:v>
      </x:c>
      <x:c r="B413" s="17" t="str">
        <x:v>GD20</x:v>
      </x:c>
      <x:c r="C413" s="17" t="str">
        <x:v>source</x:v>
      </x:c>
      <x:c r="D413" s="17" t="str">
        <x:v>揭阳</x:v>
      </x:c>
      <x:c r="E413" s="24" t="n">
        <x:v>116.3680354</x:v>
      </x:c>
      <x:c r="F413" s="24" t="n">
        <x:v>23.553156</x:v>
      </x:c>
      <x:c r="G413" s="17" t="str">
        <x:v>C10</x:v>
      </x:c>
      <x:c r="H413" s="17" t="str">
        <x:v>collection</x:v>
      </x:c>
      <x:c r="I413" s="17" t="str">
        <x:v>汕尾虚拟回收/检测中心</x:v>
      </x:c>
      <x:c r="J413" s="24" t="n">
        <x:v>115.5099937</x:v>
      </x:c>
      <x:c r="K413" s="24" t="n">
        <x:v>23.0123639</x:v>
      </x:c>
      <x:c r="L413" s="21" t="n">
        <x:f>6371*ACOS(MIN(1,COS(F413*PI()/180)*COS(K413*PI()/180)*COS((J413-E413)*PI()/180)+SIN(F413*PI()/180)*SIN(K413*PI()/180)))</x:f>
        <x:v>106.28600251464582</x:v>
      </x:c>
      <x:c r="M413" s="21" t="n">
        <x:f>L413*'情景参数模板'!$D$31</x:f>
        <x:v>127.54320301757497</x:v>
      </x:c>
      <x:c r="N413" s="21" t="n">
        <x:f>IF(C413="source",'情景参数模板'!$D$12,IF(H413="echelon",'情景参数模板'!$D$13,'情景参数模板'!$D$14))</x:f>
        <x:v>0.49</x:v>
      </x:c>
      <x:c r="O413" s="21" t="n">
        <x:f>IF(C413="source",'情景参数模板'!$D$18,IF(H413="echelon",'情景参数模板'!$D$19,'情景参数模板'!$D$20))</x:f>
        <x:v>150</x:v>
      </x:c>
      <x:c r="P413" s="17" t="n">
        <x:f>IF(M413&lt;=O413,1,0)</x:f>
        <x:v>1</x:v>
      </x:c>
      <x:c r="Q413" s="17" t="str">
        <x:v>D-road proxy; B-coordinates</x:v>
      </x:c>
    </x:row>
    <x:row r="414">
      <x:c r="A414" s="17" t="str">
        <x:v>A0410</x:v>
      </x:c>
      <x:c r="B414" s="17" t="str">
        <x:v>GD20</x:v>
      </x:c>
      <x:c r="C414" s="17" t="str">
        <x:v>source</x:v>
      </x:c>
      <x:c r="D414" s="17" t="str">
        <x:v>揭阳</x:v>
      </x:c>
      <x:c r="E414" s="24" t="n">
        <x:v>116.3680354</x:v>
      </x:c>
      <x:c r="F414" s="24" t="n">
        <x:v>23.553156</x:v>
      </x:c>
      <x:c r="G414" s="17" t="str">
        <x:v>C11</x:v>
      </x:c>
      <x:c r="H414" s="17" t="str">
        <x:v>collection</x:v>
      </x:c>
      <x:c r="I414" s="17" t="str">
        <x:v>东莞虚拟回收/检测中心</x:v>
      </x:c>
      <x:c r="J414" s="24" t="n">
        <x:v>113.7452332</x:v>
      </x:c>
      <x:c r="K414" s="24" t="n">
        <x:v>23.0183568</x:v>
      </x:c>
      <x:c r="L414" s="21" t="n">
        <x:f>6371*ACOS(MIN(1,COS(F414*PI()/180)*COS(K414*PI()/180)*COS((J414-E414)*PI()/180)+SIN(F414*PI()/180)*SIN(K414*PI()/180)))</x:f>
        <x:v>274.4024735528984</x:v>
      </x:c>
      <x:c r="M414" s="21" t="n">
        <x:f>L414*'情景参数模板'!$D$31</x:f>
        <x:v>329.2829682634781</x:v>
      </x:c>
      <x:c r="N414" s="21" t="n">
        <x:f>IF(C414="source",'情景参数模板'!$D$12,IF(H414="echelon",'情景参数模板'!$D$13,'情景参数模板'!$D$14))</x:f>
        <x:v>0.49</x:v>
      </x:c>
      <x:c r="O414" s="21" t="n">
        <x:f>IF(C414="source",'情景参数模板'!$D$18,IF(H414="echelon",'情景参数模板'!$D$19,'情景参数模板'!$D$20))</x:f>
        <x:v>150</x:v>
      </x:c>
      <x:c r="P414" s="17" t="n">
        <x:f>IF(M414&lt;=O414,1,0)</x:f>
        <x:v>0</x:v>
      </x:c>
      <x:c r="Q414" s="17" t="str">
        <x:v>D-road proxy; B-coordinates</x:v>
      </x:c>
    </x:row>
    <x:row r="415">
      <x:c r="A415" s="17" t="str">
        <x:v>A0411</x:v>
      </x:c>
      <x:c r="B415" s="17" t="str">
        <x:v>GD20</x:v>
      </x:c>
      <x:c r="C415" s="17" t="str">
        <x:v>source</x:v>
      </x:c>
      <x:c r="D415" s="17" t="str">
        <x:v>揭阳</x:v>
      </x:c>
      <x:c r="E415" s="24" t="n">
        <x:v>116.3680354</x:v>
      </x:c>
      <x:c r="F415" s="24" t="n">
        <x:v>23.553156</x:v>
      </x:c>
      <x:c r="G415" s="17" t="str">
        <x:v>C12</x:v>
      </x:c>
      <x:c r="H415" s="17" t="str">
        <x:v>collection</x:v>
      </x:c>
      <x:c r="I415" s="17" t="str">
        <x:v>中山虚拟回收/检测中心</x:v>
      </x:c>
      <x:c r="J415" s="24" t="n">
        <x:v>113.3872302</x:v>
      </x:c>
      <x:c r="K415" s="24" t="n">
        <x:v>22.5197073</x:v>
      </x:c>
      <x:c r="L415" s="21" t="n">
        <x:f>6371*ACOS(MIN(1,COS(F415*PI()/180)*COS(K415*PI()/180)*COS((J415-E415)*PI()/180)+SIN(F415*PI()/180)*SIN(K415*PI()/180)))</x:f>
        <x:v>325.937045938016</x:v>
      </x:c>
      <x:c r="M415" s="21" t="n">
        <x:f>L415*'情景参数模板'!$D$31</x:f>
        <x:v>391.1244551256192</x:v>
      </x:c>
      <x:c r="N415" s="21" t="n">
        <x:f>IF(C415="source",'情景参数模板'!$D$12,IF(H415="echelon",'情景参数模板'!$D$13,'情景参数模板'!$D$14))</x:f>
        <x:v>0.49</x:v>
      </x:c>
      <x:c r="O415" s="21" t="n">
        <x:f>IF(C415="source",'情景参数模板'!$D$18,IF(H415="echelon",'情景参数模板'!$D$19,'情景参数模板'!$D$20))</x:f>
        <x:v>150</x:v>
      </x:c>
      <x:c r="P415" s="17" t="n">
        <x:f>IF(M415&lt;=O415,1,0)</x:f>
        <x:v>0</x:v>
      </x:c>
      <x:c r="Q415" s="17" t="str">
        <x:v>D-road proxy; B-coordinates</x:v>
      </x:c>
    </x:row>
    <x:row r="416">
      <x:c r="A416" s="17" t="str">
        <x:v>A0412</x:v>
      </x:c>
      <x:c r="B416" s="17" t="str">
        <x:v>GD20</x:v>
      </x:c>
      <x:c r="C416" s="17" t="str">
        <x:v>source</x:v>
      </x:c>
      <x:c r="D416" s="17" t="str">
        <x:v>揭阳</x:v>
      </x:c>
      <x:c r="E416" s="24" t="n">
        <x:v>116.3680354</x:v>
      </x:c>
      <x:c r="F416" s="24" t="n">
        <x:v>23.553156</x:v>
      </x:c>
      <x:c r="G416" s="17" t="str">
        <x:v>C13</x:v>
      </x:c>
      <x:c r="H416" s="17" t="str">
        <x:v>collection</x:v>
      </x:c>
      <x:c r="I416" s="17" t="str">
        <x:v>江门虚拟回收/检测中心</x:v>
      </x:c>
      <x:c r="J416" s="24" t="n">
        <x:v>113.0761073</x:v>
      </x:c>
      <x:c r="K416" s="24" t="n">
        <x:v>22.5816619</x:v>
      </x:c>
      <x:c r="L416" s="21" t="n">
        <x:f>6371*ACOS(MIN(1,COS(F416*PI()/180)*COS(K416*PI()/180)*COS((J416-E416)*PI()/180)+SIN(F416*PI()/180)*SIN(K416*PI()/180)))</x:f>
        <x:v>353.6666681995238</x:v>
      </x:c>
      <x:c r="M416" s="21" t="n">
        <x:f>L416*'情景参数模板'!$D$31</x:f>
        <x:v>424.40000183942857</x:v>
      </x:c>
      <x:c r="N416" s="21" t="n">
        <x:f>IF(C416="source",'情景参数模板'!$D$12,IF(H416="echelon",'情景参数模板'!$D$13,'情景参数模板'!$D$14))</x:f>
        <x:v>0.49</x:v>
      </x:c>
      <x:c r="O416" s="21" t="n">
        <x:f>IF(C416="source",'情景参数模板'!$D$18,IF(H416="echelon",'情景参数模板'!$D$19,'情景参数模板'!$D$20))</x:f>
        <x:v>150</x:v>
      </x:c>
      <x:c r="P416" s="17" t="n">
        <x:f>IF(M416&lt;=O416,1,0)</x:f>
        <x:v>0</x:v>
      </x:c>
      <x:c r="Q416" s="17" t="str">
        <x:v>D-road proxy; B-coordinates</x:v>
      </x:c>
    </x:row>
    <x:row r="417">
      <x:c r="A417" s="17" t="str">
        <x:v>A0413</x:v>
      </x:c>
      <x:c r="B417" s="17" t="str">
        <x:v>GD20</x:v>
      </x:c>
      <x:c r="C417" s="17" t="str">
        <x:v>source</x:v>
      </x:c>
      <x:c r="D417" s="17" t="str">
        <x:v>揭阳</x:v>
      </x:c>
      <x:c r="E417" s="24" t="n">
        <x:v>116.3680354</x:v>
      </x:c>
      <x:c r="F417" s="24" t="n">
        <x:v>23.553156</x:v>
      </x:c>
      <x:c r="G417" s="17" t="str">
        <x:v>C14</x:v>
      </x:c>
      <x:c r="H417" s="17" t="str">
        <x:v>collection</x:v>
      </x:c>
      <x:c r="I417" s="17" t="str">
        <x:v>阳江虚拟回收/检测中心</x:v>
      </x:c>
      <x:c r="J417" s="24" t="n">
        <x:v>111.7831393</x:v>
      </x:c>
      <x:c r="K417" s="24" t="n">
        <x:v>22.0958223</x:v>
      </x:c>
      <x:c r="L417" s="21" t="n">
        <x:f>6371*ACOS(MIN(1,COS(F417*PI()/180)*COS(K417*PI()/180)*COS((J417-E417)*PI()/180)+SIN(F417*PI()/180)*SIN(K417*PI()/180)))</x:f>
        <x:v>497.0181002668554</x:v>
      </x:c>
      <x:c r="M417" s="21" t="n">
        <x:f>L417*'情景参数模板'!$D$31</x:f>
        <x:v>596.4217203202264</x:v>
      </x:c>
      <x:c r="N417" s="21" t="n">
        <x:f>IF(C417="source",'情景参数模板'!$D$12,IF(H417="echelon",'情景参数模板'!$D$13,'情景参数模板'!$D$14))</x:f>
        <x:v>0.49</x:v>
      </x:c>
      <x:c r="O417" s="21" t="n">
        <x:f>IF(C417="source",'情景参数模板'!$D$18,IF(H417="echelon",'情景参数模板'!$D$19,'情景参数模板'!$D$20))</x:f>
        <x:v>150</x:v>
      </x:c>
      <x:c r="P417" s="17" t="n">
        <x:f>IF(M417&lt;=O417,1,0)</x:f>
        <x:v>0</x:v>
      </x:c>
      <x:c r="Q417" s="17" t="str">
        <x:v>D-road proxy; B-coordinates</x:v>
      </x:c>
    </x:row>
    <x:row r="418">
      <x:c r="A418" s="17" t="str">
        <x:v>A0414</x:v>
      </x:c>
      <x:c r="B418" s="17" t="str">
        <x:v>GD20</x:v>
      </x:c>
      <x:c r="C418" s="17" t="str">
        <x:v>source</x:v>
      </x:c>
      <x:c r="D418" s="17" t="str">
        <x:v>揭阳</x:v>
      </x:c>
      <x:c r="E418" s="24" t="n">
        <x:v>116.3680354</x:v>
      </x:c>
      <x:c r="F418" s="24" t="n">
        <x:v>23.553156</x:v>
      </x:c>
      <x:c r="G418" s="17" t="str">
        <x:v>C15</x:v>
      </x:c>
      <x:c r="H418" s="17" t="str">
        <x:v>collection</x:v>
      </x:c>
      <x:c r="I418" s="17" t="str">
        <x:v>湛江虚拟回收/检测中心</x:v>
      </x:c>
      <x:c r="J418" s="24" t="n">
        <x:v>110.3548318</x:v>
      </x:c>
      <x:c r="K418" s="24" t="n">
        <x:v>21.2737079</x:v>
      </x:c>
      <x:c r="L418" s="21" t="n">
        <x:f>6371*ACOS(MIN(1,COS(F418*PI()/180)*COS(K418*PI()/180)*COS((J418-E418)*PI()/180)+SIN(F418*PI()/180)*SIN(K418*PI()/180)))</x:f>
        <x:v>667.9796927972593</x:v>
      </x:c>
      <x:c r="M418" s="21" t="n">
        <x:f>L418*'情景参数模板'!$D$31</x:f>
        <x:v>801.5756313567111</x:v>
      </x:c>
      <x:c r="N418" s="21" t="n">
        <x:f>IF(C418="source",'情景参数模板'!$D$12,IF(H418="echelon",'情景参数模板'!$D$13,'情景参数模板'!$D$14))</x:f>
        <x:v>0.49</x:v>
      </x:c>
      <x:c r="O418" s="21" t="n">
        <x:f>IF(C418="source",'情景参数模板'!$D$18,IF(H418="echelon",'情景参数模板'!$D$19,'情景参数模板'!$D$20))</x:f>
        <x:v>150</x:v>
      </x:c>
      <x:c r="P418" s="17" t="n">
        <x:f>IF(M418&lt;=O418,1,0)</x:f>
        <x:v>0</x:v>
      </x:c>
      <x:c r="Q418" s="17" t="str">
        <x:v>D-road proxy; B-coordinates</x:v>
      </x:c>
    </x:row>
    <x:row r="419">
      <x:c r="A419" s="17" t="str">
        <x:v>A0415</x:v>
      </x:c>
      <x:c r="B419" s="17" t="str">
        <x:v>GD20</x:v>
      </x:c>
      <x:c r="C419" s="17" t="str">
        <x:v>source</x:v>
      </x:c>
      <x:c r="D419" s="17" t="str">
        <x:v>揭阳</x:v>
      </x:c>
      <x:c r="E419" s="24" t="n">
        <x:v>116.3680354</x:v>
      </x:c>
      <x:c r="F419" s="24" t="n">
        <x:v>23.553156</x:v>
      </x:c>
      <x:c r="G419" s="17" t="str">
        <x:v>C16</x:v>
      </x:c>
      <x:c r="H419" s="17" t="str">
        <x:v>collection</x:v>
      </x:c>
      <x:c r="I419" s="17" t="str">
        <x:v>茂名虚拟回收/检测中心</x:v>
      </x:c>
      <x:c r="J419" s="24" t="n">
        <x:v>110.9209511</x:v>
      </x:c>
      <x:c r="K419" s="24" t="n">
        <x:v>21.6656961</x:v>
      </x:c>
      <x:c r="L419" s="21" t="n">
        <x:f>6371*ACOS(MIN(1,COS(F419*PI()/180)*COS(K419*PI()/180)*COS((J419-E419)*PI()/180)+SIN(F419*PI()/180)*SIN(K419*PI()/180)))</x:f>
        <x:v>597.1655712096995</x:v>
      </x:c>
      <x:c r="M419" s="21" t="n">
        <x:f>L419*'情景参数模板'!$D$31</x:f>
        <x:v>716.5986854516393</x:v>
      </x:c>
      <x:c r="N419" s="21" t="n">
        <x:f>IF(C419="source",'情景参数模板'!$D$12,IF(H419="echelon",'情景参数模板'!$D$13,'情景参数模板'!$D$14))</x:f>
        <x:v>0.49</x:v>
      </x:c>
      <x:c r="O419" s="21" t="n">
        <x:f>IF(C419="source",'情景参数模板'!$D$18,IF(H419="echelon",'情景参数模板'!$D$19,'情景参数模板'!$D$20))</x:f>
        <x:v>150</x:v>
      </x:c>
      <x:c r="P419" s="17" t="n">
        <x:f>IF(M419&lt;=O419,1,0)</x:f>
        <x:v>0</x:v>
      </x:c>
      <x:c r="Q419" s="17" t="str">
        <x:v>D-road proxy; B-coordinates</x:v>
      </x:c>
    </x:row>
    <x:row r="420">
      <x:c r="A420" s="17" t="str">
        <x:v>A0416</x:v>
      </x:c>
      <x:c r="B420" s="17" t="str">
        <x:v>GD20</x:v>
      </x:c>
      <x:c r="C420" s="17" t="str">
        <x:v>source</x:v>
      </x:c>
      <x:c r="D420" s="17" t="str">
        <x:v>揭阳</x:v>
      </x:c>
      <x:c r="E420" s="24" t="n">
        <x:v>116.3680354</x:v>
      </x:c>
      <x:c r="F420" s="24" t="n">
        <x:v>23.553156</x:v>
      </x:c>
      <x:c r="G420" s="17" t="str">
        <x:v>C17</x:v>
      </x:c>
      <x:c r="H420" s="17" t="str">
        <x:v>collection</x:v>
      </x:c>
      <x:c r="I420" s="17" t="str">
        <x:v>肇庆虚拟回收/检测中心</x:v>
      </x:c>
      <x:c r="J420" s="24" t="n">
        <x:v>112.4603629</x:v>
      </x:c>
      <x:c r="K420" s="24" t="n">
        <x:v>23.0501661</x:v>
      </x:c>
      <x:c r="L420" s="21" t="n">
        <x:f>6371*ACOS(MIN(1,COS(F420*PI()/180)*COS(K420*PI()/180)*COS((J420-E420)*PI()/180)+SIN(F420*PI()/180)*SIN(K420*PI()/180)))</x:f>
        <x:v>402.95849892739517</x:v>
      </x:c>
      <x:c r="M420" s="21" t="n">
        <x:f>L420*'情景参数模板'!$D$31</x:f>
        <x:v>483.5501987128742</x:v>
      </x:c>
      <x:c r="N420" s="21" t="n">
        <x:f>IF(C420="source",'情景参数模板'!$D$12,IF(H420="echelon",'情景参数模板'!$D$13,'情景参数模板'!$D$14))</x:f>
        <x:v>0.49</x:v>
      </x:c>
      <x:c r="O420" s="21" t="n">
        <x:f>IF(C420="source",'情景参数模板'!$D$18,IF(H420="echelon",'情景参数模板'!$D$19,'情景参数模板'!$D$20))</x:f>
        <x:v>150</x:v>
      </x:c>
      <x:c r="P420" s="17" t="n">
        <x:f>IF(M420&lt;=O420,1,0)</x:f>
        <x:v>0</x:v>
      </x:c>
      <x:c r="Q420" s="17" t="str">
        <x:v>D-road proxy; B-coordinates</x:v>
      </x:c>
    </x:row>
    <x:row r="421">
      <x:c r="A421" s="17" t="str">
        <x:v>A0417</x:v>
      </x:c>
      <x:c r="B421" s="17" t="str">
        <x:v>GD20</x:v>
      </x:c>
      <x:c r="C421" s="17" t="str">
        <x:v>source</x:v>
      </x:c>
      <x:c r="D421" s="17" t="str">
        <x:v>揭阳</x:v>
      </x:c>
      <x:c r="E421" s="24" t="n">
        <x:v>116.3680354</x:v>
      </x:c>
      <x:c r="F421" s="24" t="n">
        <x:v>23.553156</x:v>
      </x:c>
      <x:c r="G421" s="17" t="str">
        <x:v>C18</x:v>
      </x:c>
      <x:c r="H421" s="17" t="str">
        <x:v>collection</x:v>
      </x:c>
      <x:c r="I421" s="17" t="str">
        <x:v>清远虚拟回收/检测中心</x:v>
      </x:c>
      <x:c r="J421" s="24" t="n">
        <x:v>113.0505994</x:v>
      </x:c>
      <x:c r="K421" s="24" t="n">
        <x:v>23.6832984</x:v>
      </x:c>
      <x:c r="L421" s="21" t="n">
        <x:f>6371*ACOS(MIN(1,COS(F421*PI()/180)*COS(K421*PI()/180)*COS((J421-E421)*PI()/180)+SIN(F421*PI()/180)*SIN(K421*PI()/180)))</x:f>
        <x:v>338.28473835116233</x:v>
      </x:c>
      <x:c r="M421" s="21" t="n">
        <x:f>L421*'情景参数模板'!$D$31</x:f>
        <x:v>405.9416860213948</x:v>
      </x:c>
      <x:c r="N421" s="21" t="n">
        <x:f>IF(C421="source",'情景参数模板'!$D$12,IF(H421="echelon",'情景参数模板'!$D$13,'情景参数模板'!$D$14))</x:f>
        <x:v>0.49</x:v>
      </x:c>
      <x:c r="O421" s="21" t="n">
        <x:f>IF(C421="source",'情景参数模板'!$D$18,IF(H421="echelon",'情景参数模板'!$D$19,'情景参数模板'!$D$20))</x:f>
        <x:v>150</x:v>
      </x:c>
      <x:c r="P421" s="17" t="n">
        <x:f>IF(M421&lt;=O421,1,0)</x:f>
        <x:v>0</x:v>
      </x:c>
      <x:c r="Q421" s="17" t="str">
        <x:v>D-road proxy; B-coordinates</x:v>
      </x:c>
    </x:row>
    <x:row r="422">
      <x:c r="A422" s="17" t="str">
        <x:v>A0418</x:v>
      </x:c>
      <x:c r="B422" s="17" t="str">
        <x:v>GD20</x:v>
      </x:c>
      <x:c r="C422" s="17" t="str">
        <x:v>source</x:v>
      </x:c>
      <x:c r="D422" s="17" t="str">
        <x:v>揭阳</x:v>
      </x:c>
      <x:c r="E422" s="24" t="n">
        <x:v>116.3680354</x:v>
      </x:c>
      <x:c r="F422" s="24" t="n">
        <x:v>23.553156</x:v>
      </x:c>
      <x:c r="G422" s="17" t="str">
        <x:v>C19</x:v>
      </x:c>
      <x:c r="H422" s="17" t="str">
        <x:v>collection</x:v>
      </x:c>
      <x:c r="I422" s="17" t="str">
        <x:v>潮州虚拟回收/检测中心</x:v>
      </x:c>
      <x:c r="J422" s="24" t="n">
        <x:v>116.6204223</x:v>
      </x:c>
      <x:c r="K422" s="24" t="n">
        <x:v>23.656593</x:v>
      </x:c>
      <x:c r="L422" s="21" t="n">
        <x:f>6371*ACOS(MIN(1,COS(F422*PI()/180)*COS(K422*PI()/180)*COS((J422-E422)*PI()/180)+SIN(F422*PI()/180)*SIN(K422*PI()/180)))</x:f>
        <x:v>28.170898173495665</x:v>
      </x:c>
      <x:c r="M422" s="21" t="n">
        <x:f>L422*'情景参数模板'!$D$31</x:f>
        <x:v>33.805077808194795</x:v>
      </x:c>
      <x:c r="N422" s="21" t="n">
        <x:f>IF(C422="source",'情景参数模板'!$D$12,IF(H422="echelon",'情景参数模板'!$D$13,'情景参数模板'!$D$14))</x:f>
        <x:v>0.49</x:v>
      </x:c>
      <x:c r="O422" s="21" t="n">
        <x:f>IF(C422="source",'情景参数模板'!$D$18,IF(H422="echelon",'情景参数模板'!$D$19,'情景参数模板'!$D$20))</x:f>
        <x:v>150</x:v>
      </x:c>
      <x:c r="P422" s="17" t="n">
        <x:f>IF(M422&lt;=O422,1,0)</x:f>
        <x:v>1</x:v>
      </x:c>
      <x:c r="Q422" s="17" t="str">
        <x:v>D-road proxy; B-coordinates</x:v>
      </x:c>
    </x:row>
    <x:row r="423">
      <x:c r="A423" s="17" t="str">
        <x:v>A0419</x:v>
      </x:c>
      <x:c r="B423" s="17" t="str">
        <x:v>GD20</x:v>
      </x:c>
      <x:c r="C423" s="17" t="str">
        <x:v>source</x:v>
      </x:c>
      <x:c r="D423" s="17" t="str">
        <x:v>揭阳</x:v>
      </x:c>
      <x:c r="E423" s="24" t="n">
        <x:v>116.3680354</x:v>
      </x:c>
      <x:c r="F423" s="24" t="n">
        <x:v>23.553156</x:v>
      </x:c>
      <x:c r="G423" s="17" t="str">
        <x:v>C20</x:v>
      </x:c>
      <x:c r="H423" s="17" t="str">
        <x:v>collection</x:v>
      </x:c>
      <x:c r="I423" s="17" t="str">
        <x:v>揭阳虚拟回收/检测中心</x:v>
      </x:c>
      <x:c r="J423" s="24" t="n">
        <x:v>116.3680354</x:v>
      </x:c>
      <x:c r="K423" s="24" t="n">
        <x:v>23.553156</x:v>
      </x:c>
      <x:c r="L423" s="21" t="n">
        <x:f>6371*ACOS(MIN(1,COS(F423*PI()/180)*COS(K423*PI()/180)*COS((J423-E423)*PI()/180)+SIN(F423*PI()/180)*SIN(K423*PI()/180)))</x:f>
        <x:v>0</x:v>
      </x:c>
      <x:c r="M423" s="21" t="n">
        <x:f>L423*'情景参数模板'!$D$31</x:f>
        <x:v>0</x:v>
      </x:c>
      <x:c r="N423" s="21" t="n">
        <x:f>IF(C423="source",'情景参数模板'!$D$12,IF(H423="echelon",'情景参数模板'!$D$13,'情景参数模板'!$D$14))</x:f>
        <x:v>0.49</x:v>
      </x:c>
      <x:c r="O423" s="21" t="n">
        <x:f>IF(C423="source",'情景参数模板'!$D$18,IF(H423="echelon",'情景参数模板'!$D$19,'情景参数模板'!$D$20))</x:f>
        <x:v>150</x:v>
      </x:c>
      <x:c r="P423" s="17" t="n">
        <x:f>IF(M423&lt;=O423,1,0)</x:f>
        <x:v>1</x:v>
      </x:c>
      <x:c r="Q423" s="17" t="str">
        <x:v>D-road proxy; B-coordinates</x:v>
      </x:c>
    </x:row>
    <x:row r="424">
      <x:c r="A424" s="17" t="str">
        <x:v>A0420</x:v>
      </x:c>
      <x:c r="B424" s="17" t="str">
        <x:v>GD20</x:v>
      </x:c>
      <x:c r="C424" s="17" t="str">
        <x:v>source</x:v>
      </x:c>
      <x:c r="D424" s="17" t="str">
        <x:v>揭阳</x:v>
      </x:c>
      <x:c r="E424" s="24" t="n">
        <x:v>116.3680354</x:v>
      </x:c>
      <x:c r="F424" s="24" t="n">
        <x:v>23.553156</x:v>
      </x:c>
      <x:c r="G424" s="17" t="str">
        <x:v>C21</x:v>
      </x:c>
      <x:c r="H424" s="17" t="str">
        <x:v>collection</x:v>
      </x:c>
      <x:c r="I424" s="17" t="str">
        <x:v>云浮虚拟回收/检测中心</x:v>
      </x:c>
      <x:c r="J424" s="24" t="n">
        <x:v>111.8078586</x:v>
      </x:c>
      <x:c r="K424" s="24" t="n">
        <x:v>22.8546663</x:v>
      </x:c>
      <x:c r="L424" s="21" t="n">
        <x:f>6371*ACOS(MIN(1,COS(F424*PI()/180)*COS(K424*PI()/180)*COS((J424-E424)*PI()/180)+SIN(F424*PI()/180)*SIN(K424*PI()/180)))</x:f>
        <x:v>472.4552002621068</x:v>
      </x:c>
      <x:c r="M424" s="21" t="n">
        <x:f>L424*'情景参数模板'!$D$31</x:f>
        <x:v>566.9462403145282</x:v>
      </x:c>
      <x:c r="N424" s="21" t="n">
        <x:f>IF(C424="source",'情景参数模板'!$D$12,IF(H424="echelon",'情景参数模板'!$D$13,'情景参数模板'!$D$14))</x:f>
        <x:v>0.49</x:v>
      </x:c>
      <x:c r="O424" s="21" t="n">
        <x:f>IF(C424="source",'情景参数模板'!$D$18,IF(H424="echelon",'情景参数模板'!$D$19,'情景参数模板'!$D$20))</x:f>
        <x:v>150</x:v>
      </x:c>
      <x:c r="P424" s="17" t="n">
        <x:f>IF(M424&lt;=O424,1,0)</x:f>
        <x:v>0</x:v>
      </x:c>
      <x:c r="Q424" s="17" t="str">
        <x:v>D-road proxy; B-coordinates</x:v>
      </x:c>
    </x:row>
    <x:row r="425">
      <x:c r="A425" s="17" t="str">
        <x:v>A0421</x:v>
      </x:c>
      <x:c r="B425" s="17" t="str">
        <x:v>GD21</x:v>
      </x:c>
      <x:c r="C425" s="17" t="str">
        <x:v>source</x:v>
      </x:c>
      <x:c r="D425" s="17" t="str">
        <x:v>云浮</x:v>
      </x:c>
      <x:c r="E425" s="24" t="n">
        <x:v>111.8078586</x:v>
      </x:c>
      <x:c r="F425" s="24" t="n">
        <x:v>22.8546663</x:v>
      </x:c>
      <x:c r="G425" s="17" t="str">
        <x:v>C01</x:v>
      </x:c>
      <x:c r="H425" s="17" t="str">
        <x:v>collection</x:v>
      </x:c>
      <x:c r="I425" s="17" t="str">
        <x:v>广州虚拟回收/检测中心</x:v>
      </x:c>
      <x:c r="J425" s="24" t="n">
        <x:v>113.2589581</x:v>
      </x:c>
      <x:c r="K425" s="24" t="n">
        <x:v>23.1288429</x:v>
      </x:c>
      <x:c r="L425" s="21" t="n">
        <x:f>6371*ACOS(MIN(1,COS(F425*PI()/180)*COS(K425*PI()/180)*COS((J425-E425)*PI()/180)+SIN(F425*PI()/180)*SIN(K425*PI()/180)))</x:f>
        <x:v>151.63267515894688</x:v>
      </x:c>
      <x:c r="M425" s="21" t="n">
        <x:f>L425*'情景参数模板'!$D$31</x:f>
        <x:v>181.95921019073626</x:v>
      </x:c>
      <x:c r="N425" s="21" t="n">
        <x:f>IF(C425="source",'情景参数模板'!$D$12,IF(H425="echelon",'情景参数模板'!$D$13,'情景参数模板'!$D$14))</x:f>
        <x:v>0.49</x:v>
      </x:c>
      <x:c r="O425" s="21" t="n">
        <x:f>IF(C425="source",'情景参数模板'!$D$18,IF(H425="echelon",'情景参数模板'!$D$19,'情景参数模板'!$D$20))</x:f>
        <x:v>150</x:v>
      </x:c>
      <x:c r="P425" s="17" t="n">
        <x:f>IF(M425&lt;=O425,1,0)</x:f>
        <x:v>0</x:v>
      </x:c>
      <x:c r="Q425" s="17" t="str">
        <x:v>D-road proxy; B-coordinates</x:v>
      </x:c>
    </x:row>
    <x:row r="426">
      <x:c r="A426" s="17" t="str">
        <x:v>A0422</x:v>
      </x:c>
      <x:c r="B426" s="17" t="str">
        <x:v>GD21</x:v>
      </x:c>
      <x:c r="C426" s="17" t="str">
        <x:v>source</x:v>
      </x:c>
      <x:c r="D426" s="17" t="str">
        <x:v>云浮</x:v>
      </x:c>
      <x:c r="E426" s="24" t="n">
        <x:v>111.8078586</x:v>
      </x:c>
      <x:c r="F426" s="24" t="n">
        <x:v>22.8546663</x:v>
      </x:c>
      <x:c r="G426" s="17" t="str">
        <x:v>C02</x:v>
      </x:c>
      <x:c r="H426" s="17" t="str">
        <x:v>collection</x:v>
      </x:c>
      <x:c r="I426" s="17" t="str">
        <x:v>深圳虚拟回收/检测中心</x:v>
      </x:c>
      <x:c r="J426" s="24" t="n">
        <x:v>114.0545429</x:v>
      </x:c>
      <x:c r="K426" s="24" t="n">
        <x:v>22.5445741</x:v>
      </x:c>
      <x:c r="L426" s="21" t="n">
        <x:f>6371*ACOS(MIN(1,COS(F426*PI()/180)*COS(K426*PI()/180)*COS((J426-E426)*PI()/180)+SIN(F426*PI()/180)*SIN(K426*PI()/180)))</x:f>
        <x:v>233.03147812497292</x:v>
      </x:c>
      <x:c r="M426" s="21" t="n">
        <x:f>L426*'情景参数模板'!$D$31</x:f>
        <x:v>279.6377737499675</x:v>
      </x:c>
      <x:c r="N426" s="21" t="n">
        <x:f>IF(C426="source",'情景参数模板'!$D$12,IF(H426="echelon",'情景参数模板'!$D$13,'情景参数模板'!$D$14))</x:f>
        <x:v>0.49</x:v>
      </x:c>
      <x:c r="O426" s="21" t="n">
        <x:f>IF(C426="source",'情景参数模板'!$D$18,IF(H426="echelon",'情景参数模板'!$D$19,'情景参数模板'!$D$20))</x:f>
        <x:v>150</x:v>
      </x:c>
      <x:c r="P426" s="17" t="n">
        <x:f>IF(M426&lt;=O426,1,0)</x:f>
        <x:v>0</x:v>
      </x:c>
      <x:c r="Q426" s="17" t="str">
        <x:v>D-road proxy; B-coordinates</x:v>
      </x:c>
    </x:row>
    <x:row r="427">
      <x:c r="A427" s="17" t="str">
        <x:v>A0423</x:v>
      </x:c>
      <x:c r="B427" s="17" t="str">
        <x:v>GD21</x:v>
      </x:c>
      <x:c r="C427" s="17" t="str">
        <x:v>source</x:v>
      </x:c>
      <x:c r="D427" s="17" t="str">
        <x:v>云浮</x:v>
      </x:c>
      <x:c r="E427" s="24" t="n">
        <x:v>111.8078586</x:v>
      </x:c>
      <x:c r="F427" s="24" t="n">
        <x:v>22.8546663</x:v>
      </x:c>
      <x:c r="G427" s="17" t="str">
        <x:v>C03</x:v>
      </x:c>
      <x:c r="H427" s="17" t="str">
        <x:v>collection</x:v>
      </x:c>
      <x:c r="I427" s="17" t="str">
        <x:v>珠海虚拟回收/检测中心</x:v>
      </x:c>
      <x:c r="J427" s="24" t="n">
        <x:v>113.5721327</x:v>
      </x:c>
      <x:c r="K427" s="24" t="n">
        <x:v>22.273734</x:v>
      </x:c>
      <x:c r="L427" s="21" t="n">
        <x:f>6371*ACOS(MIN(1,COS(F427*PI()/180)*COS(K427*PI()/180)*COS((J427-E427)*PI()/180)+SIN(F427*PI()/180)*SIN(K427*PI()/180)))</x:f>
        <x:v>192.33097216709288</x:v>
      </x:c>
      <x:c r="M427" s="21" t="n">
        <x:f>L427*'情景参数模板'!$D$31</x:f>
        <x:v>230.79716660051145</x:v>
      </x:c>
      <x:c r="N427" s="21" t="n">
        <x:f>IF(C427="source",'情景参数模板'!$D$12,IF(H427="echelon",'情景参数模板'!$D$13,'情景参数模板'!$D$14))</x:f>
        <x:v>0.49</x:v>
      </x:c>
      <x:c r="O427" s="21" t="n">
        <x:f>IF(C427="source",'情景参数模板'!$D$18,IF(H427="echelon",'情景参数模板'!$D$19,'情景参数模板'!$D$20))</x:f>
        <x:v>150</x:v>
      </x:c>
      <x:c r="P427" s="17" t="n">
        <x:f>IF(M427&lt;=O427,1,0)</x:f>
        <x:v>0</x:v>
      </x:c>
      <x:c r="Q427" s="17" t="str">
        <x:v>D-road proxy; B-coordinates</x:v>
      </x:c>
    </x:row>
    <x:row r="428">
      <x:c r="A428" s="17" t="str">
        <x:v>A0424</x:v>
      </x:c>
      <x:c r="B428" s="17" t="str">
        <x:v>GD21</x:v>
      </x:c>
      <x:c r="C428" s="17" t="str">
        <x:v>source</x:v>
      </x:c>
      <x:c r="D428" s="17" t="str">
        <x:v>云浮</x:v>
      </x:c>
      <x:c r="E428" s="24" t="n">
        <x:v>111.8078586</x:v>
      </x:c>
      <x:c r="F428" s="24" t="n">
        <x:v>22.8546663</x:v>
      </x:c>
      <x:c r="G428" s="17" t="str">
        <x:v>C04</x:v>
      </x:c>
      <x:c r="H428" s="17" t="str">
        <x:v>collection</x:v>
      </x:c>
      <x:c r="I428" s="17" t="str">
        <x:v>汕头虚拟回收/检测中心</x:v>
      </x:c>
      <x:c r="J428" s="24" t="n">
        <x:v>116.6775856</x:v>
      </x:c>
      <x:c r="K428" s="24" t="n">
        <x:v>23.3563921</x:v>
      </x:c>
      <x:c r="L428" s="21" t="n">
        <x:f>6371*ACOS(MIN(1,COS(F428*PI()/180)*COS(K428*PI()/180)*COS((J428-E428)*PI()/180)+SIN(F428*PI()/180)*SIN(K428*PI()/180)))</x:f>
        <x:v>501.14214106027384</x:v>
      </x:c>
      <x:c r="M428" s="21" t="n">
        <x:f>L428*'情景参数模板'!$D$31</x:f>
        <x:v>601.3705692723286</x:v>
      </x:c>
      <x:c r="N428" s="21" t="n">
        <x:f>IF(C428="source",'情景参数模板'!$D$12,IF(H428="echelon",'情景参数模板'!$D$13,'情景参数模板'!$D$14))</x:f>
        <x:v>0.49</x:v>
      </x:c>
      <x:c r="O428" s="21" t="n">
        <x:f>IF(C428="source",'情景参数模板'!$D$18,IF(H428="echelon",'情景参数模板'!$D$19,'情景参数模板'!$D$20))</x:f>
        <x:v>150</x:v>
      </x:c>
      <x:c r="P428" s="17" t="n">
        <x:f>IF(M428&lt;=O428,1,0)</x:f>
        <x:v>0</x:v>
      </x:c>
      <x:c r="Q428" s="17" t="str">
        <x:v>D-road proxy; B-coordinates</x:v>
      </x:c>
    </x:row>
    <x:row r="429">
      <x:c r="A429" s="17" t="str">
        <x:v>A0425</x:v>
      </x:c>
      <x:c r="B429" s="17" t="str">
        <x:v>GD21</x:v>
      </x:c>
      <x:c r="C429" s="17" t="str">
        <x:v>source</x:v>
      </x:c>
      <x:c r="D429" s="17" t="str">
        <x:v>云浮</x:v>
      </x:c>
      <x:c r="E429" s="24" t="n">
        <x:v>111.8078586</x:v>
      </x:c>
      <x:c r="F429" s="24" t="n">
        <x:v>22.8546663</x:v>
      </x:c>
      <x:c r="G429" s="17" t="str">
        <x:v>C05</x:v>
      </x:c>
      <x:c r="H429" s="17" t="str">
        <x:v>collection</x:v>
      </x:c>
      <x:c r="I429" s="17" t="str">
        <x:v>佛山虚拟回收/检测中心</x:v>
      </x:c>
      <x:c r="J429" s="24" t="n">
        <x:v>113.1159558</x:v>
      </x:c>
      <x:c r="K429" s="24" t="n">
        <x:v>23.0239788</x:v>
      </x:c>
      <x:c r="L429" s="21" t="n">
        <x:f>6371*ACOS(MIN(1,COS(F429*PI()/180)*COS(K429*PI()/180)*COS((J429-E429)*PI()/180)+SIN(F429*PI()/180)*SIN(K429*PI()/180)))</x:f>
        <x:v>135.2670709074438</x:v>
      </x:c>
      <x:c r="M429" s="21" t="n">
        <x:f>L429*'情景参数模板'!$D$31</x:f>
        <x:v>162.32048508893257</x:v>
      </x:c>
      <x:c r="N429" s="21" t="n">
        <x:f>IF(C429="source",'情景参数模板'!$D$12,IF(H429="echelon",'情景参数模板'!$D$13,'情景参数模板'!$D$14))</x:f>
        <x:v>0.49</x:v>
      </x:c>
      <x:c r="O429" s="21" t="n">
        <x:f>IF(C429="source",'情景参数模板'!$D$18,IF(H429="echelon",'情景参数模板'!$D$19,'情景参数模板'!$D$20))</x:f>
        <x:v>150</x:v>
      </x:c>
      <x:c r="P429" s="17" t="n">
        <x:f>IF(M429&lt;=O429,1,0)</x:f>
        <x:v>0</x:v>
      </x:c>
      <x:c r="Q429" s="17" t="str">
        <x:v>D-road proxy; B-coordinates</x:v>
      </x:c>
    </x:row>
    <x:row r="430">
      <x:c r="A430" s="17" t="str">
        <x:v>A0426</x:v>
      </x:c>
      <x:c r="B430" s="17" t="str">
        <x:v>GD21</x:v>
      </x:c>
      <x:c r="C430" s="17" t="str">
        <x:v>source</x:v>
      </x:c>
      <x:c r="D430" s="17" t="str">
        <x:v>云浮</x:v>
      </x:c>
      <x:c r="E430" s="24" t="n">
        <x:v>111.8078586</x:v>
      </x:c>
      <x:c r="F430" s="24" t="n">
        <x:v>22.8546663</x:v>
      </x:c>
      <x:c r="G430" s="17" t="str">
        <x:v>C06</x:v>
      </x:c>
      <x:c r="H430" s="17" t="str">
        <x:v>collection</x:v>
      </x:c>
      <x:c r="I430" s="17" t="str">
        <x:v>韶关虚拟回收/检测中心</x:v>
      </x:c>
      <x:c r="J430" s="24" t="n">
        <x:v>113.8155263</x:v>
      </x:c>
      <x:c r="K430" s="24" t="n">
        <x:v>24.8309489</x:v>
      </x:c>
      <x:c r="L430" s="21" t="n">
        <x:f>6371*ACOS(MIN(1,COS(F430*PI()/180)*COS(K430*PI()/180)*COS((J430-E430)*PI()/180)+SIN(F430*PI()/180)*SIN(K430*PI()/180)))</x:f>
        <x:v>299.9628394143898</x:v>
      </x:c>
      <x:c r="M430" s="21" t="n">
        <x:f>L430*'情景参数模板'!$D$31</x:f>
        <x:v>359.95540729726775</x:v>
      </x:c>
      <x:c r="N430" s="21" t="n">
        <x:f>IF(C430="source",'情景参数模板'!$D$12,IF(H430="echelon",'情景参数模板'!$D$13,'情景参数模板'!$D$14))</x:f>
        <x:v>0.49</x:v>
      </x:c>
      <x:c r="O430" s="21" t="n">
        <x:f>IF(C430="source",'情景参数模板'!$D$18,IF(H430="echelon",'情景参数模板'!$D$19,'情景参数模板'!$D$20))</x:f>
        <x:v>150</x:v>
      </x:c>
      <x:c r="P430" s="17" t="n">
        <x:f>IF(M430&lt;=O430,1,0)</x:f>
        <x:v>0</x:v>
      </x:c>
      <x:c r="Q430" s="17" t="str">
        <x:v>D-road proxy; B-coordinates</x:v>
      </x:c>
    </x:row>
    <x:row r="431">
      <x:c r="A431" s="17" t="str">
        <x:v>A0427</x:v>
      </x:c>
      <x:c r="B431" s="17" t="str">
        <x:v>GD21</x:v>
      </x:c>
      <x:c r="C431" s="17" t="str">
        <x:v>source</x:v>
      </x:c>
      <x:c r="D431" s="17" t="str">
        <x:v>云浮</x:v>
      </x:c>
      <x:c r="E431" s="24" t="n">
        <x:v>111.8078586</x:v>
      </x:c>
      <x:c r="F431" s="24" t="n">
        <x:v>22.8546663</x:v>
      </x:c>
      <x:c r="G431" s="17" t="str">
        <x:v>C07</x:v>
      </x:c>
      <x:c r="H431" s="17" t="str">
        <x:v>collection</x:v>
      </x:c>
      <x:c r="I431" s="17" t="str">
        <x:v>河源虚拟回收/检测中心</x:v>
      </x:c>
      <x:c r="J431" s="24" t="n">
        <x:v>115.0577538</x:v>
      </x:c>
      <x:c r="K431" s="24" t="n">
        <x:v>24.1014769</x:v>
      </x:c>
      <x:c r="L431" s="21" t="n">
        <x:f>6371*ACOS(MIN(1,COS(F431*PI()/180)*COS(K431*PI()/180)*COS((J431-E431)*PI()/180)+SIN(F431*PI()/180)*SIN(K431*PI()/180)))</x:f>
        <x:v>359.2653796423735</x:v>
      </x:c>
      <x:c r="M431" s="21" t="n">
        <x:f>L431*'情景参数模板'!$D$31</x:f>
        <x:v>431.1184555708482</x:v>
      </x:c>
      <x:c r="N431" s="21" t="n">
        <x:f>IF(C431="source",'情景参数模板'!$D$12,IF(H431="echelon",'情景参数模板'!$D$13,'情景参数模板'!$D$14))</x:f>
        <x:v>0.49</x:v>
      </x:c>
      <x:c r="O431" s="21" t="n">
        <x:f>IF(C431="source",'情景参数模板'!$D$18,IF(H431="echelon",'情景参数模板'!$D$19,'情景参数模板'!$D$20))</x:f>
        <x:v>150</x:v>
      </x:c>
      <x:c r="P431" s="17" t="n">
        <x:f>IF(M431&lt;=O431,1,0)</x:f>
        <x:v>0</x:v>
      </x:c>
      <x:c r="Q431" s="17" t="str">
        <x:v>D-road proxy; B-coordinates</x:v>
      </x:c>
    </x:row>
    <x:row r="432">
      <x:c r="A432" s="17" t="str">
        <x:v>A0428</x:v>
      </x:c>
      <x:c r="B432" s="17" t="str">
        <x:v>GD21</x:v>
      </x:c>
      <x:c r="C432" s="17" t="str">
        <x:v>source</x:v>
      </x:c>
      <x:c r="D432" s="17" t="str">
        <x:v>云浮</x:v>
      </x:c>
      <x:c r="E432" s="24" t="n">
        <x:v>111.8078586</x:v>
      </x:c>
      <x:c r="F432" s="24" t="n">
        <x:v>22.8546663</x:v>
      </x:c>
      <x:c r="G432" s="17" t="str">
        <x:v>C08</x:v>
      </x:c>
      <x:c r="H432" s="17" t="str">
        <x:v>collection</x:v>
      </x:c>
      <x:c r="I432" s="17" t="str">
        <x:v>梅州虚拟回收/检测中心</x:v>
      </x:c>
      <x:c r="J432" s="24" t="n">
        <x:v>116.1171428</x:v>
      </x:c>
      <x:c r="K432" s="24" t="n">
        <x:v>24.2918414</x:v>
      </x:c>
      <x:c r="L432" s="21" t="n">
        <x:f>6371*ACOS(MIN(1,COS(F432*PI()/180)*COS(K432*PI()/180)*COS((J432-E432)*PI()/180)+SIN(F432*PI()/180)*SIN(K432*PI()/180)))</x:f>
        <x:v>467.3220230256885</x:v>
      </x:c>
      <x:c r="M432" s="21" t="n">
        <x:f>L432*'情景参数模板'!$D$31</x:f>
        <x:v>560.7864276308262</x:v>
      </x:c>
      <x:c r="N432" s="21" t="n">
        <x:f>IF(C432="source",'情景参数模板'!$D$12,IF(H432="echelon",'情景参数模板'!$D$13,'情景参数模板'!$D$14))</x:f>
        <x:v>0.49</x:v>
      </x:c>
      <x:c r="O432" s="21" t="n">
        <x:f>IF(C432="source",'情景参数模板'!$D$18,IF(H432="echelon",'情景参数模板'!$D$19,'情景参数模板'!$D$20))</x:f>
        <x:v>150</x:v>
      </x:c>
      <x:c r="P432" s="17" t="n">
        <x:f>IF(M432&lt;=O432,1,0)</x:f>
        <x:v>0</x:v>
      </x:c>
      <x:c r="Q432" s="17" t="str">
        <x:v>D-road proxy; B-coordinates</x:v>
      </x:c>
    </x:row>
    <x:row r="433">
      <x:c r="A433" s="17" t="str">
        <x:v>A0429</x:v>
      </x:c>
      <x:c r="B433" s="17" t="str">
        <x:v>GD21</x:v>
      </x:c>
      <x:c r="C433" s="17" t="str">
        <x:v>source</x:v>
      </x:c>
      <x:c r="D433" s="17" t="str">
        <x:v>云浮</x:v>
      </x:c>
      <x:c r="E433" s="24" t="n">
        <x:v>111.8078586</x:v>
      </x:c>
      <x:c r="F433" s="24" t="n">
        <x:v>22.8546663</x:v>
      </x:c>
      <x:c r="G433" s="17" t="str">
        <x:v>C09</x:v>
      </x:c>
      <x:c r="H433" s="17" t="str">
        <x:v>collection</x:v>
      </x:c>
      <x:c r="I433" s="17" t="str">
        <x:v>惠州虚拟回收/检测中心</x:v>
      </x:c>
      <x:c r="J433" s="24" t="n">
        <x:v>114.4127007</x:v>
      </x:c>
      <x:c r="K433" s="24" t="n">
        <x:v>23.1125153</x:v>
      </x:c>
      <x:c r="L433" s="21" t="n">
        <x:f>6371*ACOS(MIN(1,COS(F433*PI()/180)*COS(K433*PI()/180)*COS((J433-E433)*PI()/180)+SIN(F433*PI()/180)*SIN(K433*PI()/180)))</x:f>
        <x:v>268.1854182947875</x:v>
      </x:c>
      <x:c r="M433" s="21" t="n">
        <x:f>L433*'情景参数模板'!$D$31</x:f>
        <x:v>321.82250195374496</x:v>
      </x:c>
      <x:c r="N433" s="21" t="n">
        <x:f>IF(C433="source",'情景参数模板'!$D$12,IF(H433="echelon",'情景参数模板'!$D$13,'情景参数模板'!$D$14))</x:f>
        <x:v>0.49</x:v>
      </x:c>
      <x:c r="O433" s="21" t="n">
        <x:f>IF(C433="source",'情景参数模板'!$D$18,IF(H433="echelon",'情景参数模板'!$D$19,'情景参数模板'!$D$20))</x:f>
        <x:v>150</x:v>
      </x:c>
      <x:c r="P433" s="17" t="n">
        <x:f>IF(M433&lt;=O433,1,0)</x:f>
        <x:v>0</x:v>
      </x:c>
      <x:c r="Q433" s="17" t="str">
        <x:v>D-road proxy; B-coordinates</x:v>
      </x:c>
    </x:row>
    <x:row r="434">
      <x:c r="A434" s="17" t="str">
        <x:v>A0430</x:v>
      </x:c>
      <x:c r="B434" s="17" t="str">
        <x:v>GD21</x:v>
      </x:c>
      <x:c r="C434" s="17" t="str">
        <x:v>source</x:v>
      </x:c>
      <x:c r="D434" s="17" t="str">
        <x:v>云浮</x:v>
      </x:c>
      <x:c r="E434" s="24" t="n">
        <x:v>111.8078586</x:v>
      </x:c>
      <x:c r="F434" s="24" t="n">
        <x:v>22.8546663</x:v>
      </x:c>
      <x:c r="G434" s="17" t="str">
        <x:v>C10</x:v>
      </x:c>
      <x:c r="H434" s="17" t="str">
        <x:v>collection</x:v>
      </x:c>
      <x:c r="I434" s="17" t="str">
        <x:v>汕尾虚拟回收/检测中心</x:v>
      </x:c>
      <x:c r="J434" s="24" t="n">
        <x:v>115.5099937</x:v>
      </x:c>
      <x:c r="K434" s="24" t="n">
        <x:v>23.0123639</x:v>
      </x:c>
      <x:c r="L434" s="21" t="n">
        <x:f>6371*ACOS(MIN(1,COS(F434*PI()/180)*COS(K434*PI()/180)*COS((J434-E434)*PI()/180)+SIN(F434*PI()/180)*SIN(K434*PI()/180)))</x:f>
        <x:v>379.5152802491003</x:v>
      </x:c>
      <x:c r="M434" s="21" t="n">
        <x:f>L434*'情景参数模板'!$D$31</x:f>
        <x:v>455.41833629892034</x:v>
      </x:c>
      <x:c r="N434" s="21" t="n">
        <x:f>IF(C434="source",'情景参数模板'!$D$12,IF(H434="echelon",'情景参数模板'!$D$13,'情景参数模板'!$D$14))</x:f>
        <x:v>0.49</x:v>
      </x:c>
      <x:c r="O434" s="21" t="n">
        <x:f>IF(C434="source",'情景参数模板'!$D$18,IF(H434="echelon",'情景参数模板'!$D$19,'情景参数模板'!$D$20))</x:f>
        <x:v>150</x:v>
      </x:c>
      <x:c r="P434" s="17" t="n">
        <x:f>IF(M434&lt;=O434,1,0)</x:f>
        <x:v>0</x:v>
      </x:c>
      <x:c r="Q434" s="17" t="str">
        <x:v>D-road proxy; B-coordinates</x:v>
      </x:c>
    </x:row>
    <x:row r="435">
      <x:c r="A435" s="17" t="str">
        <x:v>A0431</x:v>
      </x:c>
      <x:c r="B435" s="17" t="str">
        <x:v>GD21</x:v>
      </x:c>
      <x:c r="C435" s="17" t="str">
        <x:v>source</x:v>
      </x:c>
      <x:c r="D435" s="17" t="str">
        <x:v>云浮</x:v>
      </x:c>
      <x:c r="E435" s="24" t="n">
        <x:v>111.8078586</x:v>
      </x:c>
      <x:c r="F435" s="24" t="n">
        <x:v>22.8546663</x:v>
      </x:c>
      <x:c r="G435" s="17" t="str">
        <x:v>C11</x:v>
      </x:c>
      <x:c r="H435" s="17" t="str">
        <x:v>collection</x:v>
      </x:c>
      <x:c r="I435" s="17" t="str">
        <x:v>东莞虚拟回收/检测中心</x:v>
      </x:c>
      <x:c r="J435" s="24" t="n">
        <x:v>113.7452332</x:v>
      </x:c>
      <x:c r="K435" s="24" t="n">
        <x:v>23.0183568</x:v>
      </x:c>
      <x:c r="L435" s="21" t="n">
        <x:f>6371*ACOS(MIN(1,COS(F435*PI()/180)*COS(K435*PI()/180)*COS((J435-E435)*PI()/180)+SIN(F435*PI()/180)*SIN(K435*PI()/180)))</x:f>
        <x:v>199.2257001173399</x:v>
      </x:c>
      <x:c r="M435" s="21" t="n">
        <x:f>L435*'情景参数模板'!$D$31</x:f>
        <x:v>239.07084014080786</x:v>
      </x:c>
      <x:c r="N435" s="21" t="n">
        <x:f>IF(C435="source",'情景参数模板'!$D$12,IF(H435="echelon",'情景参数模板'!$D$13,'情景参数模板'!$D$14))</x:f>
        <x:v>0.49</x:v>
      </x:c>
      <x:c r="O435" s="21" t="n">
        <x:f>IF(C435="source",'情景参数模板'!$D$18,IF(H435="echelon",'情景参数模板'!$D$19,'情景参数模板'!$D$20))</x:f>
        <x:v>150</x:v>
      </x:c>
      <x:c r="P435" s="17" t="n">
        <x:f>IF(M435&lt;=O435,1,0)</x:f>
        <x:v>0</x:v>
      </x:c>
      <x:c r="Q435" s="17" t="str">
        <x:v>D-road proxy; B-coordinates</x:v>
      </x:c>
    </x:row>
    <x:row r="436">
      <x:c r="A436" s="17" t="str">
        <x:v>A0432</x:v>
      </x:c>
      <x:c r="B436" s="17" t="str">
        <x:v>GD21</x:v>
      </x:c>
      <x:c r="C436" s="17" t="str">
        <x:v>source</x:v>
      </x:c>
      <x:c r="D436" s="17" t="str">
        <x:v>云浮</x:v>
      </x:c>
      <x:c r="E436" s="24" t="n">
        <x:v>111.8078586</x:v>
      </x:c>
      <x:c r="F436" s="24" t="n">
        <x:v>22.8546663</x:v>
      </x:c>
      <x:c r="G436" s="17" t="str">
        <x:v>C12</x:v>
      </x:c>
      <x:c r="H436" s="17" t="str">
        <x:v>collection</x:v>
      </x:c>
      <x:c r="I436" s="17" t="str">
        <x:v>中山虚拟回收/检测中心</x:v>
      </x:c>
      <x:c r="J436" s="24" t="n">
        <x:v>113.3872302</x:v>
      </x:c>
      <x:c r="K436" s="24" t="n">
        <x:v>22.5197073</x:v>
      </x:c>
      <x:c r="L436" s="21" t="n">
        <x:f>6371*ACOS(MIN(1,COS(F436*PI()/180)*COS(K436*PI()/180)*COS((J436-E436)*PI()/180)+SIN(F436*PI()/180)*SIN(K436*PI()/180)))</x:f>
        <x:v>166.2541970561187</x:v>
      </x:c>
      <x:c r="M436" s="21" t="n">
        <x:f>L436*'情景参数模板'!$D$31</x:f>
        <x:v>199.50503646734242</x:v>
      </x:c>
      <x:c r="N436" s="21" t="n">
        <x:f>IF(C436="source",'情景参数模板'!$D$12,IF(H436="echelon",'情景参数模板'!$D$13,'情景参数模板'!$D$14))</x:f>
        <x:v>0.49</x:v>
      </x:c>
      <x:c r="O436" s="21" t="n">
        <x:f>IF(C436="source",'情景参数模板'!$D$18,IF(H436="echelon",'情景参数模板'!$D$19,'情景参数模板'!$D$20))</x:f>
        <x:v>150</x:v>
      </x:c>
      <x:c r="P436" s="17" t="n">
        <x:f>IF(M436&lt;=O436,1,0)</x:f>
        <x:v>0</x:v>
      </x:c>
      <x:c r="Q436" s="17" t="str">
        <x:v>D-road proxy; B-coordinates</x:v>
      </x:c>
    </x:row>
    <x:row r="437">
      <x:c r="A437" s="17" t="str">
        <x:v>A0433</x:v>
      </x:c>
      <x:c r="B437" s="17" t="str">
        <x:v>GD21</x:v>
      </x:c>
      <x:c r="C437" s="17" t="str">
        <x:v>source</x:v>
      </x:c>
      <x:c r="D437" s="17" t="str">
        <x:v>云浮</x:v>
      </x:c>
      <x:c r="E437" s="24" t="n">
        <x:v>111.8078586</x:v>
      </x:c>
      <x:c r="F437" s="24" t="n">
        <x:v>22.8546663</x:v>
      </x:c>
      <x:c r="G437" s="17" t="str">
        <x:v>C13</x:v>
      </x:c>
      <x:c r="H437" s="17" t="str">
        <x:v>collection</x:v>
      </x:c>
      <x:c r="I437" s="17" t="str">
        <x:v>江门虚拟回收/检测中心</x:v>
      </x:c>
      <x:c r="J437" s="24" t="n">
        <x:v>113.0761073</x:v>
      </x:c>
      <x:c r="K437" s="24" t="n">
        <x:v>22.5816619</x:v>
      </x:c>
      <x:c r="L437" s="21" t="n">
        <x:f>6371*ACOS(MIN(1,COS(F437*PI()/180)*COS(K437*PI()/180)*COS((J437-E437)*PI()/180)+SIN(F437*PI()/180)*SIN(K437*PI()/180)))</x:f>
        <x:v>133.57625928884747</x:v>
      </x:c>
      <x:c r="M437" s="21" t="n">
        <x:f>L437*'情景参数模板'!$D$31</x:f>
        <x:v>160.29151114661695</x:v>
      </x:c>
      <x:c r="N437" s="21" t="n">
        <x:f>IF(C437="source",'情景参数模板'!$D$12,IF(H437="echelon",'情景参数模板'!$D$13,'情景参数模板'!$D$14))</x:f>
        <x:v>0.49</x:v>
      </x:c>
      <x:c r="O437" s="21" t="n">
        <x:f>IF(C437="source",'情景参数模板'!$D$18,IF(H437="echelon",'情景参数模板'!$D$19,'情景参数模板'!$D$20))</x:f>
        <x:v>150</x:v>
      </x:c>
      <x:c r="P437" s="17" t="n">
        <x:f>IF(M437&lt;=O437,1,0)</x:f>
        <x:v>0</x:v>
      </x:c>
      <x:c r="Q437" s="17" t="str">
        <x:v>D-road proxy; B-coordinates</x:v>
      </x:c>
    </x:row>
    <x:row r="438">
      <x:c r="A438" s="17" t="str">
        <x:v>A0434</x:v>
      </x:c>
      <x:c r="B438" s="17" t="str">
        <x:v>GD21</x:v>
      </x:c>
      <x:c r="C438" s="17" t="str">
        <x:v>source</x:v>
      </x:c>
      <x:c r="D438" s="17" t="str">
        <x:v>云浮</x:v>
      </x:c>
      <x:c r="E438" s="24" t="n">
        <x:v>111.8078586</x:v>
      </x:c>
      <x:c r="F438" s="24" t="n">
        <x:v>22.8546663</x:v>
      </x:c>
      <x:c r="G438" s="17" t="str">
        <x:v>C14</x:v>
      </x:c>
      <x:c r="H438" s="17" t="str">
        <x:v>collection</x:v>
      </x:c>
      <x:c r="I438" s="17" t="str">
        <x:v>阳江虚拟回收/检测中心</x:v>
      </x:c>
      <x:c r="J438" s="24" t="n">
        <x:v>111.7831393</x:v>
      </x:c>
      <x:c r="K438" s="24" t="n">
        <x:v>22.0958223</x:v>
      </x:c>
      <x:c r="L438" s="21" t="n">
        <x:f>6371*ACOS(MIN(1,COS(F438*PI()/180)*COS(K438*PI()/180)*COS((J438-E438)*PI()/180)+SIN(F438*PI()/180)*SIN(K438*PI()/180)))</x:f>
        <x:v>84.41781959050998</x:v>
      </x:c>
      <x:c r="M438" s="21" t="n">
        <x:f>L438*'情景参数模板'!$D$31</x:f>
        <x:v>101.30138350861198</x:v>
      </x:c>
      <x:c r="N438" s="21" t="n">
        <x:f>IF(C438="source",'情景参数模板'!$D$12,IF(H438="echelon",'情景参数模板'!$D$13,'情景参数模板'!$D$14))</x:f>
        <x:v>0.49</x:v>
      </x:c>
      <x:c r="O438" s="21" t="n">
        <x:f>IF(C438="source",'情景参数模板'!$D$18,IF(H438="echelon",'情景参数模板'!$D$19,'情景参数模板'!$D$20))</x:f>
        <x:v>150</x:v>
      </x:c>
      <x:c r="P438" s="17" t="n">
        <x:f>IF(M438&lt;=O438,1,0)</x:f>
        <x:v>1</x:v>
      </x:c>
      <x:c r="Q438" s="17" t="str">
        <x:v>D-road proxy; B-coordinates</x:v>
      </x:c>
    </x:row>
    <x:row r="439">
      <x:c r="A439" s="17" t="str">
        <x:v>A0435</x:v>
      </x:c>
      <x:c r="B439" s="17" t="str">
        <x:v>GD21</x:v>
      </x:c>
      <x:c r="C439" s="17" t="str">
        <x:v>source</x:v>
      </x:c>
      <x:c r="D439" s="17" t="str">
        <x:v>云浮</x:v>
      </x:c>
      <x:c r="E439" s="24" t="n">
        <x:v>111.8078586</x:v>
      </x:c>
      <x:c r="F439" s="24" t="n">
        <x:v>22.8546663</x:v>
      </x:c>
      <x:c r="G439" s="17" t="str">
        <x:v>C15</x:v>
      </x:c>
      <x:c r="H439" s="17" t="str">
        <x:v>collection</x:v>
      </x:c>
      <x:c r="I439" s="17" t="str">
        <x:v>湛江虚拟回收/检测中心</x:v>
      </x:c>
      <x:c r="J439" s="24" t="n">
        <x:v>110.3548318</x:v>
      </x:c>
      <x:c r="K439" s="24" t="n">
        <x:v>21.2737079</x:v>
      </x:c>
      <x:c r="L439" s="21" t="n">
        <x:f>6371*ACOS(MIN(1,COS(F439*PI()/180)*COS(K439*PI()/180)*COS((J439-E439)*PI()/180)+SIN(F439*PI()/180)*SIN(K439*PI()/180)))</x:f>
        <x:v>230.91652154760476</x:v>
      </x:c>
      <x:c r="M439" s="21" t="n">
        <x:f>L439*'情景参数模板'!$D$31</x:f>
        <x:v>277.0998258571257</x:v>
      </x:c>
      <x:c r="N439" s="21" t="n">
        <x:f>IF(C439="source",'情景参数模板'!$D$12,IF(H439="echelon",'情景参数模板'!$D$13,'情景参数模板'!$D$14))</x:f>
        <x:v>0.49</x:v>
      </x:c>
      <x:c r="O439" s="21" t="n">
        <x:f>IF(C439="source",'情景参数模板'!$D$18,IF(H439="echelon",'情景参数模板'!$D$19,'情景参数模板'!$D$20))</x:f>
        <x:v>150</x:v>
      </x:c>
      <x:c r="P439" s="17" t="n">
        <x:f>IF(M439&lt;=O439,1,0)</x:f>
        <x:v>0</x:v>
      </x:c>
      <x:c r="Q439" s="17" t="str">
        <x:v>D-road proxy; B-coordinates</x:v>
      </x:c>
    </x:row>
    <x:row r="440">
      <x:c r="A440" s="17" t="str">
        <x:v>A0436</x:v>
      </x:c>
      <x:c r="B440" s="17" t="str">
        <x:v>GD21</x:v>
      </x:c>
      <x:c r="C440" s="17" t="str">
        <x:v>source</x:v>
      </x:c>
      <x:c r="D440" s="17" t="str">
        <x:v>云浮</x:v>
      </x:c>
      <x:c r="E440" s="24" t="n">
        <x:v>111.8078586</x:v>
      </x:c>
      <x:c r="F440" s="24" t="n">
        <x:v>22.8546663</x:v>
      </x:c>
      <x:c r="G440" s="17" t="str">
        <x:v>C16</x:v>
      </x:c>
      <x:c r="H440" s="17" t="str">
        <x:v>collection</x:v>
      </x:c>
      <x:c r="I440" s="17" t="str">
        <x:v>茂名虚拟回收/检测中心</x:v>
      </x:c>
      <x:c r="J440" s="24" t="n">
        <x:v>110.9209511</x:v>
      </x:c>
      <x:c r="K440" s="24" t="n">
        <x:v>21.6656961</x:v>
      </x:c>
      <x:c r="L440" s="21" t="n">
        <x:f>6371*ACOS(MIN(1,COS(F440*PI()/180)*COS(K440*PI()/180)*COS((J440-E440)*PI()/180)+SIN(F440*PI()/180)*SIN(K440*PI()/180)))</x:f>
        <x:v>160.65029167234215</x:v>
      </x:c>
      <x:c r="M440" s="21" t="n">
        <x:f>L440*'情景参数模板'!$D$31</x:f>
        <x:v>192.78035000681058</x:v>
      </x:c>
      <x:c r="N440" s="21" t="n">
        <x:f>IF(C440="source",'情景参数模板'!$D$12,IF(H440="echelon",'情景参数模板'!$D$13,'情景参数模板'!$D$14))</x:f>
        <x:v>0.49</x:v>
      </x:c>
      <x:c r="O440" s="21" t="n">
        <x:f>IF(C440="source",'情景参数模板'!$D$18,IF(H440="echelon",'情景参数模板'!$D$19,'情景参数模板'!$D$20))</x:f>
        <x:v>150</x:v>
      </x:c>
      <x:c r="P440" s="17" t="n">
        <x:f>IF(M440&lt;=O440,1,0)</x:f>
        <x:v>0</x:v>
      </x:c>
      <x:c r="Q440" s="17" t="str">
        <x:v>D-road proxy; B-coordinates</x:v>
      </x:c>
    </x:row>
    <x:row r="441">
      <x:c r="A441" s="17" t="str">
        <x:v>A0437</x:v>
      </x:c>
      <x:c r="B441" s="17" t="str">
        <x:v>GD21</x:v>
      </x:c>
      <x:c r="C441" s="17" t="str">
        <x:v>source</x:v>
      </x:c>
      <x:c r="D441" s="17" t="str">
        <x:v>云浮</x:v>
      </x:c>
      <x:c r="E441" s="24" t="n">
        <x:v>111.8078586</x:v>
      </x:c>
      <x:c r="F441" s="24" t="n">
        <x:v>22.8546663</x:v>
      </x:c>
      <x:c r="G441" s="17" t="str">
        <x:v>C17</x:v>
      </x:c>
      <x:c r="H441" s="17" t="str">
        <x:v>collection</x:v>
      </x:c>
      <x:c r="I441" s="17" t="str">
        <x:v>肇庆虚拟回收/检测中心</x:v>
      </x:c>
      <x:c r="J441" s="24" t="n">
        <x:v>112.4603629</x:v>
      </x:c>
      <x:c r="K441" s="24" t="n">
        <x:v>23.0501661</x:v>
      </x:c>
      <x:c r="L441" s="21" t="n">
        <x:f>6371*ACOS(MIN(1,COS(F441*PI()/180)*COS(K441*PI()/180)*COS((J441-E441)*PI()/180)+SIN(F441*PI()/180)*SIN(K441*PI()/180)))</x:f>
        <x:v>70.25844555620367</x:v>
      </x:c>
      <x:c r="M441" s="21" t="n">
        <x:f>L441*'情景参数模板'!$D$31</x:f>
        <x:v>84.3101346674444</x:v>
      </x:c>
      <x:c r="N441" s="21" t="n">
        <x:f>IF(C441="source",'情景参数模板'!$D$12,IF(H441="echelon",'情景参数模板'!$D$13,'情景参数模板'!$D$14))</x:f>
        <x:v>0.49</x:v>
      </x:c>
      <x:c r="O441" s="21" t="n">
        <x:f>IF(C441="source",'情景参数模板'!$D$18,IF(H441="echelon",'情景参数模板'!$D$19,'情景参数模板'!$D$20))</x:f>
        <x:v>150</x:v>
      </x:c>
      <x:c r="P441" s="17" t="n">
        <x:f>IF(M441&lt;=O441,1,0)</x:f>
        <x:v>1</x:v>
      </x:c>
      <x:c r="Q441" s="17" t="str">
        <x:v>D-road proxy; B-coordinates</x:v>
      </x:c>
    </x:row>
    <x:row r="442">
      <x:c r="A442" s="17" t="str">
        <x:v>A0438</x:v>
      </x:c>
      <x:c r="B442" s="17" t="str">
        <x:v>GD21</x:v>
      </x:c>
      <x:c r="C442" s="17" t="str">
        <x:v>source</x:v>
      </x:c>
      <x:c r="D442" s="17" t="str">
        <x:v>云浮</x:v>
      </x:c>
      <x:c r="E442" s="24" t="n">
        <x:v>111.8078586</x:v>
      </x:c>
      <x:c r="F442" s="24" t="n">
        <x:v>22.8546663</x:v>
      </x:c>
      <x:c r="G442" s="17" t="str">
        <x:v>C18</x:v>
      </x:c>
      <x:c r="H442" s="17" t="str">
        <x:v>collection</x:v>
      </x:c>
      <x:c r="I442" s="17" t="str">
        <x:v>清远虚拟回收/检测中心</x:v>
      </x:c>
      <x:c r="J442" s="24" t="n">
        <x:v>113.0505994</x:v>
      </x:c>
      <x:c r="K442" s="24" t="n">
        <x:v>23.6832984</x:v>
      </x:c>
      <x:c r="L442" s="21" t="n">
        <x:f>6371*ACOS(MIN(1,COS(F442*PI()/180)*COS(K442*PI()/180)*COS((J442-E442)*PI()/180)+SIN(F442*PI()/180)*SIN(K442*PI()/180)))</x:f>
        <x:v>156.85848449978135</x:v>
      </x:c>
      <x:c r="M442" s="21" t="n">
        <x:f>L442*'情景参数模板'!$D$31</x:f>
        <x:v>188.23018139973763</x:v>
      </x:c>
      <x:c r="N442" s="21" t="n">
        <x:f>IF(C442="source",'情景参数模板'!$D$12,IF(H442="echelon",'情景参数模板'!$D$13,'情景参数模板'!$D$14))</x:f>
        <x:v>0.49</x:v>
      </x:c>
      <x:c r="O442" s="21" t="n">
        <x:f>IF(C442="source",'情景参数模板'!$D$18,IF(H442="echelon",'情景参数模板'!$D$19,'情景参数模板'!$D$20))</x:f>
        <x:v>150</x:v>
      </x:c>
      <x:c r="P442" s="17" t="n">
        <x:f>IF(M442&lt;=O442,1,0)</x:f>
        <x:v>0</x:v>
      </x:c>
      <x:c r="Q442" s="17" t="str">
        <x:v>D-road proxy; B-coordinates</x:v>
      </x:c>
    </x:row>
    <x:row r="443">
      <x:c r="A443" s="17" t="str">
        <x:v>A0439</x:v>
      </x:c>
      <x:c r="B443" s="17" t="str">
        <x:v>GD21</x:v>
      </x:c>
      <x:c r="C443" s="17" t="str">
        <x:v>source</x:v>
      </x:c>
      <x:c r="D443" s="17" t="str">
        <x:v>云浮</x:v>
      </x:c>
      <x:c r="E443" s="24" t="n">
        <x:v>111.8078586</x:v>
      </x:c>
      <x:c r="F443" s="24" t="n">
        <x:v>22.8546663</x:v>
      </x:c>
      <x:c r="G443" s="17" t="str">
        <x:v>C19</x:v>
      </x:c>
      <x:c r="H443" s="17" t="str">
        <x:v>collection</x:v>
      </x:c>
      <x:c r="I443" s="17" t="str">
        <x:v>潮州虚拟回收/检测中心</x:v>
      </x:c>
      <x:c r="J443" s="24" t="n">
        <x:v>116.6204223</x:v>
      </x:c>
      <x:c r="K443" s="24" t="n">
        <x:v>23.656593</x:v>
      </x:c>
      <x:c r="L443" s="21" t="n">
        <x:f>6371*ACOS(MIN(1,COS(F443*PI()/180)*COS(K443*PI()/180)*COS((J443-E443)*PI()/180)+SIN(F443*PI()/180)*SIN(K443*PI()/180)))</x:f>
        <x:v>499.64697728311506</x:v>
      </x:c>
      <x:c r="M443" s="21" t="n">
        <x:f>L443*'情景参数模板'!$D$31</x:f>
        <x:v>599.5763727397381</x:v>
      </x:c>
      <x:c r="N443" s="21" t="n">
        <x:f>IF(C443="source",'情景参数模板'!$D$12,IF(H443="echelon",'情景参数模板'!$D$13,'情景参数模板'!$D$14))</x:f>
        <x:v>0.49</x:v>
      </x:c>
      <x:c r="O443" s="21" t="n">
        <x:f>IF(C443="source",'情景参数模板'!$D$18,IF(H443="echelon",'情景参数模板'!$D$19,'情景参数模板'!$D$20))</x:f>
        <x:v>150</x:v>
      </x:c>
      <x:c r="P443" s="17" t="n">
        <x:f>IF(M443&lt;=O443,1,0)</x:f>
        <x:v>0</x:v>
      </x:c>
      <x:c r="Q443" s="17" t="str">
        <x:v>D-road proxy; B-coordinates</x:v>
      </x:c>
    </x:row>
    <x:row r="444">
      <x:c r="A444" s="17" t="str">
        <x:v>A0440</x:v>
      </x:c>
      <x:c r="B444" s="17" t="str">
        <x:v>GD21</x:v>
      </x:c>
      <x:c r="C444" s="17" t="str">
        <x:v>source</x:v>
      </x:c>
      <x:c r="D444" s="17" t="str">
        <x:v>云浮</x:v>
      </x:c>
      <x:c r="E444" s="24" t="n">
        <x:v>111.8078586</x:v>
      </x:c>
      <x:c r="F444" s="24" t="n">
        <x:v>22.8546663</x:v>
      </x:c>
      <x:c r="G444" s="17" t="str">
        <x:v>C20</x:v>
      </x:c>
      <x:c r="H444" s="17" t="str">
        <x:v>collection</x:v>
      </x:c>
      <x:c r="I444" s="17" t="str">
        <x:v>揭阳虚拟回收/检测中心</x:v>
      </x:c>
      <x:c r="J444" s="24" t="n">
        <x:v>116.3680354</x:v>
      </x:c>
      <x:c r="K444" s="24" t="n">
        <x:v>23.553156</x:v>
      </x:c>
      <x:c r="L444" s="21" t="n">
        <x:f>6371*ACOS(MIN(1,COS(F444*PI()/180)*COS(K444*PI()/180)*COS((J444-E444)*PI()/180)+SIN(F444*PI()/180)*SIN(K444*PI()/180)))</x:f>
        <x:v>472.4552002621068</x:v>
      </x:c>
      <x:c r="M444" s="21" t="n">
        <x:f>L444*'情景参数模板'!$D$31</x:f>
        <x:v>566.9462403145282</x:v>
      </x:c>
      <x:c r="N444" s="21" t="n">
        <x:f>IF(C444="source",'情景参数模板'!$D$12,IF(H444="echelon",'情景参数模板'!$D$13,'情景参数模板'!$D$14))</x:f>
        <x:v>0.49</x:v>
      </x:c>
      <x:c r="O444" s="21" t="n">
        <x:f>IF(C444="source",'情景参数模板'!$D$18,IF(H444="echelon",'情景参数模板'!$D$19,'情景参数模板'!$D$20))</x:f>
        <x:v>150</x:v>
      </x:c>
      <x:c r="P444" s="17" t="n">
        <x:f>IF(M444&lt;=O444,1,0)</x:f>
        <x:v>0</x:v>
      </x:c>
      <x:c r="Q444" s="17" t="str">
        <x:v>D-road proxy; B-coordinates</x:v>
      </x:c>
    </x:row>
    <x:row r="445">
      <x:c r="A445" s="17" t="str">
        <x:v>A0441</x:v>
      </x:c>
      <x:c r="B445" s="17" t="str">
        <x:v>GD21</x:v>
      </x:c>
      <x:c r="C445" s="17" t="str">
        <x:v>source</x:v>
      </x:c>
      <x:c r="D445" s="17" t="str">
        <x:v>云浮</x:v>
      </x:c>
      <x:c r="E445" s="24" t="n">
        <x:v>111.8078586</x:v>
      </x:c>
      <x:c r="F445" s="24" t="n">
        <x:v>22.8546663</x:v>
      </x:c>
      <x:c r="G445" s="17" t="str">
        <x:v>C21</x:v>
      </x:c>
      <x:c r="H445" s="17" t="str">
        <x:v>collection</x:v>
      </x:c>
      <x:c r="I445" s="17" t="str">
        <x:v>云浮虚拟回收/检测中心</x:v>
      </x:c>
      <x:c r="J445" s="24" t="n">
        <x:v>111.8078586</x:v>
      </x:c>
      <x:c r="K445" s="24" t="n">
        <x:v>22.8546663</x:v>
      </x:c>
      <x:c r="L445" s="21" t="n">
        <x:f>6371*ACOS(MIN(1,COS(F445*PI()/180)*COS(K445*PI()/180)*COS((J445-E445)*PI()/180)+SIN(F445*PI()/180)*SIN(K445*PI()/180)))</x:f>
        <x:v>0</x:v>
      </x:c>
      <x:c r="M445" s="21" t="n">
        <x:f>L445*'情景参数模板'!$D$31</x:f>
        <x:v>0</x:v>
      </x:c>
      <x:c r="N445" s="21" t="n">
        <x:f>IF(C445="source",'情景参数模板'!$D$12,IF(H445="echelon",'情景参数模板'!$D$13,'情景参数模板'!$D$14))</x:f>
        <x:v>0.49</x:v>
      </x:c>
      <x:c r="O445" s="21" t="n">
        <x:f>IF(C445="source",'情景参数模板'!$D$18,IF(H445="echelon",'情景参数模板'!$D$19,'情景参数模板'!$D$20))</x:f>
        <x:v>150</x:v>
      </x:c>
      <x:c r="P445" s="17" t="n">
        <x:f>IF(M445&lt;=O445,1,0)</x:f>
        <x:v>1</x:v>
      </x:c>
      <x:c r="Q445" s="17" t="str">
        <x:v>D-road proxy; B-coordinates</x:v>
      </x:c>
    </x:row>
    <x:row r="446">
      <x:c r="A446" s="17" t="str">
        <x:v>A0442</x:v>
      </x:c>
      <x:c r="B446" s="17" t="str">
        <x:v>C01</x:v>
      </x:c>
      <x:c r="C446" s="17" t="str">
        <x:v>collection</x:v>
      </x:c>
      <x:c r="D446" s="17" t="str">
        <x:v>广州虚拟回收/检测中心</x:v>
      </x:c>
      <x:c r="E446" s="24" t="n">
        <x:v>113.2589581</x:v>
      </x:c>
      <x:c r="F446" s="24" t="n">
        <x:v>23.1288429</x:v>
      </x:c>
      <x:c r="G446" s="17" t="str">
        <x:v>P01</x:v>
      </x:c>
      <x:c r="H446" s="17" t="str">
        <x:v>recycling</x:v>
      </x:c>
      <x:c r="I446" s="17" t="str">
        <x:v>汕尾比亚迪废旧动力电池回收项目</x:v>
      </x:c>
      <x:c r="J446" s="24" t="n">
        <x:v>115.3492668</x:v>
      </x:c>
      <x:c r="K446" s="24" t="n">
        <x:v>22.838065</x:v>
      </x:c>
      <x:c r="L446" s="21" t="n">
        <x:f>6371*ACOS(MIN(1,COS(F446*PI()/180)*COS(K446*PI()/180)*COS((J446-E446)*PI()/180)+SIN(F446*PI()/180)*SIN(K446*PI()/180)))</x:f>
        <x:v>216.40762200440778</x:v>
      </x:c>
      <x:c r="M446" s="21" t="n">
        <x:f>L446*'情景参数模板'!$D$31</x:f>
        <x:v>259.6891464052893</x:v>
      </x:c>
      <x:c r="N446" s="21" t="n">
        <x:f>IF(C446="source",'情景参数模板'!$D$12,IF(H446="echelon",'情景参数模板'!$D$13,'情景参数模板'!$D$14))</x:f>
        <x:v>0.49</x:v>
      </x:c>
      <x:c r="O446" s="21" t="n">
        <x:f>IF(C446="source",'情景参数模板'!$D$18,IF(H446="echelon",'情景参数模板'!$D$19,'情景参数模板'!$D$20))</x:f>
        <x:v>400</x:v>
      </x:c>
      <x:c r="P446" s="17" t="n">
        <x:f>IF(M446&lt;=O446,1,0)</x:f>
        <x:v>1</x:v>
      </x:c>
      <x:c r="Q446" s="17" t="str">
        <x:v>D-road proxy; B-coordinates</x:v>
      </x:c>
    </x:row>
    <x:row r="447">
      <x:c r="A447" s="17" t="str">
        <x:v>A0443</x:v>
      </x:c>
      <x:c r="B447" s="17" t="str">
        <x:v>C01</x:v>
      </x:c>
      <x:c r="C447" s="17" t="str">
        <x:v>collection</x:v>
      </x:c>
      <x:c r="D447" s="17" t="str">
        <x:v>广州虚拟回收/检测中心</x:v>
      </x:c>
      <x:c r="E447" s="24" t="n">
        <x:v>113.2589581</x:v>
      </x:c>
      <x:c r="F447" s="24" t="n">
        <x:v>23.1288429</x:v>
      </x:c>
      <x:c r="G447" s="17" t="str">
        <x:v>P02E</x:v>
      </x:c>
      <x:c r="H447" s="17" t="str">
        <x:v>echelon</x:v>
      </x:c>
      <x:c r="I447" s="17" t="str">
        <x:v>广东光华科技股份有限公司（梯次功能）</x:v>
      </x:c>
      <x:c r="J447" s="24" t="n">
        <x:v>116.6775856</x:v>
      </x:c>
      <x:c r="K447" s="24" t="n">
        <x:v>23.3563921</x:v>
      </x:c>
      <x:c r="L447" s="21" t="n">
        <x:f>6371*ACOS(MIN(1,COS(F447*PI()/180)*COS(K447*PI()/180)*COS((J447-E447)*PI()/180)+SIN(F447*PI()/180)*SIN(K447*PI()/180)))</x:f>
        <x:v>350.1899949540084</x:v>
      </x:c>
      <x:c r="M447" s="21" t="n">
        <x:f>L447*'情景参数模板'!$D$31</x:f>
        <x:v>420.22799394481007</x:v>
      </x:c>
      <x:c r="N447" s="21" t="n">
        <x:f>IF(C447="source",'情景参数模板'!$D$12,IF(H447="echelon",'情景参数模板'!$D$13,'情景参数模板'!$D$14))</x:f>
        <x:v>0.49</x:v>
      </x:c>
      <x:c r="O447" s="21" t="n">
        <x:f>IF(C447="source",'情景参数模板'!$D$18,IF(H447="echelon",'情景参数模板'!$D$19,'情景参数模板'!$D$20))</x:f>
        <x:v>300</x:v>
      </x:c>
      <x:c r="P447" s="17" t="n">
        <x:f>IF(M447&lt;=O447,1,0)</x:f>
        <x:v>0</x:v>
      </x:c>
      <x:c r="Q447" s="17" t="str">
        <x:v>D-road proxy; B-coordinates</x:v>
      </x:c>
    </x:row>
    <x:row r="448">
      <x:c r="A448" s="17" t="str">
        <x:v>A0444</x:v>
      </x:c>
      <x:c r="B448" s="17" t="str">
        <x:v>C01</x:v>
      </x:c>
      <x:c r="C448" s="17" t="str">
        <x:v>collection</x:v>
      </x:c>
      <x:c r="D448" s="17" t="str">
        <x:v>广州虚拟回收/检测中心</x:v>
      </x:c>
      <x:c r="E448" s="24" t="n">
        <x:v>113.2589581</x:v>
      </x:c>
      <x:c r="F448" s="24" t="n">
        <x:v>23.1288429</x:v>
      </x:c>
      <x:c r="G448" s="17" t="str">
        <x:v>P02R</x:v>
      </x:c>
      <x:c r="H448" s="17" t="str">
        <x:v>recycling</x:v>
      </x:c>
      <x:c r="I448" s="17" t="str">
        <x:v>广东光华科技股份有限公司（再生功能）</x:v>
      </x:c>
      <x:c r="J448" s="24" t="n">
        <x:v>116.6775856</x:v>
      </x:c>
      <x:c r="K448" s="24" t="n">
        <x:v>23.3563921</x:v>
      </x:c>
      <x:c r="L448" s="21" t="n">
        <x:f>6371*ACOS(MIN(1,COS(F448*PI()/180)*COS(K448*PI()/180)*COS((J448-E448)*PI()/180)+SIN(F448*PI()/180)*SIN(K448*PI()/180)))</x:f>
        <x:v>350.1899949540084</x:v>
      </x:c>
      <x:c r="M448" s="21" t="n">
        <x:f>L448*'情景参数模板'!$D$31</x:f>
        <x:v>420.22799394481007</x:v>
      </x:c>
      <x:c r="N448" s="21" t="n">
        <x:f>IF(C448="source",'情景参数模板'!$D$12,IF(H448="echelon",'情景参数模板'!$D$13,'情景参数模板'!$D$14))</x:f>
        <x:v>0.49</x:v>
      </x:c>
      <x:c r="O448" s="21" t="n">
        <x:f>IF(C448="source",'情景参数模板'!$D$18,IF(H448="echelon",'情景参数模板'!$D$19,'情景参数模板'!$D$20))</x:f>
        <x:v>400</x:v>
      </x:c>
      <x:c r="P448" s="17" t="n">
        <x:f>IF(M448&lt;=O448,1,0)</x:f>
        <x:v>0</x:v>
      </x:c>
      <x:c r="Q448" s="17" t="str">
        <x:v>D-road proxy; B-coordinates</x:v>
      </x:c>
    </x:row>
    <x:row r="449">
      <x:c r="A449" s="17" t="str">
        <x:v>A0445</x:v>
      </x:c>
      <x:c r="B449" s="17" t="str">
        <x:v>C01</x:v>
      </x:c>
      <x:c r="C449" s="17" t="str">
        <x:v>collection</x:v>
      </x:c>
      <x:c r="D449" s="17" t="str">
        <x:v>广州虚拟回收/检测中心</x:v>
      </x:c>
      <x:c r="E449" s="24" t="n">
        <x:v>113.2589581</x:v>
      </x:c>
      <x:c r="F449" s="24" t="n">
        <x:v>23.1288429</x:v>
      </x:c>
      <x:c r="G449" s="17" t="str">
        <x:v>P03</x:v>
      </x:c>
      <x:c r="H449" s="17" t="str">
        <x:v>echelon</x:v>
      </x:c>
      <x:c r="I449" s="17" t="str">
        <x:v>深圳深汕特别合作区乾泰技术有限公司</x:v>
      </x:c>
      <x:c r="J449" s="24" t="n">
        <x:v>115.5099937</x:v>
      </x:c>
      <x:c r="K449" s="24" t="n">
        <x:v>23.0123639</x:v>
      </x:c>
      <x:c r="L449" s="21" t="n">
        <x:f>6371*ACOS(MIN(1,COS(F449*PI()/180)*COS(K449*PI()/180)*COS((J449-E449)*PI()/180)+SIN(F449*PI()/180)*SIN(K449*PI()/180)))</x:f>
        <x:v>230.6467190844284</x:v>
      </x:c>
      <x:c r="M449" s="21" t="n">
        <x:f>L449*'情景参数模板'!$D$31</x:f>
        <x:v>276.7760629013141</x:v>
      </x:c>
      <x:c r="N449" s="21" t="n">
        <x:f>IF(C449="source",'情景参数模板'!$D$12,IF(H449="echelon",'情景参数模板'!$D$13,'情景参数模板'!$D$14))</x:f>
        <x:v>0.49</x:v>
      </x:c>
      <x:c r="O449" s="21" t="n">
        <x:f>IF(C449="source",'情景参数模板'!$D$18,IF(H449="echelon",'情景参数模板'!$D$19,'情景参数模板'!$D$20))</x:f>
        <x:v>300</x:v>
      </x:c>
      <x:c r="P449" s="17" t="n">
        <x:f>IF(M449&lt;=O449,1,0)</x:f>
        <x:v>1</x:v>
      </x:c>
      <x:c r="Q449" s="17" t="str">
        <x:v>D-road proxy; B-coordinates</x:v>
      </x:c>
    </x:row>
    <x:row r="450">
      <x:c r="A450" s="17" t="str">
        <x:v>A0446</x:v>
      </x:c>
      <x:c r="B450" s="17" t="str">
        <x:v>C01</x:v>
      </x:c>
      <x:c r="C450" s="17" t="str">
        <x:v>collection</x:v>
      </x:c>
      <x:c r="D450" s="17" t="str">
        <x:v>广州虚拟回收/检测中心</x:v>
      </x:c>
      <x:c r="E450" s="24" t="n">
        <x:v>113.2589581</x:v>
      </x:c>
      <x:c r="F450" s="24" t="n">
        <x:v>23.1288429</x:v>
      </x:c>
      <x:c r="G450" s="17" t="str">
        <x:v>P04</x:v>
      </x:c>
      <x:c r="H450" s="17" t="str">
        <x:v>echelon</x:v>
      </x:c>
      <x:c r="I450" s="17" t="str">
        <x:v>珠海中力新能源科技有限公司</x:v>
      </x:c>
      <x:c r="J450" s="24" t="n">
        <x:v>113.5721327</x:v>
      </x:c>
      <x:c r="K450" s="24" t="n">
        <x:v>22.273734</x:v>
      </x:c>
      <x:c r="L450" s="21" t="n">
        <x:f>6371*ACOS(MIN(1,COS(F450*PI()/180)*COS(K450*PI()/180)*COS((J450-E450)*PI()/180)+SIN(F450*PI()/180)*SIN(K450*PI()/180)))</x:f>
        <x:v>100.36408935304908</x:v>
      </x:c>
      <x:c r="M450" s="21" t="n">
        <x:f>L450*'情景参数模板'!$D$31</x:f>
        <x:v>120.43690722365889</x:v>
      </x:c>
      <x:c r="N450" s="21" t="n">
        <x:f>IF(C450="source",'情景参数模板'!$D$12,IF(H450="echelon",'情景参数模板'!$D$13,'情景参数模板'!$D$14))</x:f>
        <x:v>0.49</x:v>
      </x:c>
      <x:c r="O450" s="21" t="n">
        <x:f>IF(C450="source",'情景参数模板'!$D$18,IF(H450="echelon",'情景参数模板'!$D$19,'情景参数模板'!$D$20))</x:f>
        <x:v>300</x:v>
      </x:c>
      <x:c r="P450" s="17" t="n">
        <x:f>IF(M450&lt;=O450,1,0)</x:f>
        <x:v>1</x:v>
      </x:c>
      <x:c r="Q450" s="17" t="str">
        <x:v>D-road proxy; B-coordinates</x:v>
      </x:c>
    </x:row>
    <x:row r="451">
      <x:c r="A451" s="17" t="str">
        <x:v>A0447</x:v>
      </x:c>
      <x:c r="B451" s="17" t="str">
        <x:v>C01</x:v>
      </x:c>
      <x:c r="C451" s="17" t="str">
        <x:v>collection</x:v>
      </x:c>
      <x:c r="D451" s="17" t="str">
        <x:v>广州虚拟回收/检测中心</x:v>
      </x:c>
      <x:c r="E451" s="24" t="n">
        <x:v>113.2589581</x:v>
      </x:c>
      <x:c r="F451" s="24" t="n">
        <x:v>23.1288429</x:v>
      </x:c>
      <x:c r="G451" s="17" t="str">
        <x:v>P05</x:v>
      </x:c>
      <x:c r="H451" s="17" t="str">
        <x:v>echelon</x:v>
      </x:c>
      <x:c r="I451" s="17" t="str">
        <x:v>惠州市恒创睿能环保科技有限公司</x:v>
      </x:c>
      <x:c r="J451" s="24" t="n">
        <x:v>114.4127007</x:v>
      </x:c>
      <x:c r="K451" s="24" t="n">
        <x:v>23.1125153</x:v>
      </x:c>
      <x:c r="L451" s="21" t="n">
        <x:f>6371*ACOS(MIN(1,COS(F451*PI()/180)*COS(K451*PI()/180)*COS((J451-E451)*PI()/180)+SIN(F451*PI()/180)*SIN(K451*PI()/180)))</x:f>
        <x:v>117.99968375716887</x:v>
      </x:c>
      <x:c r="M451" s="21" t="n">
        <x:f>L451*'情景参数模板'!$D$31</x:f>
        <x:v>141.59962050860264</x:v>
      </x:c>
      <x:c r="N451" s="21" t="n">
        <x:f>IF(C451="source",'情景参数模板'!$D$12,IF(H451="echelon",'情景参数模板'!$D$13,'情景参数模板'!$D$14))</x:f>
        <x:v>0.49</x:v>
      </x:c>
      <x:c r="O451" s="21" t="n">
        <x:f>IF(C451="source",'情景参数模板'!$D$18,IF(H451="echelon",'情景参数模板'!$D$19,'情景参数模板'!$D$20))</x:f>
        <x:v>300</x:v>
      </x:c>
      <x:c r="P451" s="17" t="n">
        <x:f>IF(M451&lt;=O451,1,0)</x:f>
        <x:v>1</x:v>
      </x:c>
      <x:c r="Q451" s="17" t="str">
        <x:v>D-road proxy; B-coordinates</x:v>
      </x:c>
    </x:row>
    <x:row r="452">
      <x:c r="A452" s="17" t="str">
        <x:v>A0448</x:v>
      </x:c>
      <x:c r="B452" s="17" t="str">
        <x:v>C01</x:v>
      </x:c>
      <x:c r="C452" s="17" t="str">
        <x:v>collection</x:v>
      </x:c>
      <x:c r="D452" s="17" t="str">
        <x:v>广州虚拟回收/检测中心</x:v>
      </x:c>
      <x:c r="E452" s="24" t="n">
        <x:v>113.2589581</x:v>
      </x:c>
      <x:c r="F452" s="24" t="n">
        <x:v>23.1288429</x:v>
      </x:c>
      <x:c r="G452" s="17" t="str">
        <x:v>P06</x:v>
      </x:c>
      <x:c r="H452" s="17" t="str">
        <x:v>echelon</x:v>
      </x:c>
      <x:c r="I452" s="17" t="str">
        <x:v>江门市朗达锂电池有限公司</x:v>
      </x:c>
      <x:c r="J452" s="24" t="n">
        <x:v>113.0761073</x:v>
      </x:c>
      <x:c r="K452" s="24" t="n">
        <x:v>22.5816619</x:v>
      </x:c>
      <x:c r="L452" s="21" t="n">
        <x:f>6371*ACOS(MIN(1,COS(F452*PI()/180)*COS(K452*PI()/180)*COS((J452-E452)*PI()/180)+SIN(F452*PI()/180)*SIN(K452*PI()/180)))</x:f>
        <x:v>63.663079882234</x:v>
      </x:c>
      <x:c r="M452" s="21" t="n">
        <x:f>L452*'情景参数模板'!$D$31</x:f>
        <x:v>76.3956958586808</x:v>
      </x:c>
      <x:c r="N452" s="21" t="n">
        <x:f>IF(C452="source",'情景参数模板'!$D$12,IF(H452="echelon",'情景参数模板'!$D$13,'情景参数模板'!$D$14))</x:f>
        <x:v>0.49</x:v>
      </x:c>
      <x:c r="O452" s="21" t="n">
        <x:f>IF(C452="source",'情景参数模板'!$D$18,IF(H452="echelon",'情景参数模板'!$D$19,'情景参数模板'!$D$20))</x:f>
        <x:v>300</x:v>
      </x:c>
      <x:c r="P452" s="17" t="n">
        <x:f>IF(M452&lt;=O452,1,0)</x:f>
        <x:v>1</x:v>
      </x:c>
      <x:c r="Q452" s="17" t="str">
        <x:v>D-road proxy; B-coordinates</x:v>
      </x:c>
    </x:row>
    <x:row r="453">
      <x:c r="A453" s="17" t="str">
        <x:v>A0449</x:v>
      </x:c>
      <x:c r="B453" s="17" t="str">
        <x:v>C01</x:v>
      </x:c>
      <x:c r="C453" s="17" t="str">
        <x:v>collection</x:v>
      </x:c>
      <x:c r="D453" s="17" t="str">
        <x:v>广州虚拟回收/检测中心</x:v>
      </x:c>
      <x:c r="E453" s="24" t="n">
        <x:v>113.2589581</x:v>
      </x:c>
      <x:c r="F453" s="24" t="n">
        <x:v>23.1288429</x:v>
      </x:c>
      <x:c r="G453" s="17" t="str">
        <x:v>P07</x:v>
      </x:c>
      <x:c r="H453" s="17" t="str">
        <x:v>echelon</x:v>
      </x:c>
      <x:c r="I453" s="17" t="str">
        <x:v>广东迪度新能源有限公司</x:v>
      </x:c>
      <x:c r="J453" s="24" t="n">
        <x:v>113.7452332</x:v>
      </x:c>
      <x:c r="K453" s="24" t="n">
        <x:v>23.0183568</x:v>
      </x:c>
      <x:c r="L453" s="21" t="n">
        <x:f>6371*ACOS(MIN(1,COS(F453*PI()/180)*COS(K453*PI()/180)*COS((J453-E453)*PI()/180)+SIN(F453*PI()/180)*SIN(K453*PI()/180)))</x:f>
        <x:v>51.240297874016186</x:v>
      </x:c>
      <x:c r="M453" s="21" t="n">
        <x:f>L453*'情景参数模板'!$D$31</x:f>
        <x:v>61.48835744881942</x:v>
      </x:c>
      <x:c r="N453" s="21" t="n">
        <x:f>IF(C453="source",'情景参数模板'!$D$12,IF(H453="echelon",'情景参数模板'!$D$13,'情景参数模板'!$D$14))</x:f>
        <x:v>0.49</x:v>
      </x:c>
      <x:c r="O453" s="21" t="n">
        <x:f>IF(C453="source",'情景参数模板'!$D$18,IF(H453="echelon",'情景参数模板'!$D$19,'情景参数模板'!$D$20))</x:f>
        <x:v>300</x:v>
      </x:c>
      <x:c r="P453" s="17" t="n">
        <x:f>IF(M453&lt;=O453,1,0)</x:f>
        <x:v>1</x:v>
      </x:c>
      <x:c r="Q453" s="17" t="str">
        <x:v>D-road proxy; B-coordinates</x:v>
      </x:c>
    </x:row>
    <x:row r="454">
      <x:c r="A454" s="17" t="str">
        <x:v>A0450</x:v>
      </x:c>
      <x:c r="B454" s="17" t="str">
        <x:v>C01</x:v>
      </x:c>
      <x:c r="C454" s="17" t="str">
        <x:v>collection</x:v>
      </x:c>
      <x:c r="D454" s="17" t="str">
        <x:v>广州虚拟回收/检测中心</x:v>
      </x:c>
      <x:c r="E454" s="24" t="n">
        <x:v>113.2589581</x:v>
      </x:c>
      <x:c r="F454" s="24" t="n">
        <x:v>23.1288429</x:v>
      </x:c>
      <x:c r="G454" s="17" t="str">
        <x:v>P08</x:v>
      </x:c>
      <x:c r="H454" s="17" t="str">
        <x:v>echelon</x:v>
      </x:c>
      <x:c r="I454" s="17" t="str">
        <x:v>东莞市博森新能源有限公司</x:v>
      </x:c>
      <x:c r="J454" s="24" t="n">
        <x:v>113.7452332</x:v>
      </x:c>
      <x:c r="K454" s="24" t="n">
        <x:v>23.0183568</x:v>
      </x:c>
      <x:c r="L454" s="21" t="n">
        <x:f>6371*ACOS(MIN(1,COS(F454*PI()/180)*COS(K454*PI()/180)*COS((J454-E454)*PI()/180)+SIN(F454*PI()/180)*SIN(K454*PI()/180)))</x:f>
        <x:v>51.240297874016186</x:v>
      </x:c>
      <x:c r="M454" s="21" t="n">
        <x:f>L454*'情景参数模板'!$D$31</x:f>
        <x:v>61.48835744881942</x:v>
      </x:c>
      <x:c r="N454" s="21" t="n">
        <x:f>IF(C454="source",'情景参数模板'!$D$12,IF(H454="echelon",'情景参数模板'!$D$13,'情景参数模板'!$D$14))</x:f>
        <x:v>0.49</x:v>
      </x:c>
      <x:c r="O454" s="21" t="n">
        <x:f>IF(C454="source",'情景参数模板'!$D$18,IF(H454="echelon",'情景参数模板'!$D$19,'情景参数模板'!$D$20))</x:f>
        <x:v>300</x:v>
      </x:c>
      <x:c r="P454" s="17" t="n">
        <x:f>IF(M454&lt;=O454,1,0)</x:f>
        <x:v>1</x:v>
      </x:c>
      <x:c r="Q454" s="17" t="str">
        <x:v>D-road proxy; B-coordinates</x:v>
      </x:c>
    </x:row>
    <x:row r="455">
      <x:c r="A455" s="17" t="str">
        <x:v>A0451</x:v>
      </x:c>
      <x:c r="B455" s="17" t="str">
        <x:v>C01</x:v>
      </x:c>
      <x:c r="C455" s="17" t="str">
        <x:v>collection</x:v>
      </x:c>
      <x:c r="D455" s="17" t="str">
        <x:v>广州虚拟回收/检测中心</x:v>
      </x:c>
      <x:c r="E455" s="24" t="n">
        <x:v>113.2589581</x:v>
      </x:c>
      <x:c r="F455" s="24" t="n">
        <x:v>23.1288429</x:v>
      </x:c>
      <x:c r="G455" s="17" t="str">
        <x:v>P09</x:v>
      </x:c>
      <x:c r="H455" s="17" t="str">
        <x:v>echelon</x:v>
      </x:c>
      <x:c r="I455" s="17" t="str">
        <x:v>广东宇阳新能源有限公司</x:v>
      </x:c>
      <x:c r="J455" s="24" t="n">
        <x:v>113.7452332</x:v>
      </x:c>
      <x:c r="K455" s="24" t="n">
        <x:v>23.0183568</x:v>
      </x:c>
      <x:c r="L455" s="21" t="n">
        <x:f>6371*ACOS(MIN(1,COS(F455*PI()/180)*COS(K455*PI()/180)*COS((J455-E455)*PI()/180)+SIN(F455*PI()/180)*SIN(K455*PI()/180)))</x:f>
        <x:v>51.240297874016186</x:v>
      </x:c>
      <x:c r="M455" s="21" t="n">
        <x:f>L455*'情景参数模板'!$D$31</x:f>
        <x:v>61.48835744881942</x:v>
      </x:c>
      <x:c r="N455" s="21" t="n">
        <x:f>IF(C455="source",'情景参数模板'!$D$12,IF(H455="echelon",'情景参数模板'!$D$13,'情景参数模板'!$D$14))</x:f>
        <x:v>0.49</x:v>
      </x:c>
      <x:c r="O455" s="21" t="n">
        <x:f>IF(C455="source",'情景参数模板'!$D$18,IF(H455="echelon",'情景参数模板'!$D$19,'情景参数模板'!$D$20))</x:f>
        <x:v>300</x:v>
      </x:c>
      <x:c r="P455" s="17" t="n">
        <x:f>IF(M455&lt;=O455,1,0)</x:f>
        <x:v>1</x:v>
      </x:c>
      <x:c r="Q455" s="17" t="str">
        <x:v>D-road proxy; B-coordinates</x:v>
      </x:c>
    </x:row>
    <x:row r="456">
      <x:c r="A456" s="17" t="str">
        <x:v>A0452</x:v>
      </x:c>
      <x:c r="B456" s="17" t="str">
        <x:v>C01</x:v>
      </x:c>
      <x:c r="C456" s="17" t="str">
        <x:v>collection</x:v>
      </x:c>
      <x:c r="D456" s="17" t="str">
        <x:v>广州虚拟回收/检测中心</x:v>
      </x:c>
      <x:c r="E456" s="24" t="n">
        <x:v>113.2589581</x:v>
      </x:c>
      <x:c r="F456" s="24" t="n">
        <x:v>23.1288429</x:v>
      </x:c>
      <x:c r="G456" s="17" t="str">
        <x:v>P10</x:v>
      </x:c>
      <x:c r="H456" s="17" t="str">
        <x:v>echelon</x:v>
      </x:c>
      <x:c r="I456" s="17" t="str">
        <x:v>广州广汽商贸再生资源有限公司</x:v>
      </x:c>
      <x:c r="J456" s="24" t="n">
        <x:v>113.2589581</x:v>
      </x:c>
      <x:c r="K456" s="24" t="n">
        <x:v>23.1288429</x:v>
      </x:c>
      <x:c r="L456" s="21" t="n">
        <x:f>6371*ACOS(MIN(1,COS(F456*PI()/180)*COS(K456*PI()/180)*COS((J456-E456)*PI()/180)+SIN(F456*PI()/180)*SIN(K456*PI()/180)))</x:f>
        <x:v>0</x:v>
      </x:c>
      <x:c r="M456" s="21" t="n">
        <x:f>L456*'情景参数模板'!$D$31</x:f>
        <x:v>0</x:v>
      </x:c>
      <x:c r="N456" s="21" t="n">
        <x:f>IF(C456="source",'情景参数模板'!$D$12,IF(H456="echelon",'情景参数模板'!$D$13,'情景参数模板'!$D$14))</x:f>
        <x:v>0.49</x:v>
      </x:c>
      <x:c r="O456" s="21" t="n">
        <x:f>IF(C456="source",'情景参数模板'!$D$18,IF(H456="echelon",'情景参数模板'!$D$19,'情景参数模板'!$D$20))</x:f>
        <x:v>300</x:v>
      </x:c>
      <x:c r="P456" s="17" t="n">
        <x:f>IF(M456&lt;=O456,1,0)</x:f>
        <x:v>1</x:v>
      </x:c>
      <x:c r="Q456" s="17" t="str">
        <x:v>D-road proxy; B-coordinates</x:v>
      </x:c>
    </x:row>
    <x:row r="457">
      <x:c r="A457" s="17" t="str">
        <x:v>A0453</x:v>
      </x:c>
      <x:c r="B457" s="17" t="str">
        <x:v>C01</x:v>
      </x:c>
      <x:c r="C457" s="17" t="str">
        <x:v>collection</x:v>
      </x:c>
      <x:c r="D457" s="17" t="str">
        <x:v>广州虚拟回收/检测中心</x:v>
      </x:c>
      <x:c r="E457" s="24" t="n">
        <x:v>113.2589581</x:v>
      </x:c>
      <x:c r="F457" s="24" t="n">
        <x:v>23.1288429</x:v>
      </x:c>
      <x:c r="G457" s="17" t="str">
        <x:v>P11</x:v>
      </x:c>
      <x:c r="H457" s="17" t="str">
        <x:v>echelon</x:v>
      </x:c>
      <x:c r="I457" s="17" t="str">
        <x:v>深圳市杰成镍钴新能源科技有限公司</x:v>
      </x:c>
      <x:c r="J457" s="24" t="n">
        <x:v>114.0545429</x:v>
      </x:c>
      <x:c r="K457" s="24" t="n">
        <x:v>22.5445741</x:v>
      </x:c>
      <x:c r="L457" s="21" t="n">
        <x:f>6371*ACOS(MIN(1,COS(F457*PI()/180)*COS(K457*PI()/180)*COS((J457-E457)*PI()/180)+SIN(F457*PI()/180)*SIN(K457*PI()/180)))</x:f>
        <x:v>104.24944100592228</x:v>
      </x:c>
      <x:c r="M457" s="21" t="n">
        <x:f>L457*'情景参数模板'!$D$31</x:f>
        <x:v>125.09932920710673</x:v>
      </x:c>
      <x:c r="N457" s="21" t="n">
        <x:f>IF(C457="source",'情景参数模板'!$D$12,IF(H457="echelon",'情景参数模板'!$D$13,'情景参数模板'!$D$14))</x:f>
        <x:v>0.49</x:v>
      </x:c>
      <x:c r="O457" s="21" t="n">
        <x:f>IF(C457="source",'情景参数模板'!$D$18,IF(H457="echelon",'情景参数模板'!$D$19,'情景参数模板'!$D$20))</x:f>
        <x:v>300</x:v>
      </x:c>
      <x:c r="P457" s="17" t="n">
        <x:f>IF(M457&lt;=O457,1,0)</x:f>
        <x:v>1</x:v>
      </x:c>
      <x:c r="Q457" s="17" t="str">
        <x:v>D-road proxy; B-coordinates</x:v>
      </x:c>
    </x:row>
    <x:row r="458">
      <x:c r="A458" s="17" t="str">
        <x:v>A0454</x:v>
      </x:c>
      <x:c r="B458" s="17" t="str">
        <x:v>C01</x:v>
      </x:c>
      <x:c r="C458" s="17" t="str">
        <x:v>collection</x:v>
      </x:c>
      <x:c r="D458" s="17" t="str">
        <x:v>广州虚拟回收/检测中心</x:v>
      </x:c>
      <x:c r="E458" s="24" t="n">
        <x:v>113.2589581</x:v>
      </x:c>
      <x:c r="F458" s="24" t="n">
        <x:v>23.1288429</x:v>
      </x:c>
      <x:c r="G458" s="17" t="str">
        <x:v>P12</x:v>
      </x:c>
      <x:c r="H458" s="17" t="str">
        <x:v>recycling</x:v>
      </x:c>
      <x:c r="I458" s="17" t="str">
        <x:v>江门市恒创睿能环保科技有限公司</x:v>
      </x:c>
      <x:c r="J458" s="24" t="n">
        <x:v>113.0761073</x:v>
      </x:c>
      <x:c r="K458" s="24" t="n">
        <x:v>22.5816619</x:v>
      </x:c>
      <x:c r="L458" s="21" t="n">
        <x:f>6371*ACOS(MIN(1,COS(F458*PI()/180)*COS(K458*PI()/180)*COS((J458-E458)*PI()/180)+SIN(F458*PI()/180)*SIN(K458*PI()/180)))</x:f>
        <x:v>63.663079882234</x:v>
      </x:c>
      <x:c r="M458" s="21" t="n">
        <x:f>L458*'情景参数模板'!$D$31</x:f>
        <x:v>76.3956958586808</x:v>
      </x:c>
      <x:c r="N458" s="21" t="n">
        <x:f>IF(C458="source",'情景参数模板'!$D$12,IF(H458="echelon",'情景参数模板'!$D$13,'情景参数模板'!$D$14))</x:f>
        <x:v>0.49</x:v>
      </x:c>
      <x:c r="O458" s="21" t="n">
        <x:f>IF(C458="source",'情景参数模板'!$D$18,IF(H458="echelon",'情景参数模板'!$D$19,'情景参数模板'!$D$20))</x:f>
        <x:v>400</x:v>
      </x:c>
      <x:c r="P458" s="17" t="n">
        <x:f>IF(M458&lt;=O458,1,0)</x:f>
        <x:v>1</x:v>
      </x:c>
      <x:c r="Q458" s="17" t="str">
        <x:v>D-road proxy; B-coordinates</x:v>
      </x:c>
    </x:row>
    <x:row r="459">
      <x:c r="A459" s="17" t="str">
        <x:v>A0455</x:v>
      </x:c>
      <x:c r="B459" s="17" t="str">
        <x:v>C01</x:v>
      </x:c>
      <x:c r="C459" s="17" t="str">
        <x:v>collection</x:v>
      </x:c>
      <x:c r="D459" s="17" t="str">
        <x:v>广州虚拟回收/检测中心</x:v>
      </x:c>
      <x:c r="E459" s="24" t="n">
        <x:v>113.2589581</x:v>
      </x:c>
      <x:c r="F459" s="24" t="n">
        <x:v>23.1288429</x:v>
      </x:c>
      <x:c r="G459" s="17" t="str">
        <x:v>P13</x:v>
      </x:c>
      <x:c r="H459" s="17" t="str">
        <x:v>recycling</x:v>
      </x:c>
      <x:c r="I459" s="17" t="str">
        <x:v>广东佳纳能源科技有限公司</x:v>
      </x:c>
      <x:c r="J459" s="24" t="n">
        <x:v>113.0505994</x:v>
      </x:c>
      <x:c r="K459" s="24" t="n">
        <x:v>23.6832984</x:v>
      </x:c>
      <x:c r="L459" s="21" t="n">
        <x:f>6371*ACOS(MIN(1,COS(F459*PI()/180)*COS(K459*PI()/180)*COS((J459-E459)*PI()/180)+SIN(F459*PI()/180)*SIN(K459*PI()/180)))</x:f>
        <x:v>65.21589659147114</x:v>
      </x:c>
      <x:c r="M459" s="21" t="n">
        <x:f>L459*'情景参数模板'!$D$31</x:f>
        <x:v>78.25907590976536</x:v>
      </x:c>
      <x:c r="N459" s="21" t="n">
        <x:f>IF(C459="source",'情景参数模板'!$D$12,IF(H459="echelon",'情景参数模板'!$D$13,'情景参数模板'!$D$14))</x:f>
        <x:v>0.49</x:v>
      </x:c>
      <x:c r="O459" s="21" t="n">
        <x:f>IF(C459="source",'情景参数模板'!$D$18,IF(H459="echelon",'情景参数模板'!$D$19,'情景参数模板'!$D$20))</x:f>
        <x:v>400</x:v>
      </x:c>
      <x:c r="P459" s="17" t="n">
        <x:f>IF(M459&lt;=O459,1,0)</x:f>
        <x:v>1</x:v>
      </x:c>
      <x:c r="Q459" s="17" t="str">
        <x:v>D-road proxy; B-coordinates</x:v>
      </x:c>
    </x:row>
    <x:row r="460">
      <x:c r="A460" s="17" t="str">
        <x:v>A0456</x:v>
      </x:c>
      <x:c r="B460" s="17" t="str">
        <x:v>C01</x:v>
      </x:c>
      <x:c r="C460" s="17" t="str">
        <x:v>collection</x:v>
      </x:c>
      <x:c r="D460" s="17" t="str">
        <x:v>广州虚拟回收/检测中心</x:v>
      </x:c>
      <x:c r="E460" s="24" t="n">
        <x:v>113.2589581</x:v>
      </x:c>
      <x:c r="F460" s="24" t="n">
        <x:v>23.1288429</x:v>
      </x:c>
      <x:c r="G460" s="17" t="str">
        <x:v>P14</x:v>
      </x:c>
      <x:c r="H460" s="17" t="str">
        <x:v>echelon</x:v>
      </x:c>
      <x:c r="I460" s="17" t="str">
        <x:v>格林美（深圳）循环科技有限公司</x:v>
      </x:c>
      <x:c r="J460" s="24" t="n">
        <x:v>114.0545429</x:v>
      </x:c>
      <x:c r="K460" s="24" t="n">
        <x:v>22.5445741</x:v>
      </x:c>
      <x:c r="L460" s="21" t="n">
        <x:f>6371*ACOS(MIN(1,COS(F460*PI()/180)*COS(K460*PI()/180)*COS((J460-E460)*PI()/180)+SIN(F460*PI()/180)*SIN(K460*PI()/180)))</x:f>
        <x:v>104.24944100592228</x:v>
      </x:c>
      <x:c r="M460" s="21" t="n">
        <x:f>L460*'情景参数模板'!$D$31</x:f>
        <x:v>125.09932920710673</x:v>
      </x:c>
      <x:c r="N460" s="21" t="n">
        <x:f>IF(C460="source",'情景参数模板'!$D$12,IF(H460="echelon",'情景参数模板'!$D$13,'情景参数模板'!$D$14))</x:f>
        <x:v>0.49</x:v>
      </x:c>
      <x:c r="O460" s="21" t="n">
        <x:f>IF(C460="source",'情景参数模板'!$D$18,IF(H460="echelon",'情景参数模板'!$D$19,'情景参数模板'!$D$20))</x:f>
        <x:v>300</x:v>
      </x:c>
      <x:c r="P460" s="17" t="n">
        <x:f>IF(M460&lt;=O460,1,0)</x:f>
        <x:v>1</x:v>
      </x:c>
      <x:c r="Q460" s="17" t="str">
        <x:v>D-road proxy; B-coordinates</x:v>
      </x:c>
    </x:row>
    <x:row r="461">
      <x:c r="A461" s="17" t="str">
        <x:v>A0457</x:v>
      </x:c>
      <x:c r="B461" s="17" t="str">
        <x:v>C01</x:v>
      </x:c>
      <x:c r="C461" s="17" t="str">
        <x:v>collection</x:v>
      </x:c>
      <x:c r="D461" s="17" t="str">
        <x:v>广州虚拟回收/检测中心</x:v>
      </x:c>
      <x:c r="E461" s="24" t="n">
        <x:v>113.2589581</x:v>
      </x:c>
      <x:c r="F461" s="24" t="n">
        <x:v>23.1288429</x:v>
      </x:c>
      <x:c r="G461" s="17" t="str">
        <x:v>P15</x:v>
      </x:c>
      <x:c r="H461" s="17" t="str">
        <x:v>echelon</x:v>
      </x:c>
      <x:c r="I461" s="17" t="str">
        <x:v>绿循新能源科技（佛山）有限责任公司</x:v>
      </x:c>
      <x:c r="J461" s="24" t="n">
        <x:v>113.1159558</x:v>
      </x:c>
      <x:c r="K461" s="24" t="n">
        <x:v>23.0239788</x:v>
      </x:c>
      <x:c r="L461" s="21" t="n">
        <x:f>6371*ACOS(MIN(1,COS(F461*PI()/180)*COS(K461*PI()/180)*COS((J461-E461)*PI()/180)+SIN(F461*PI()/180)*SIN(K461*PI()/180)))</x:f>
        <x:v>18.707342512999915</x:v>
      </x:c>
      <x:c r="M461" s="21" t="n">
        <x:f>L461*'情景参数模板'!$D$31</x:f>
        <x:v>22.448811015599897</x:v>
      </x:c>
      <x:c r="N461" s="21" t="n">
        <x:f>IF(C461="source",'情景参数模板'!$D$12,IF(H461="echelon",'情景参数模板'!$D$13,'情景参数模板'!$D$14))</x:f>
        <x:v>0.49</x:v>
      </x:c>
      <x:c r="O461" s="21" t="n">
        <x:f>IF(C461="source",'情景参数模板'!$D$18,IF(H461="echelon",'情景参数模板'!$D$19,'情景参数模板'!$D$20))</x:f>
        <x:v>300</x:v>
      </x:c>
      <x:c r="P461" s="17" t="n">
        <x:f>IF(M461&lt;=O461,1,0)</x:f>
        <x:v>1</x:v>
      </x:c>
      <x:c r="Q461" s="17" t="str">
        <x:v>D-road proxy; B-coordinates</x:v>
      </x:c>
    </x:row>
    <x:row r="462">
      <x:c r="A462" s="17" t="str">
        <x:v>A0458</x:v>
      </x:c>
      <x:c r="B462" s="17" t="str">
        <x:v>C01</x:v>
      </x:c>
      <x:c r="C462" s="17" t="str">
        <x:v>collection</x:v>
      </x:c>
      <x:c r="D462" s="17" t="str">
        <x:v>广州虚拟回收/检测中心</x:v>
      </x:c>
      <x:c r="E462" s="24" t="n">
        <x:v>113.2589581</x:v>
      </x:c>
      <x:c r="F462" s="24" t="n">
        <x:v>23.1288429</x:v>
      </x:c>
      <x:c r="G462" s="17" t="str">
        <x:v>P16</x:v>
      </x:c>
      <x:c r="H462" s="17" t="str">
        <x:v>echelon</x:v>
      </x:c>
      <x:c r="I462" s="17" t="str">
        <x:v>深圳艾云动智慧科技有限公司</x:v>
      </x:c>
      <x:c r="J462" s="24" t="n">
        <x:v>114.0545429</x:v>
      </x:c>
      <x:c r="K462" s="24" t="n">
        <x:v>22.5445741</x:v>
      </x:c>
      <x:c r="L462" s="21" t="n">
        <x:f>6371*ACOS(MIN(1,COS(F462*PI()/180)*COS(K462*PI()/180)*COS((J462-E462)*PI()/180)+SIN(F462*PI()/180)*SIN(K462*PI()/180)))</x:f>
        <x:v>104.24944100592228</x:v>
      </x:c>
      <x:c r="M462" s="21" t="n">
        <x:f>L462*'情景参数模板'!$D$31</x:f>
        <x:v>125.09932920710673</x:v>
      </x:c>
      <x:c r="N462" s="21" t="n">
        <x:f>IF(C462="source",'情景参数模板'!$D$12,IF(H462="echelon",'情景参数模板'!$D$13,'情景参数模板'!$D$14))</x:f>
        <x:v>0.49</x:v>
      </x:c>
      <x:c r="O462" s="21" t="n">
        <x:f>IF(C462="source",'情景参数模板'!$D$18,IF(H462="echelon",'情景参数模板'!$D$19,'情景参数模板'!$D$20))</x:f>
        <x:v>300</x:v>
      </x:c>
      <x:c r="P462" s="17" t="n">
        <x:f>IF(M462&lt;=O462,1,0)</x:f>
        <x:v>1</x:v>
      </x:c>
      <x:c r="Q462" s="17" t="str">
        <x:v>D-road proxy; B-coordinates</x:v>
      </x:c>
    </x:row>
    <x:row r="463">
      <x:c r="A463" s="17" t="str">
        <x:v>A0459</x:v>
      </x:c>
      <x:c r="B463" s="17" t="str">
        <x:v>C01</x:v>
      </x:c>
      <x:c r="C463" s="17" t="str">
        <x:v>collection</x:v>
      </x:c>
      <x:c r="D463" s="17" t="str">
        <x:v>广州虚拟回收/检测中心</x:v>
      </x:c>
      <x:c r="E463" s="24" t="n">
        <x:v>113.2589581</x:v>
      </x:c>
      <x:c r="F463" s="24" t="n">
        <x:v>23.1288429</x:v>
      </x:c>
      <x:c r="G463" s="17" t="str">
        <x:v>P17</x:v>
      </x:c>
      <x:c r="H463" s="17" t="str">
        <x:v>echelon</x:v>
      </x:c>
      <x:c r="I463" s="17" t="str">
        <x:v>深圳市荣高晟新能源科技有限公司</x:v>
      </x:c>
      <x:c r="J463" s="24" t="n">
        <x:v>114.0545429</x:v>
      </x:c>
      <x:c r="K463" s="24" t="n">
        <x:v>22.5445741</x:v>
      </x:c>
      <x:c r="L463" s="21" t="n">
        <x:f>6371*ACOS(MIN(1,COS(F463*PI()/180)*COS(K463*PI()/180)*COS((J463-E463)*PI()/180)+SIN(F463*PI()/180)*SIN(K463*PI()/180)))</x:f>
        <x:v>104.24944100592228</x:v>
      </x:c>
      <x:c r="M463" s="21" t="n">
        <x:f>L463*'情景参数模板'!$D$31</x:f>
        <x:v>125.09932920710673</x:v>
      </x:c>
      <x:c r="N463" s="21" t="n">
        <x:f>IF(C463="source",'情景参数模板'!$D$12,IF(H463="echelon",'情景参数模板'!$D$13,'情景参数模板'!$D$14))</x:f>
        <x:v>0.49</x:v>
      </x:c>
      <x:c r="O463" s="21" t="n">
        <x:f>IF(C463="source",'情景参数模板'!$D$18,IF(H463="echelon",'情景参数模板'!$D$19,'情景参数模板'!$D$20))</x:f>
        <x:v>300</x:v>
      </x:c>
      <x:c r="P463" s="17" t="n">
        <x:f>IF(M463&lt;=O463,1,0)</x:f>
        <x:v>1</x:v>
      </x:c>
      <x:c r="Q463" s="17" t="str">
        <x:v>D-road proxy; B-coordinates</x:v>
      </x:c>
    </x:row>
    <x:row r="464">
      <x:c r="A464" s="17" t="str">
        <x:v>A0460</x:v>
      </x:c>
      <x:c r="B464" s="17" t="str">
        <x:v>C01</x:v>
      </x:c>
      <x:c r="C464" s="17" t="str">
        <x:v>collection</x:v>
      </x:c>
      <x:c r="D464" s="17" t="str">
        <x:v>广州虚拟回收/检测中心</x:v>
      </x:c>
      <x:c r="E464" s="24" t="n">
        <x:v>113.2589581</x:v>
      </x:c>
      <x:c r="F464" s="24" t="n">
        <x:v>23.1288429</x:v>
      </x:c>
      <x:c r="G464" s="17" t="str">
        <x:v>P18</x:v>
      </x:c>
      <x:c r="H464" s="17" t="str">
        <x:v>echelon</x:v>
      </x:c>
      <x:c r="I464" s="17" t="str">
        <x:v>中商锂新能源科技（惠州）有限公司</x:v>
      </x:c>
      <x:c r="J464" s="24" t="n">
        <x:v>114.4127007</x:v>
      </x:c>
      <x:c r="K464" s="24" t="n">
        <x:v>23.1125153</x:v>
      </x:c>
      <x:c r="L464" s="21" t="n">
        <x:f>6371*ACOS(MIN(1,COS(F464*PI()/180)*COS(K464*PI()/180)*COS((J464-E464)*PI()/180)+SIN(F464*PI()/180)*SIN(K464*PI()/180)))</x:f>
        <x:v>117.99968375716887</x:v>
      </x:c>
      <x:c r="M464" s="21" t="n">
        <x:f>L464*'情景参数模板'!$D$31</x:f>
        <x:v>141.59962050860264</x:v>
      </x:c>
      <x:c r="N464" s="21" t="n">
        <x:f>IF(C464="source",'情景参数模板'!$D$12,IF(H464="echelon",'情景参数模板'!$D$13,'情景参数模板'!$D$14))</x:f>
        <x:v>0.49</x:v>
      </x:c>
      <x:c r="O464" s="21" t="n">
        <x:f>IF(C464="source",'情景参数模板'!$D$18,IF(H464="echelon",'情景参数模板'!$D$19,'情景参数模板'!$D$20))</x:f>
        <x:v>300</x:v>
      </x:c>
      <x:c r="P464" s="17" t="n">
        <x:f>IF(M464&lt;=O464,1,0)</x:f>
        <x:v>1</x:v>
      </x:c>
      <x:c r="Q464" s="17" t="str">
        <x:v>D-road proxy; B-coordinates</x:v>
      </x:c>
    </x:row>
    <x:row r="465">
      <x:c r="A465" s="17" t="str">
        <x:v>A0461</x:v>
      </x:c>
      <x:c r="B465" s="17" t="str">
        <x:v>C01</x:v>
      </x:c>
      <x:c r="C465" s="17" t="str">
        <x:v>collection</x:v>
      </x:c>
      <x:c r="D465" s="17" t="str">
        <x:v>广州虚拟回收/检测中心</x:v>
      </x:c>
      <x:c r="E465" s="24" t="n">
        <x:v>113.2589581</x:v>
      </x:c>
      <x:c r="F465" s="24" t="n">
        <x:v>23.1288429</x:v>
      </x:c>
      <x:c r="G465" s="17" t="str">
        <x:v>P19</x:v>
      </x:c>
      <x:c r="H465" s="17" t="str">
        <x:v>recycling</x:v>
      </x:c>
      <x:c r="I465" s="17" t="str">
        <x:v>广东盛祥新材料科技有限公司</x:v>
      </x:c>
      <x:c r="J465" s="24" t="n">
        <x:v>113.8155263</x:v>
      </x:c>
      <x:c r="K465" s="24" t="n">
        <x:v>24.8309489</x:v>
      </x:c>
      <x:c r="L465" s="21" t="n">
        <x:f>6371*ACOS(MIN(1,COS(F465*PI()/180)*COS(K465*PI()/180)*COS((J465-E465)*PI()/180)+SIN(F465*PI()/180)*SIN(K465*PI()/180)))</x:f>
        <x:v>197.53104116353575</x:v>
      </x:c>
      <x:c r="M465" s="21" t="n">
        <x:f>L465*'情景参数模板'!$D$31</x:f>
        <x:v>237.03724939624288</x:v>
      </x:c>
      <x:c r="N465" s="21" t="n">
        <x:f>IF(C465="source",'情景参数模板'!$D$12,IF(H465="echelon",'情景参数模板'!$D$13,'情景参数模板'!$D$14))</x:f>
        <x:v>0.49</x:v>
      </x:c>
      <x:c r="O465" s="21" t="n">
        <x:f>IF(C465="source",'情景参数模板'!$D$18,IF(H465="echelon",'情景参数模板'!$D$19,'情景参数模板'!$D$20))</x:f>
        <x:v>400</x:v>
      </x:c>
      <x:c r="P465" s="17" t="n">
        <x:f>IF(M465&lt;=O465,1,0)</x:f>
        <x:v>1</x:v>
      </x:c>
      <x:c r="Q465" s="17" t="str">
        <x:v>D-road proxy; B-coordinates</x:v>
      </x:c>
    </x:row>
    <x:row r="466">
      <x:c r="A466" s="17" t="str">
        <x:v>A0462</x:v>
      </x:c>
      <x:c r="B466" s="17" t="str">
        <x:v>C01</x:v>
      </x:c>
      <x:c r="C466" s="17" t="str">
        <x:v>collection</x:v>
      </x:c>
      <x:c r="D466" s="17" t="str">
        <x:v>广州虚拟回收/检测中心</x:v>
      </x:c>
      <x:c r="E466" s="24" t="n">
        <x:v>113.2589581</x:v>
      </x:c>
      <x:c r="F466" s="24" t="n">
        <x:v>23.1288429</x:v>
      </x:c>
      <x:c r="G466" s="17" t="str">
        <x:v>P20E</x:v>
      </x:c>
      <x:c r="H466" s="17" t="str">
        <x:v>echelon</x:v>
      </x:c>
      <x:c r="I466" s="17" t="str">
        <x:v>广东金晟新能源股份有限公司（梯次功能）</x:v>
      </x:c>
      <x:c r="J466" s="24" t="n">
        <x:v>112.4603629</x:v>
      </x:c>
      <x:c r="K466" s="24" t="n">
        <x:v>23.0501661</x:v>
      </x:c>
      <x:c r="L466" s="21" t="n">
        <x:f>6371*ACOS(MIN(1,COS(F466*PI()/180)*COS(K466*PI()/180)*COS((J466-E466)*PI()/180)+SIN(F466*PI()/180)*SIN(K466*PI()/180)))</x:f>
        <x:v>82.15331137313247</x:v>
      </x:c>
      <x:c r="M466" s="21" t="n">
        <x:f>L466*'情景参数模板'!$D$31</x:f>
        <x:v>98.58397364775895</x:v>
      </x:c>
      <x:c r="N466" s="21" t="n">
        <x:f>IF(C466="source",'情景参数模板'!$D$12,IF(H466="echelon",'情景参数模板'!$D$13,'情景参数模板'!$D$14))</x:f>
        <x:v>0.49</x:v>
      </x:c>
      <x:c r="O466" s="21" t="n">
        <x:f>IF(C466="source",'情景参数模板'!$D$18,IF(H466="echelon",'情景参数模板'!$D$19,'情景参数模板'!$D$20))</x:f>
        <x:v>300</x:v>
      </x:c>
      <x:c r="P466" s="17" t="n">
        <x:f>IF(M466&lt;=O466,1,0)</x:f>
        <x:v>1</x:v>
      </x:c>
      <x:c r="Q466" s="17" t="str">
        <x:v>D-road proxy; B-coordinates</x:v>
      </x:c>
    </x:row>
    <x:row r="467">
      <x:c r="A467" s="17" t="str">
        <x:v>A0463</x:v>
      </x:c>
      <x:c r="B467" s="17" t="str">
        <x:v>C01</x:v>
      </x:c>
      <x:c r="C467" s="17" t="str">
        <x:v>collection</x:v>
      </x:c>
      <x:c r="D467" s="17" t="str">
        <x:v>广州虚拟回收/检测中心</x:v>
      </x:c>
      <x:c r="E467" s="24" t="n">
        <x:v>113.2589581</x:v>
      </x:c>
      <x:c r="F467" s="24" t="n">
        <x:v>23.1288429</x:v>
      </x:c>
      <x:c r="G467" s="17" t="str">
        <x:v>P20R</x:v>
      </x:c>
      <x:c r="H467" s="17" t="str">
        <x:v>recycling</x:v>
      </x:c>
      <x:c r="I467" s="17" t="str">
        <x:v>广东金晟新能源股份有限公司（再生功能）</x:v>
      </x:c>
      <x:c r="J467" s="24" t="n">
        <x:v>112.4603629</x:v>
      </x:c>
      <x:c r="K467" s="24" t="n">
        <x:v>23.0501661</x:v>
      </x:c>
      <x:c r="L467" s="21" t="n">
        <x:f>6371*ACOS(MIN(1,COS(F467*PI()/180)*COS(K467*PI()/180)*COS((J467-E467)*PI()/180)+SIN(F467*PI()/180)*SIN(K467*PI()/180)))</x:f>
        <x:v>82.15331137313247</x:v>
      </x:c>
      <x:c r="M467" s="21" t="n">
        <x:f>L467*'情景参数模板'!$D$31</x:f>
        <x:v>98.58397364775895</x:v>
      </x:c>
      <x:c r="N467" s="21" t="n">
        <x:f>IF(C467="source",'情景参数模板'!$D$12,IF(H467="echelon",'情景参数模板'!$D$13,'情景参数模板'!$D$14))</x:f>
        <x:v>0.49</x:v>
      </x:c>
      <x:c r="O467" s="21" t="n">
        <x:f>IF(C467="source",'情景参数模板'!$D$18,IF(H467="echelon",'情景参数模板'!$D$19,'情景参数模板'!$D$20))</x:f>
        <x:v>400</x:v>
      </x:c>
      <x:c r="P467" s="17" t="n">
        <x:f>IF(M467&lt;=O467,1,0)</x:f>
        <x:v>1</x:v>
      </x:c>
      <x:c r="Q467" s="17" t="str">
        <x:v>D-road proxy; B-coordinates</x:v>
      </x:c>
    </x:row>
    <x:row r="468">
      <x:c r="A468" s="17" t="str">
        <x:v>A0464</x:v>
      </x:c>
      <x:c r="B468" s="17" t="str">
        <x:v>C01</x:v>
      </x:c>
      <x:c r="C468" s="17" t="str">
        <x:v>collection</x:v>
      </x:c>
      <x:c r="D468" s="17" t="str">
        <x:v>广州虚拟回收/检测中心</x:v>
      </x:c>
      <x:c r="E468" s="24" t="n">
        <x:v>113.2589581</x:v>
      </x:c>
      <x:c r="F468" s="24" t="n">
        <x:v>23.1288429</x:v>
      </x:c>
      <x:c r="G468" s="17" t="str">
        <x:v>P21E</x:v>
      </x:c>
      <x:c r="H468" s="17" t="str">
        <x:v>echelon</x:v>
      </x:c>
      <x:c r="I468" s="17" t="str">
        <x:v>广东瑞科美电源技术有限公司（梯次功能）</x:v>
      </x:c>
      <x:c r="J468" s="24" t="n">
        <x:v>113.1159558</x:v>
      </x:c>
      <x:c r="K468" s="24" t="n">
        <x:v>23.0239788</x:v>
      </x:c>
      <x:c r="L468" s="21" t="n">
        <x:f>6371*ACOS(MIN(1,COS(F468*PI()/180)*COS(K468*PI()/180)*COS((J468-E468)*PI()/180)+SIN(F468*PI()/180)*SIN(K468*PI()/180)))</x:f>
        <x:v>18.707342512999915</x:v>
      </x:c>
      <x:c r="M468" s="21" t="n">
        <x:f>L468*'情景参数模板'!$D$31</x:f>
        <x:v>22.448811015599897</x:v>
      </x:c>
      <x:c r="N468" s="21" t="n">
        <x:f>IF(C468="source",'情景参数模板'!$D$12,IF(H468="echelon",'情景参数模板'!$D$13,'情景参数模板'!$D$14))</x:f>
        <x:v>0.49</x:v>
      </x:c>
      <x:c r="O468" s="21" t="n">
        <x:f>IF(C468="source",'情景参数模板'!$D$18,IF(H468="echelon",'情景参数模板'!$D$19,'情景参数模板'!$D$20))</x:f>
        <x:v>300</x:v>
      </x:c>
      <x:c r="P468" s="17" t="n">
        <x:f>IF(M468&lt;=O468,1,0)</x:f>
        <x:v>1</x:v>
      </x:c>
      <x:c r="Q468" s="17" t="str">
        <x:v>D-road proxy; B-coordinates</x:v>
      </x:c>
    </x:row>
    <x:row r="469">
      <x:c r="A469" s="17" t="str">
        <x:v>A0465</x:v>
      </x:c>
      <x:c r="B469" s="17" t="str">
        <x:v>C01</x:v>
      </x:c>
      <x:c r="C469" s="17" t="str">
        <x:v>collection</x:v>
      </x:c>
      <x:c r="D469" s="17" t="str">
        <x:v>广州虚拟回收/检测中心</x:v>
      </x:c>
      <x:c r="E469" s="24" t="n">
        <x:v>113.2589581</x:v>
      </x:c>
      <x:c r="F469" s="24" t="n">
        <x:v>23.1288429</x:v>
      </x:c>
      <x:c r="G469" s="17" t="str">
        <x:v>P21R</x:v>
      </x:c>
      <x:c r="H469" s="17" t="str">
        <x:v>recycling</x:v>
      </x:c>
      <x:c r="I469" s="17" t="str">
        <x:v>广东瑞科美电源技术有限公司（再生功能）</x:v>
      </x:c>
      <x:c r="J469" s="24" t="n">
        <x:v>113.1159558</x:v>
      </x:c>
      <x:c r="K469" s="24" t="n">
        <x:v>23.0239788</x:v>
      </x:c>
      <x:c r="L469" s="21" t="n">
        <x:f>6371*ACOS(MIN(1,COS(F469*PI()/180)*COS(K469*PI()/180)*COS((J469-E469)*PI()/180)+SIN(F469*PI()/180)*SIN(K469*PI()/180)))</x:f>
        <x:v>18.707342512999915</x:v>
      </x:c>
      <x:c r="M469" s="21" t="n">
        <x:f>L469*'情景参数模板'!$D$31</x:f>
        <x:v>22.448811015599897</x:v>
      </x:c>
      <x:c r="N469" s="21" t="n">
        <x:f>IF(C469="source",'情景参数模板'!$D$12,IF(H469="echelon",'情景参数模板'!$D$13,'情景参数模板'!$D$14))</x:f>
        <x:v>0.49</x:v>
      </x:c>
      <x:c r="O469" s="21" t="n">
        <x:f>IF(C469="source",'情景参数模板'!$D$18,IF(H469="echelon",'情景参数模板'!$D$19,'情景参数模板'!$D$20))</x:f>
        <x:v>400</x:v>
      </x:c>
      <x:c r="P469" s="17" t="n">
        <x:f>IF(M469&lt;=O469,1,0)</x:f>
        <x:v>1</x:v>
      </x:c>
      <x:c r="Q469" s="17" t="str">
        <x:v>D-road proxy; B-coordinates</x:v>
      </x:c>
    </x:row>
    <x:row r="470">
      <x:c r="A470" s="17" t="str">
        <x:v>A0466</x:v>
      </x:c>
      <x:c r="B470" s="17" t="str">
        <x:v>C02</x:v>
      </x:c>
      <x:c r="C470" s="17" t="str">
        <x:v>collection</x:v>
      </x:c>
      <x:c r="D470" s="17" t="str">
        <x:v>深圳虚拟回收/检测中心</x:v>
      </x:c>
      <x:c r="E470" s="24" t="n">
        <x:v>114.0545429</x:v>
      </x:c>
      <x:c r="F470" s="24" t="n">
        <x:v>22.5445741</x:v>
      </x:c>
      <x:c r="G470" s="17" t="str">
        <x:v>P01</x:v>
      </x:c>
      <x:c r="H470" s="17" t="str">
        <x:v>recycling</x:v>
      </x:c>
      <x:c r="I470" s="17" t="str">
        <x:v>汕尾比亚迪废旧动力电池回收项目</x:v>
      </x:c>
      <x:c r="J470" s="24" t="n">
        <x:v>115.3492668</x:v>
      </x:c>
      <x:c r="K470" s="24" t="n">
        <x:v>22.838065</x:v>
      </x:c>
      <x:c r="L470" s="21" t="n">
        <x:f>6371*ACOS(MIN(1,COS(F470*PI()/180)*COS(K470*PI()/180)*COS((J470-E470)*PI()/180)+SIN(F470*PI()/180)*SIN(K470*PI()/180)))</x:f>
        <x:v>136.77301383921443</x:v>
      </x:c>
      <x:c r="M470" s="21" t="n">
        <x:f>L470*'情景参数模板'!$D$31</x:f>
        <x:v>164.12761660705732</x:v>
      </x:c>
      <x:c r="N470" s="21" t="n">
        <x:f>IF(C470="source",'情景参数模板'!$D$12,IF(H470="echelon",'情景参数模板'!$D$13,'情景参数模板'!$D$14))</x:f>
        <x:v>0.49</x:v>
      </x:c>
      <x:c r="O470" s="21" t="n">
        <x:f>IF(C470="source",'情景参数模板'!$D$18,IF(H470="echelon",'情景参数模板'!$D$19,'情景参数模板'!$D$20))</x:f>
        <x:v>400</x:v>
      </x:c>
      <x:c r="P470" s="17" t="n">
        <x:f>IF(M470&lt;=O470,1,0)</x:f>
        <x:v>1</x:v>
      </x:c>
      <x:c r="Q470" s="17" t="str">
        <x:v>D-road proxy; B-coordinates</x:v>
      </x:c>
    </x:row>
    <x:row r="471">
      <x:c r="A471" s="17" t="str">
        <x:v>A0467</x:v>
      </x:c>
      <x:c r="B471" s="17" t="str">
        <x:v>C02</x:v>
      </x:c>
      <x:c r="C471" s="17" t="str">
        <x:v>collection</x:v>
      </x:c>
      <x:c r="D471" s="17" t="str">
        <x:v>深圳虚拟回收/检测中心</x:v>
      </x:c>
      <x:c r="E471" s="24" t="n">
        <x:v>114.0545429</x:v>
      </x:c>
      <x:c r="F471" s="24" t="n">
        <x:v>22.5445741</x:v>
      </x:c>
      <x:c r="G471" s="17" t="str">
        <x:v>P02E</x:v>
      </x:c>
      <x:c r="H471" s="17" t="str">
        <x:v>echelon</x:v>
      </x:c>
      <x:c r="I471" s="17" t="str">
        <x:v>广东光华科技股份有限公司（梯次功能）</x:v>
      </x:c>
      <x:c r="J471" s="24" t="n">
        <x:v>116.6775856</x:v>
      </x:c>
      <x:c r="K471" s="24" t="n">
        <x:v>23.3563921</x:v>
      </x:c>
      <x:c r="L471" s="21" t="n">
        <x:f>6371*ACOS(MIN(1,COS(F471*PI()/180)*COS(K471*PI()/180)*COS((J471-E471)*PI()/180)+SIN(F471*PI()/180)*SIN(K471*PI()/180)))</x:f>
        <x:v>283.33857381725</x:v>
      </x:c>
      <x:c r="M471" s="21" t="n">
        <x:f>L471*'情景参数模板'!$D$31</x:f>
        <x:v>340.00628858069996</x:v>
      </x:c>
      <x:c r="N471" s="21" t="n">
        <x:f>IF(C471="source",'情景参数模板'!$D$12,IF(H471="echelon",'情景参数模板'!$D$13,'情景参数模板'!$D$14))</x:f>
        <x:v>0.49</x:v>
      </x:c>
      <x:c r="O471" s="21" t="n">
        <x:f>IF(C471="source",'情景参数模板'!$D$18,IF(H471="echelon",'情景参数模板'!$D$19,'情景参数模板'!$D$20))</x:f>
        <x:v>300</x:v>
      </x:c>
      <x:c r="P471" s="17" t="n">
        <x:f>IF(M471&lt;=O471,1,0)</x:f>
        <x:v>0</x:v>
      </x:c>
      <x:c r="Q471" s="17" t="str">
        <x:v>D-road proxy; B-coordinates</x:v>
      </x:c>
    </x:row>
    <x:row r="472">
      <x:c r="A472" s="17" t="str">
        <x:v>A0468</x:v>
      </x:c>
      <x:c r="B472" s="17" t="str">
        <x:v>C02</x:v>
      </x:c>
      <x:c r="C472" s="17" t="str">
        <x:v>collection</x:v>
      </x:c>
      <x:c r="D472" s="17" t="str">
        <x:v>深圳虚拟回收/检测中心</x:v>
      </x:c>
      <x:c r="E472" s="24" t="n">
        <x:v>114.0545429</x:v>
      </x:c>
      <x:c r="F472" s="24" t="n">
        <x:v>22.5445741</x:v>
      </x:c>
      <x:c r="G472" s="17" t="str">
        <x:v>P02R</x:v>
      </x:c>
      <x:c r="H472" s="17" t="str">
        <x:v>recycling</x:v>
      </x:c>
      <x:c r="I472" s="17" t="str">
        <x:v>广东光华科技股份有限公司（再生功能）</x:v>
      </x:c>
      <x:c r="J472" s="24" t="n">
        <x:v>116.6775856</x:v>
      </x:c>
      <x:c r="K472" s="24" t="n">
        <x:v>23.3563921</x:v>
      </x:c>
      <x:c r="L472" s="21" t="n">
        <x:f>6371*ACOS(MIN(1,COS(F472*PI()/180)*COS(K472*PI()/180)*COS((J472-E472)*PI()/180)+SIN(F472*PI()/180)*SIN(K472*PI()/180)))</x:f>
        <x:v>283.33857381725</x:v>
      </x:c>
      <x:c r="M472" s="21" t="n">
        <x:f>L472*'情景参数模板'!$D$31</x:f>
        <x:v>340.00628858069996</x:v>
      </x:c>
      <x:c r="N472" s="21" t="n">
        <x:f>IF(C472="source",'情景参数模板'!$D$12,IF(H472="echelon",'情景参数模板'!$D$13,'情景参数模板'!$D$14))</x:f>
        <x:v>0.49</x:v>
      </x:c>
      <x:c r="O472" s="21" t="n">
        <x:f>IF(C472="source",'情景参数模板'!$D$18,IF(H472="echelon",'情景参数模板'!$D$19,'情景参数模板'!$D$20))</x:f>
        <x:v>400</x:v>
      </x:c>
      <x:c r="P472" s="17" t="n">
        <x:f>IF(M472&lt;=O472,1,0)</x:f>
        <x:v>1</x:v>
      </x:c>
      <x:c r="Q472" s="17" t="str">
        <x:v>D-road proxy; B-coordinates</x:v>
      </x:c>
    </x:row>
    <x:row r="473">
      <x:c r="A473" s="17" t="str">
        <x:v>A0469</x:v>
      </x:c>
      <x:c r="B473" s="17" t="str">
        <x:v>C02</x:v>
      </x:c>
      <x:c r="C473" s="17" t="str">
        <x:v>collection</x:v>
      </x:c>
      <x:c r="D473" s="17" t="str">
        <x:v>深圳虚拟回收/检测中心</x:v>
      </x:c>
      <x:c r="E473" s="24" t="n">
        <x:v>114.0545429</x:v>
      </x:c>
      <x:c r="F473" s="24" t="n">
        <x:v>22.5445741</x:v>
      </x:c>
      <x:c r="G473" s="17" t="str">
        <x:v>P03</x:v>
      </x:c>
      <x:c r="H473" s="17" t="str">
        <x:v>echelon</x:v>
      </x:c>
      <x:c r="I473" s="17" t="str">
        <x:v>深圳深汕特别合作区乾泰技术有限公司</x:v>
      </x:c>
      <x:c r="J473" s="24" t="n">
        <x:v>115.5099937</x:v>
      </x:c>
      <x:c r="K473" s="24" t="n">
        <x:v>23.0123639</x:v>
      </x:c>
      <x:c r="L473" s="21" t="n">
        <x:f>6371*ACOS(MIN(1,COS(F473*PI()/180)*COS(K473*PI()/180)*COS((J473-E473)*PI()/180)+SIN(F473*PI()/180)*SIN(K473*PI()/180)))</x:f>
        <x:v>158.02187678789332</x:v>
      </x:c>
      <x:c r="M473" s="21" t="n">
        <x:f>L473*'情景参数模板'!$D$31</x:f>
        <x:v>189.62625214547197</x:v>
      </x:c>
      <x:c r="N473" s="21" t="n">
        <x:f>IF(C473="source",'情景参数模板'!$D$12,IF(H473="echelon",'情景参数模板'!$D$13,'情景参数模板'!$D$14))</x:f>
        <x:v>0.49</x:v>
      </x:c>
      <x:c r="O473" s="21" t="n">
        <x:f>IF(C473="source",'情景参数模板'!$D$18,IF(H473="echelon",'情景参数模板'!$D$19,'情景参数模板'!$D$20))</x:f>
        <x:v>300</x:v>
      </x:c>
      <x:c r="P473" s="17" t="n">
        <x:f>IF(M473&lt;=O473,1,0)</x:f>
        <x:v>1</x:v>
      </x:c>
      <x:c r="Q473" s="17" t="str">
        <x:v>D-road proxy; B-coordinates</x:v>
      </x:c>
    </x:row>
    <x:row r="474">
      <x:c r="A474" s="17" t="str">
        <x:v>A0470</x:v>
      </x:c>
      <x:c r="B474" s="17" t="str">
        <x:v>C02</x:v>
      </x:c>
      <x:c r="C474" s="17" t="str">
        <x:v>collection</x:v>
      </x:c>
      <x:c r="D474" s="17" t="str">
        <x:v>深圳虚拟回收/检测中心</x:v>
      </x:c>
      <x:c r="E474" s="24" t="n">
        <x:v>114.0545429</x:v>
      </x:c>
      <x:c r="F474" s="24" t="n">
        <x:v>22.5445741</x:v>
      </x:c>
      <x:c r="G474" s="17" t="str">
        <x:v>P04</x:v>
      </x:c>
      <x:c r="H474" s="17" t="str">
        <x:v>echelon</x:v>
      </x:c>
      <x:c r="I474" s="17" t="str">
        <x:v>珠海中力新能源科技有限公司</x:v>
      </x:c>
      <x:c r="J474" s="24" t="n">
        <x:v>113.5721327</x:v>
      </x:c>
      <x:c r="K474" s="24" t="n">
        <x:v>22.273734</x:v>
      </x:c>
      <x:c r="L474" s="21" t="n">
        <x:f>6371*ACOS(MIN(1,COS(F474*PI()/180)*COS(K474*PI()/180)*COS((J474-E474)*PI()/180)+SIN(F474*PI()/180)*SIN(K474*PI()/180)))</x:f>
        <x:v>58.019114911578654</x:v>
      </x:c>
      <x:c r="M474" s="21" t="n">
        <x:f>L474*'情景参数模板'!$D$31</x:f>
        <x:v>69.62293789389439</x:v>
      </x:c>
      <x:c r="N474" s="21" t="n">
        <x:f>IF(C474="source",'情景参数模板'!$D$12,IF(H474="echelon",'情景参数模板'!$D$13,'情景参数模板'!$D$14))</x:f>
        <x:v>0.49</x:v>
      </x:c>
      <x:c r="O474" s="21" t="n">
        <x:f>IF(C474="source",'情景参数模板'!$D$18,IF(H474="echelon",'情景参数模板'!$D$19,'情景参数模板'!$D$20))</x:f>
        <x:v>300</x:v>
      </x:c>
      <x:c r="P474" s="17" t="n">
        <x:f>IF(M474&lt;=O474,1,0)</x:f>
        <x:v>1</x:v>
      </x:c>
      <x:c r="Q474" s="17" t="str">
        <x:v>D-road proxy; B-coordinates</x:v>
      </x:c>
    </x:row>
    <x:row r="475">
      <x:c r="A475" s="17" t="str">
        <x:v>A0471</x:v>
      </x:c>
      <x:c r="B475" s="17" t="str">
        <x:v>C02</x:v>
      </x:c>
      <x:c r="C475" s="17" t="str">
        <x:v>collection</x:v>
      </x:c>
      <x:c r="D475" s="17" t="str">
        <x:v>深圳虚拟回收/检测中心</x:v>
      </x:c>
      <x:c r="E475" s="24" t="n">
        <x:v>114.0545429</x:v>
      </x:c>
      <x:c r="F475" s="24" t="n">
        <x:v>22.5445741</x:v>
      </x:c>
      <x:c r="G475" s="17" t="str">
        <x:v>P05</x:v>
      </x:c>
      <x:c r="H475" s="17" t="str">
        <x:v>echelon</x:v>
      </x:c>
      <x:c r="I475" s="17" t="str">
        <x:v>惠州市恒创睿能环保科技有限公司</x:v>
      </x:c>
      <x:c r="J475" s="24" t="n">
        <x:v>114.4127007</x:v>
      </x:c>
      <x:c r="K475" s="24" t="n">
        <x:v>23.1125153</x:v>
      </x:c>
      <x:c r="L475" s="21" t="n">
        <x:f>6371*ACOS(MIN(1,COS(F475*PI()/180)*COS(K475*PI()/180)*COS((J475-E475)*PI()/180)+SIN(F475*PI()/180)*SIN(K475*PI()/180)))</x:f>
        <x:v>73.04448557045887</x:v>
      </x:c>
      <x:c r="M475" s="21" t="n">
        <x:f>L475*'情景参数模板'!$D$31</x:f>
        <x:v>87.65338268455065</x:v>
      </x:c>
      <x:c r="N475" s="21" t="n">
        <x:f>IF(C475="source",'情景参数模板'!$D$12,IF(H475="echelon",'情景参数模板'!$D$13,'情景参数模板'!$D$14))</x:f>
        <x:v>0.49</x:v>
      </x:c>
      <x:c r="O475" s="21" t="n">
        <x:f>IF(C475="source",'情景参数模板'!$D$18,IF(H475="echelon",'情景参数模板'!$D$19,'情景参数模板'!$D$20))</x:f>
        <x:v>300</x:v>
      </x:c>
      <x:c r="P475" s="17" t="n">
        <x:f>IF(M475&lt;=O475,1,0)</x:f>
        <x:v>1</x:v>
      </x:c>
      <x:c r="Q475" s="17" t="str">
        <x:v>D-road proxy; B-coordinates</x:v>
      </x:c>
    </x:row>
    <x:row r="476">
      <x:c r="A476" s="17" t="str">
        <x:v>A0472</x:v>
      </x:c>
      <x:c r="B476" s="17" t="str">
        <x:v>C02</x:v>
      </x:c>
      <x:c r="C476" s="17" t="str">
        <x:v>collection</x:v>
      </x:c>
      <x:c r="D476" s="17" t="str">
        <x:v>深圳虚拟回收/检测中心</x:v>
      </x:c>
      <x:c r="E476" s="24" t="n">
        <x:v>114.0545429</x:v>
      </x:c>
      <x:c r="F476" s="24" t="n">
        <x:v>22.5445741</x:v>
      </x:c>
      <x:c r="G476" s="17" t="str">
        <x:v>P06</x:v>
      </x:c>
      <x:c r="H476" s="17" t="str">
        <x:v>echelon</x:v>
      </x:c>
      <x:c r="I476" s="17" t="str">
        <x:v>江门市朗达锂电池有限公司</x:v>
      </x:c>
      <x:c r="J476" s="24" t="n">
        <x:v>113.0761073</x:v>
      </x:c>
      <x:c r="K476" s="24" t="n">
        <x:v>22.5816619</x:v>
      </x:c>
      <x:c r="L476" s="21" t="n">
        <x:f>6371*ACOS(MIN(1,COS(F476*PI()/180)*COS(K476*PI()/180)*COS((J476-E476)*PI()/180)+SIN(F476*PI()/180)*SIN(K476*PI()/180)))</x:f>
        <x:v>100.55388459485556</x:v>
      </x:c>
      <x:c r="M476" s="21" t="n">
        <x:f>L476*'情景参数模板'!$D$31</x:f>
        <x:v>120.66466151382667</x:v>
      </x:c>
      <x:c r="N476" s="21" t="n">
        <x:f>IF(C476="source",'情景参数模板'!$D$12,IF(H476="echelon",'情景参数模板'!$D$13,'情景参数模板'!$D$14))</x:f>
        <x:v>0.49</x:v>
      </x:c>
      <x:c r="O476" s="21" t="n">
        <x:f>IF(C476="source",'情景参数模板'!$D$18,IF(H476="echelon",'情景参数模板'!$D$19,'情景参数模板'!$D$20))</x:f>
        <x:v>300</x:v>
      </x:c>
      <x:c r="P476" s="17" t="n">
        <x:f>IF(M476&lt;=O476,1,0)</x:f>
        <x:v>1</x:v>
      </x:c>
      <x:c r="Q476" s="17" t="str">
        <x:v>D-road proxy; B-coordinates</x:v>
      </x:c>
    </x:row>
    <x:row r="477">
      <x:c r="A477" s="17" t="str">
        <x:v>A0473</x:v>
      </x:c>
      <x:c r="B477" s="17" t="str">
        <x:v>C02</x:v>
      </x:c>
      <x:c r="C477" s="17" t="str">
        <x:v>collection</x:v>
      </x:c>
      <x:c r="D477" s="17" t="str">
        <x:v>深圳虚拟回收/检测中心</x:v>
      </x:c>
      <x:c r="E477" s="24" t="n">
        <x:v>114.0545429</x:v>
      </x:c>
      <x:c r="F477" s="24" t="n">
        <x:v>22.5445741</x:v>
      </x:c>
      <x:c r="G477" s="17" t="str">
        <x:v>P07</x:v>
      </x:c>
      <x:c r="H477" s="17" t="str">
        <x:v>echelon</x:v>
      </x:c>
      <x:c r="I477" s="17" t="str">
        <x:v>广东迪度新能源有限公司</x:v>
      </x:c>
      <x:c r="J477" s="24" t="n">
        <x:v>113.7452332</x:v>
      </x:c>
      <x:c r="K477" s="24" t="n">
        <x:v>23.0183568</x:v>
      </x:c>
      <x:c r="L477" s="21" t="n">
        <x:f>6371*ACOS(MIN(1,COS(F477*PI()/180)*COS(K477*PI()/180)*COS((J477-E477)*PI()/180)+SIN(F477*PI()/180)*SIN(K477*PI()/180)))</x:f>
        <x:v>61.48958054626042</x:v>
      </x:c>
      <x:c r="M477" s="21" t="n">
        <x:f>L477*'情景参数模板'!$D$31</x:f>
        <x:v>73.7874966555125</x:v>
      </x:c>
      <x:c r="N477" s="21" t="n">
        <x:f>IF(C477="source",'情景参数模板'!$D$12,IF(H477="echelon",'情景参数模板'!$D$13,'情景参数模板'!$D$14))</x:f>
        <x:v>0.49</x:v>
      </x:c>
      <x:c r="O477" s="21" t="n">
        <x:f>IF(C477="source",'情景参数模板'!$D$18,IF(H477="echelon",'情景参数模板'!$D$19,'情景参数模板'!$D$20))</x:f>
        <x:v>300</x:v>
      </x:c>
      <x:c r="P477" s="17" t="n">
        <x:f>IF(M477&lt;=O477,1,0)</x:f>
        <x:v>1</x:v>
      </x:c>
      <x:c r="Q477" s="17" t="str">
        <x:v>D-road proxy; B-coordinates</x:v>
      </x:c>
    </x:row>
    <x:row r="478">
      <x:c r="A478" s="17" t="str">
        <x:v>A0474</x:v>
      </x:c>
      <x:c r="B478" s="17" t="str">
        <x:v>C02</x:v>
      </x:c>
      <x:c r="C478" s="17" t="str">
        <x:v>collection</x:v>
      </x:c>
      <x:c r="D478" s="17" t="str">
        <x:v>深圳虚拟回收/检测中心</x:v>
      </x:c>
      <x:c r="E478" s="24" t="n">
        <x:v>114.0545429</x:v>
      </x:c>
      <x:c r="F478" s="24" t="n">
        <x:v>22.5445741</x:v>
      </x:c>
      <x:c r="G478" s="17" t="str">
        <x:v>P08</x:v>
      </x:c>
      <x:c r="H478" s="17" t="str">
        <x:v>echelon</x:v>
      </x:c>
      <x:c r="I478" s="17" t="str">
        <x:v>东莞市博森新能源有限公司</x:v>
      </x:c>
      <x:c r="J478" s="24" t="n">
        <x:v>113.7452332</x:v>
      </x:c>
      <x:c r="K478" s="24" t="n">
        <x:v>23.0183568</x:v>
      </x:c>
      <x:c r="L478" s="21" t="n">
        <x:f>6371*ACOS(MIN(1,COS(F478*PI()/180)*COS(K478*PI()/180)*COS((J478-E478)*PI()/180)+SIN(F478*PI()/180)*SIN(K478*PI()/180)))</x:f>
        <x:v>61.48958054626042</x:v>
      </x:c>
      <x:c r="M478" s="21" t="n">
        <x:f>L478*'情景参数模板'!$D$31</x:f>
        <x:v>73.7874966555125</x:v>
      </x:c>
      <x:c r="N478" s="21" t="n">
        <x:f>IF(C478="source",'情景参数模板'!$D$12,IF(H478="echelon",'情景参数模板'!$D$13,'情景参数模板'!$D$14))</x:f>
        <x:v>0.49</x:v>
      </x:c>
      <x:c r="O478" s="21" t="n">
        <x:f>IF(C478="source",'情景参数模板'!$D$18,IF(H478="echelon",'情景参数模板'!$D$19,'情景参数模板'!$D$20))</x:f>
        <x:v>300</x:v>
      </x:c>
      <x:c r="P478" s="17" t="n">
        <x:f>IF(M478&lt;=O478,1,0)</x:f>
        <x:v>1</x:v>
      </x:c>
      <x:c r="Q478" s="17" t="str">
        <x:v>D-road proxy; B-coordinates</x:v>
      </x:c>
    </x:row>
    <x:row r="479">
      <x:c r="A479" s="17" t="str">
        <x:v>A0475</x:v>
      </x:c>
      <x:c r="B479" s="17" t="str">
        <x:v>C02</x:v>
      </x:c>
      <x:c r="C479" s="17" t="str">
        <x:v>collection</x:v>
      </x:c>
      <x:c r="D479" s="17" t="str">
        <x:v>深圳虚拟回收/检测中心</x:v>
      </x:c>
      <x:c r="E479" s="24" t="n">
        <x:v>114.0545429</x:v>
      </x:c>
      <x:c r="F479" s="24" t="n">
        <x:v>22.5445741</x:v>
      </x:c>
      <x:c r="G479" s="17" t="str">
        <x:v>P09</x:v>
      </x:c>
      <x:c r="H479" s="17" t="str">
        <x:v>echelon</x:v>
      </x:c>
      <x:c r="I479" s="17" t="str">
        <x:v>广东宇阳新能源有限公司</x:v>
      </x:c>
      <x:c r="J479" s="24" t="n">
        <x:v>113.7452332</x:v>
      </x:c>
      <x:c r="K479" s="24" t="n">
        <x:v>23.0183568</x:v>
      </x:c>
      <x:c r="L479" s="21" t="n">
        <x:f>6371*ACOS(MIN(1,COS(F479*PI()/180)*COS(K479*PI()/180)*COS((J479-E479)*PI()/180)+SIN(F479*PI()/180)*SIN(K479*PI()/180)))</x:f>
        <x:v>61.48958054626042</x:v>
      </x:c>
      <x:c r="M479" s="21" t="n">
        <x:f>L479*'情景参数模板'!$D$31</x:f>
        <x:v>73.7874966555125</x:v>
      </x:c>
      <x:c r="N479" s="21" t="n">
        <x:f>IF(C479="source",'情景参数模板'!$D$12,IF(H479="echelon",'情景参数模板'!$D$13,'情景参数模板'!$D$14))</x:f>
        <x:v>0.49</x:v>
      </x:c>
      <x:c r="O479" s="21" t="n">
        <x:f>IF(C479="source",'情景参数模板'!$D$18,IF(H479="echelon",'情景参数模板'!$D$19,'情景参数模板'!$D$20))</x:f>
        <x:v>300</x:v>
      </x:c>
      <x:c r="P479" s="17" t="n">
        <x:f>IF(M479&lt;=O479,1,0)</x:f>
        <x:v>1</x:v>
      </x:c>
      <x:c r="Q479" s="17" t="str">
        <x:v>D-road proxy; B-coordinates</x:v>
      </x:c>
    </x:row>
    <x:row r="480">
      <x:c r="A480" s="17" t="str">
        <x:v>A0476</x:v>
      </x:c>
      <x:c r="B480" s="17" t="str">
        <x:v>C02</x:v>
      </x:c>
      <x:c r="C480" s="17" t="str">
        <x:v>collection</x:v>
      </x:c>
      <x:c r="D480" s="17" t="str">
        <x:v>深圳虚拟回收/检测中心</x:v>
      </x:c>
      <x:c r="E480" s="24" t="n">
        <x:v>114.0545429</x:v>
      </x:c>
      <x:c r="F480" s="24" t="n">
        <x:v>22.5445741</x:v>
      </x:c>
      <x:c r="G480" s="17" t="str">
        <x:v>P10</x:v>
      </x:c>
      <x:c r="H480" s="17" t="str">
        <x:v>echelon</x:v>
      </x:c>
      <x:c r="I480" s="17" t="str">
        <x:v>广州广汽商贸再生资源有限公司</x:v>
      </x:c>
      <x:c r="J480" s="24" t="n">
        <x:v>113.2589581</x:v>
      </x:c>
      <x:c r="K480" s="24" t="n">
        <x:v>23.1288429</x:v>
      </x:c>
      <x:c r="L480" s="21" t="n">
        <x:f>6371*ACOS(MIN(1,COS(F480*PI()/180)*COS(K480*PI()/180)*COS((J480-E480)*PI()/180)+SIN(F480*PI()/180)*SIN(K480*PI()/180)))</x:f>
        <x:v>104.24944100592228</x:v>
      </x:c>
      <x:c r="M480" s="21" t="n">
        <x:f>L480*'情景参数模板'!$D$31</x:f>
        <x:v>125.09932920710673</x:v>
      </x:c>
      <x:c r="N480" s="21" t="n">
        <x:f>IF(C480="source",'情景参数模板'!$D$12,IF(H480="echelon",'情景参数模板'!$D$13,'情景参数模板'!$D$14))</x:f>
        <x:v>0.49</x:v>
      </x:c>
      <x:c r="O480" s="21" t="n">
        <x:f>IF(C480="source",'情景参数模板'!$D$18,IF(H480="echelon",'情景参数模板'!$D$19,'情景参数模板'!$D$20))</x:f>
        <x:v>300</x:v>
      </x:c>
      <x:c r="P480" s="17" t="n">
        <x:f>IF(M480&lt;=O480,1,0)</x:f>
        <x:v>1</x:v>
      </x:c>
      <x:c r="Q480" s="17" t="str">
        <x:v>D-road proxy; B-coordinates</x:v>
      </x:c>
    </x:row>
    <x:row r="481">
      <x:c r="A481" s="17" t="str">
        <x:v>A0477</x:v>
      </x:c>
      <x:c r="B481" s="17" t="str">
        <x:v>C02</x:v>
      </x:c>
      <x:c r="C481" s="17" t="str">
        <x:v>collection</x:v>
      </x:c>
      <x:c r="D481" s="17" t="str">
        <x:v>深圳虚拟回收/检测中心</x:v>
      </x:c>
      <x:c r="E481" s="24" t="n">
        <x:v>114.0545429</x:v>
      </x:c>
      <x:c r="F481" s="24" t="n">
        <x:v>22.5445741</x:v>
      </x:c>
      <x:c r="G481" s="17" t="str">
        <x:v>P11</x:v>
      </x:c>
      <x:c r="H481" s="17" t="str">
        <x:v>echelon</x:v>
      </x:c>
      <x:c r="I481" s="17" t="str">
        <x:v>深圳市杰成镍钴新能源科技有限公司</x:v>
      </x:c>
      <x:c r="J481" s="24" t="n">
        <x:v>114.0545429</x:v>
      </x:c>
      <x:c r="K481" s="24" t="n">
        <x:v>22.5445741</x:v>
      </x:c>
      <x:c r="L481" s="21" t="n">
        <x:f>6371*ACOS(MIN(1,COS(F481*PI()/180)*COS(K481*PI()/180)*COS((J481-E481)*PI()/180)+SIN(F481*PI()/180)*SIN(K481*PI()/180)))</x:f>
        <x:v>0</x:v>
      </x:c>
      <x:c r="M481" s="21" t="n">
        <x:f>L481*'情景参数模板'!$D$31</x:f>
        <x:v>0</x:v>
      </x:c>
      <x:c r="N481" s="21" t="n">
        <x:f>IF(C481="source",'情景参数模板'!$D$12,IF(H481="echelon",'情景参数模板'!$D$13,'情景参数模板'!$D$14))</x:f>
        <x:v>0.49</x:v>
      </x:c>
      <x:c r="O481" s="21" t="n">
        <x:f>IF(C481="source",'情景参数模板'!$D$18,IF(H481="echelon",'情景参数模板'!$D$19,'情景参数模板'!$D$20))</x:f>
        <x:v>300</x:v>
      </x:c>
      <x:c r="P481" s="17" t="n">
        <x:f>IF(M481&lt;=O481,1,0)</x:f>
        <x:v>1</x:v>
      </x:c>
      <x:c r="Q481" s="17" t="str">
        <x:v>D-road proxy; B-coordinates</x:v>
      </x:c>
    </x:row>
    <x:row r="482">
      <x:c r="A482" s="17" t="str">
        <x:v>A0478</x:v>
      </x:c>
      <x:c r="B482" s="17" t="str">
        <x:v>C02</x:v>
      </x:c>
      <x:c r="C482" s="17" t="str">
        <x:v>collection</x:v>
      </x:c>
      <x:c r="D482" s="17" t="str">
        <x:v>深圳虚拟回收/检测中心</x:v>
      </x:c>
      <x:c r="E482" s="24" t="n">
        <x:v>114.0545429</x:v>
      </x:c>
      <x:c r="F482" s="24" t="n">
        <x:v>22.5445741</x:v>
      </x:c>
      <x:c r="G482" s="17" t="str">
        <x:v>P12</x:v>
      </x:c>
      <x:c r="H482" s="17" t="str">
        <x:v>recycling</x:v>
      </x:c>
      <x:c r="I482" s="17" t="str">
        <x:v>江门市恒创睿能环保科技有限公司</x:v>
      </x:c>
      <x:c r="J482" s="24" t="n">
        <x:v>113.0761073</x:v>
      </x:c>
      <x:c r="K482" s="24" t="n">
        <x:v>22.5816619</x:v>
      </x:c>
      <x:c r="L482" s="21" t="n">
        <x:f>6371*ACOS(MIN(1,COS(F482*PI()/180)*COS(K482*PI()/180)*COS((J482-E482)*PI()/180)+SIN(F482*PI()/180)*SIN(K482*PI()/180)))</x:f>
        <x:v>100.55388459485556</x:v>
      </x:c>
      <x:c r="M482" s="21" t="n">
        <x:f>L482*'情景参数模板'!$D$31</x:f>
        <x:v>120.66466151382667</x:v>
      </x:c>
      <x:c r="N482" s="21" t="n">
        <x:f>IF(C482="source",'情景参数模板'!$D$12,IF(H482="echelon",'情景参数模板'!$D$13,'情景参数模板'!$D$14))</x:f>
        <x:v>0.49</x:v>
      </x:c>
      <x:c r="O482" s="21" t="n">
        <x:f>IF(C482="source",'情景参数模板'!$D$18,IF(H482="echelon",'情景参数模板'!$D$19,'情景参数模板'!$D$20))</x:f>
        <x:v>400</x:v>
      </x:c>
      <x:c r="P482" s="17" t="n">
        <x:f>IF(M482&lt;=O482,1,0)</x:f>
        <x:v>1</x:v>
      </x:c>
      <x:c r="Q482" s="17" t="str">
        <x:v>D-road proxy; B-coordinates</x:v>
      </x:c>
    </x:row>
    <x:row r="483">
      <x:c r="A483" s="17" t="str">
        <x:v>A0479</x:v>
      </x:c>
      <x:c r="B483" s="17" t="str">
        <x:v>C02</x:v>
      </x:c>
      <x:c r="C483" s="17" t="str">
        <x:v>collection</x:v>
      </x:c>
      <x:c r="D483" s="17" t="str">
        <x:v>深圳虚拟回收/检测中心</x:v>
      </x:c>
      <x:c r="E483" s="24" t="n">
        <x:v>114.0545429</x:v>
      </x:c>
      <x:c r="F483" s="24" t="n">
        <x:v>22.5445741</x:v>
      </x:c>
      <x:c r="G483" s="17" t="str">
        <x:v>P13</x:v>
      </x:c>
      <x:c r="H483" s="17" t="str">
        <x:v>recycling</x:v>
      </x:c>
      <x:c r="I483" s="17" t="str">
        <x:v>广东佳纳能源科技有限公司</x:v>
      </x:c>
      <x:c r="J483" s="24" t="n">
        <x:v>113.0505994</x:v>
      </x:c>
      <x:c r="K483" s="24" t="n">
        <x:v>23.6832984</x:v>
      </x:c>
      <x:c r="L483" s="21" t="n">
        <x:f>6371*ACOS(MIN(1,COS(F483*PI()/180)*COS(K483*PI()/180)*COS((J483-E483)*PI()/180)+SIN(F483*PI()/180)*SIN(K483*PI()/180)))</x:f>
        <x:v>163.01445483081335</x:v>
      </x:c>
      <x:c r="M483" s="21" t="n">
        <x:f>L483*'情景参数模板'!$D$31</x:f>
        <x:v>195.61734579697602</x:v>
      </x:c>
      <x:c r="N483" s="21" t="n">
        <x:f>IF(C483="source",'情景参数模板'!$D$12,IF(H483="echelon",'情景参数模板'!$D$13,'情景参数模板'!$D$14))</x:f>
        <x:v>0.49</x:v>
      </x:c>
      <x:c r="O483" s="21" t="n">
        <x:f>IF(C483="source",'情景参数模板'!$D$18,IF(H483="echelon",'情景参数模板'!$D$19,'情景参数模板'!$D$20))</x:f>
        <x:v>400</x:v>
      </x:c>
      <x:c r="P483" s="17" t="n">
        <x:f>IF(M483&lt;=O483,1,0)</x:f>
        <x:v>1</x:v>
      </x:c>
      <x:c r="Q483" s="17" t="str">
        <x:v>D-road proxy; B-coordinates</x:v>
      </x:c>
    </x:row>
    <x:row r="484">
      <x:c r="A484" s="17" t="str">
        <x:v>A0480</x:v>
      </x:c>
      <x:c r="B484" s="17" t="str">
        <x:v>C02</x:v>
      </x:c>
      <x:c r="C484" s="17" t="str">
        <x:v>collection</x:v>
      </x:c>
      <x:c r="D484" s="17" t="str">
        <x:v>深圳虚拟回收/检测中心</x:v>
      </x:c>
      <x:c r="E484" s="24" t="n">
        <x:v>114.0545429</x:v>
      </x:c>
      <x:c r="F484" s="24" t="n">
        <x:v>22.5445741</x:v>
      </x:c>
      <x:c r="G484" s="17" t="str">
        <x:v>P14</x:v>
      </x:c>
      <x:c r="H484" s="17" t="str">
        <x:v>echelon</x:v>
      </x:c>
      <x:c r="I484" s="17" t="str">
        <x:v>格林美（深圳）循环科技有限公司</x:v>
      </x:c>
      <x:c r="J484" s="24" t="n">
        <x:v>114.0545429</x:v>
      </x:c>
      <x:c r="K484" s="24" t="n">
        <x:v>22.5445741</x:v>
      </x:c>
      <x:c r="L484" s="21" t="n">
        <x:f>6371*ACOS(MIN(1,COS(F484*PI()/180)*COS(K484*PI()/180)*COS((J484-E484)*PI()/180)+SIN(F484*PI()/180)*SIN(K484*PI()/180)))</x:f>
        <x:v>0</x:v>
      </x:c>
      <x:c r="M484" s="21" t="n">
        <x:f>L484*'情景参数模板'!$D$31</x:f>
        <x:v>0</x:v>
      </x:c>
      <x:c r="N484" s="21" t="n">
        <x:f>IF(C484="source",'情景参数模板'!$D$12,IF(H484="echelon",'情景参数模板'!$D$13,'情景参数模板'!$D$14))</x:f>
        <x:v>0.49</x:v>
      </x:c>
      <x:c r="O484" s="21" t="n">
        <x:f>IF(C484="source",'情景参数模板'!$D$18,IF(H484="echelon",'情景参数模板'!$D$19,'情景参数模板'!$D$20))</x:f>
        <x:v>300</x:v>
      </x:c>
      <x:c r="P484" s="17" t="n">
        <x:f>IF(M484&lt;=O484,1,0)</x:f>
        <x:v>1</x:v>
      </x:c>
      <x:c r="Q484" s="17" t="str">
        <x:v>D-road proxy; B-coordinates</x:v>
      </x:c>
    </x:row>
    <x:row r="485">
      <x:c r="A485" s="17" t="str">
        <x:v>A0481</x:v>
      </x:c>
      <x:c r="B485" s="17" t="str">
        <x:v>C02</x:v>
      </x:c>
      <x:c r="C485" s="17" t="str">
        <x:v>collection</x:v>
      </x:c>
      <x:c r="D485" s="17" t="str">
        <x:v>深圳虚拟回收/检测中心</x:v>
      </x:c>
      <x:c r="E485" s="24" t="n">
        <x:v>114.0545429</x:v>
      </x:c>
      <x:c r="F485" s="24" t="n">
        <x:v>22.5445741</x:v>
      </x:c>
      <x:c r="G485" s="17" t="str">
        <x:v>P15</x:v>
      </x:c>
      <x:c r="H485" s="17" t="str">
        <x:v>echelon</x:v>
      </x:c>
      <x:c r="I485" s="17" t="str">
        <x:v>绿循新能源科技（佛山）有限责任公司</x:v>
      </x:c>
      <x:c r="J485" s="24" t="n">
        <x:v>113.1159558</x:v>
      </x:c>
      <x:c r="K485" s="24" t="n">
        <x:v>23.0239788</x:v>
      </x:c>
      <x:c r="L485" s="21" t="n">
        <x:f>6371*ACOS(MIN(1,COS(F485*PI()/180)*COS(K485*PI()/180)*COS((J485-E485)*PI()/180)+SIN(F485*PI()/180)*SIN(K485*PI()/180)))</x:f>
        <x:v>110.00140131744698</x:v>
      </x:c>
      <x:c r="M485" s="21" t="n">
        <x:f>L485*'情景参数模板'!$D$31</x:f>
        <x:v>132.00168158093638</x:v>
      </x:c>
      <x:c r="N485" s="21" t="n">
        <x:f>IF(C485="source",'情景参数模板'!$D$12,IF(H485="echelon",'情景参数模板'!$D$13,'情景参数模板'!$D$14))</x:f>
        <x:v>0.49</x:v>
      </x:c>
      <x:c r="O485" s="21" t="n">
        <x:f>IF(C485="source",'情景参数模板'!$D$18,IF(H485="echelon",'情景参数模板'!$D$19,'情景参数模板'!$D$20))</x:f>
        <x:v>300</x:v>
      </x:c>
      <x:c r="P485" s="17" t="n">
        <x:f>IF(M485&lt;=O485,1,0)</x:f>
        <x:v>1</x:v>
      </x:c>
      <x:c r="Q485" s="17" t="str">
        <x:v>D-road proxy; B-coordinates</x:v>
      </x:c>
    </x:row>
    <x:row r="486">
      <x:c r="A486" s="17" t="str">
        <x:v>A0482</x:v>
      </x:c>
      <x:c r="B486" s="17" t="str">
        <x:v>C02</x:v>
      </x:c>
      <x:c r="C486" s="17" t="str">
        <x:v>collection</x:v>
      </x:c>
      <x:c r="D486" s="17" t="str">
        <x:v>深圳虚拟回收/检测中心</x:v>
      </x:c>
      <x:c r="E486" s="24" t="n">
        <x:v>114.0545429</x:v>
      </x:c>
      <x:c r="F486" s="24" t="n">
        <x:v>22.5445741</x:v>
      </x:c>
      <x:c r="G486" s="17" t="str">
        <x:v>P16</x:v>
      </x:c>
      <x:c r="H486" s="17" t="str">
        <x:v>echelon</x:v>
      </x:c>
      <x:c r="I486" s="17" t="str">
        <x:v>深圳艾云动智慧科技有限公司</x:v>
      </x:c>
      <x:c r="J486" s="24" t="n">
        <x:v>114.0545429</x:v>
      </x:c>
      <x:c r="K486" s="24" t="n">
        <x:v>22.5445741</x:v>
      </x:c>
      <x:c r="L486" s="21" t="n">
        <x:f>6371*ACOS(MIN(1,COS(F486*PI()/180)*COS(K486*PI()/180)*COS((J486-E486)*PI()/180)+SIN(F486*PI()/180)*SIN(K486*PI()/180)))</x:f>
        <x:v>0</x:v>
      </x:c>
      <x:c r="M486" s="21" t="n">
        <x:f>L486*'情景参数模板'!$D$31</x:f>
        <x:v>0</x:v>
      </x:c>
      <x:c r="N486" s="21" t="n">
        <x:f>IF(C486="source",'情景参数模板'!$D$12,IF(H486="echelon",'情景参数模板'!$D$13,'情景参数模板'!$D$14))</x:f>
        <x:v>0.49</x:v>
      </x:c>
      <x:c r="O486" s="21" t="n">
        <x:f>IF(C486="source",'情景参数模板'!$D$18,IF(H486="echelon",'情景参数模板'!$D$19,'情景参数模板'!$D$20))</x:f>
        <x:v>300</x:v>
      </x:c>
      <x:c r="P486" s="17" t="n">
        <x:f>IF(M486&lt;=O486,1,0)</x:f>
        <x:v>1</x:v>
      </x:c>
      <x:c r="Q486" s="17" t="str">
        <x:v>D-road proxy; B-coordinates</x:v>
      </x:c>
    </x:row>
    <x:row r="487">
      <x:c r="A487" s="17" t="str">
        <x:v>A0483</x:v>
      </x:c>
      <x:c r="B487" s="17" t="str">
        <x:v>C02</x:v>
      </x:c>
      <x:c r="C487" s="17" t="str">
        <x:v>collection</x:v>
      </x:c>
      <x:c r="D487" s="17" t="str">
        <x:v>深圳虚拟回收/检测中心</x:v>
      </x:c>
      <x:c r="E487" s="24" t="n">
        <x:v>114.0545429</x:v>
      </x:c>
      <x:c r="F487" s="24" t="n">
        <x:v>22.5445741</x:v>
      </x:c>
      <x:c r="G487" s="17" t="str">
        <x:v>P17</x:v>
      </x:c>
      <x:c r="H487" s="17" t="str">
        <x:v>echelon</x:v>
      </x:c>
      <x:c r="I487" s="17" t="str">
        <x:v>深圳市荣高晟新能源科技有限公司</x:v>
      </x:c>
      <x:c r="J487" s="24" t="n">
        <x:v>114.0545429</x:v>
      </x:c>
      <x:c r="K487" s="24" t="n">
        <x:v>22.5445741</x:v>
      </x:c>
      <x:c r="L487" s="21" t="n">
        <x:f>6371*ACOS(MIN(1,COS(F487*PI()/180)*COS(K487*PI()/180)*COS((J487-E487)*PI()/180)+SIN(F487*PI()/180)*SIN(K487*PI()/180)))</x:f>
        <x:v>0</x:v>
      </x:c>
      <x:c r="M487" s="21" t="n">
        <x:f>L487*'情景参数模板'!$D$31</x:f>
        <x:v>0</x:v>
      </x:c>
      <x:c r="N487" s="21" t="n">
        <x:f>IF(C487="source",'情景参数模板'!$D$12,IF(H487="echelon",'情景参数模板'!$D$13,'情景参数模板'!$D$14))</x:f>
        <x:v>0.49</x:v>
      </x:c>
      <x:c r="O487" s="21" t="n">
        <x:f>IF(C487="source",'情景参数模板'!$D$18,IF(H487="echelon",'情景参数模板'!$D$19,'情景参数模板'!$D$20))</x:f>
        <x:v>300</x:v>
      </x:c>
      <x:c r="P487" s="17" t="n">
        <x:f>IF(M487&lt;=O487,1,0)</x:f>
        <x:v>1</x:v>
      </x:c>
      <x:c r="Q487" s="17" t="str">
        <x:v>D-road proxy; B-coordinates</x:v>
      </x:c>
    </x:row>
    <x:row r="488">
      <x:c r="A488" s="17" t="str">
        <x:v>A0484</x:v>
      </x:c>
      <x:c r="B488" s="17" t="str">
        <x:v>C02</x:v>
      </x:c>
      <x:c r="C488" s="17" t="str">
        <x:v>collection</x:v>
      </x:c>
      <x:c r="D488" s="17" t="str">
        <x:v>深圳虚拟回收/检测中心</x:v>
      </x:c>
      <x:c r="E488" s="24" t="n">
        <x:v>114.0545429</x:v>
      </x:c>
      <x:c r="F488" s="24" t="n">
        <x:v>22.5445741</x:v>
      </x:c>
      <x:c r="G488" s="17" t="str">
        <x:v>P18</x:v>
      </x:c>
      <x:c r="H488" s="17" t="str">
        <x:v>echelon</x:v>
      </x:c>
      <x:c r="I488" s="17" t="str">
        <x:v>中商锂新能源科技（惠州）有限公司</x:v>
      </x:c>
      <x:c r="J488" s="24" t="n">
        <x:v>114.4127007</x:v>
      </x:c>
      <x:c r="K488" s="24" t="n">
        <x:v>23.1125153</x:v>
      </x:c>
      <x:c r="L488" s="21" t="n">
        <x:f>6371*ACOS(MIN(1,COS(F488*PI()/180)*COS(K488*PI()/180)*COS((J488-E488)*PI()/180)+SIN(F488*PI()/180)*SIN(K488*PI()/180)))</x:f>
        <x:v>73.04448557045887</x:v>
      </x:c>
      <x:c r="M488" s="21" t="n">
        <x:f>L488*'情景参数模板'!$D$31</x:f>
        <x:v>87.65338268455065</x:v>
      </x:c>
      <x:c r="N488" s="21" t="n">
        <x:f>IF(C488="source",'情景参数模板'!$D$12,IF(H488="echelon",'情景参数模板'!$D$13,'情景参数模板'!$D$14))</x:f>
        <x:v>0.49</x:v>
      </x:c>
      <x:c r="O488" s="21" t="n">
        <x:f>IF(C488="source",'情景参数模板'!$D$18,IF(H488="echelon",'情景参数模板'!$D$19,'情景参数模板'!$D$20))</x:f>
        <x:v>300</x:v>
      </x:c>
      <x:c r="P488" s="17" t="n">
        <x:f>IF(M488&lt;=O488,1,0)</x:f>
        <x:v>1</x:v>
      </x:c>
      <x:c r="Q488" s="17" t="str">
        <x:v>D-road proxy; B-coordinates</x:v>
      </x:c>
    </x:row>
    <x:row r="489">
      <x:c r="A489" s="17" t="str">
        <x:v>A0485</x:v>
      </x:c>
      <x:c r="B489" s="17" t="str">
        <x:v>C02</x:v>
      </x:c>
      <x:c r="C489" s="17" t="str">
        <x:v>collection</x:v>
      </x:c>
      <x:c r="D489" s="17" t="str">
        <x:v>深圳虚拟回收/检测中心</x:v>
      </x:c>
      <x:c r="E489" s="24" t="n">
        <x:v>114.0545429</x:v>
      </x:c>
      <x:c r="F489" s="24" t="n">
        <x:v>22.5445741</x:v>
      </x:c>
      <x:c r="G489" s="17" t="str">
        <x:v>P19</x:v>
      </x:c>
      <x:c r="H489" s="17" t="str">
        <x:v>recycling</x:v>
      </x:c>
      <x:c r="I489" s="17" t="str">
        <x:v>广东盛祥新材料科技有限公司</x:v>
      </x:c>
      <x:c r="J489" s="24" t="n">
        <x:v>113.8155263</x:v>
      </x:c>
      <x:c r="K489" s="24" t="n">
        <x:v>24.8309489</x:v>
      </x:c>
      <x:c r="L489" s="21" t="n">
        <x:f>6371*ACOS(MIN(1,COS(F489*PI()/180)*COS(K489*PI()/180)*COS((J489-E489)*PI()/180)+SIN(F489*PI()/180)*SIN(K489*PI()/180)))</x:f>
        <x:v>255.39535166591816</x:v>
      </x:c>
      <x:c r="M489" s="21" t="n">
        <x:f>L489*'情景参数模板'!$D$31</x:f>
        <x:v>306.47442199910176</x:v>
      </x:c>
      <x:c r="N489" s="21" t="n">
        <x:f>IF(C489="source",'情景参数模板'!$D$12,IF(H489="echelon",'情景参数模板'!$D$13,'情景参数模板'!$D$14))</x:f>
        <x:v>0.49</x:v>
      </x:c>
      <x:c r="O489" s="21" t="n">
        <x:f>IF(C489="source",'情景参数模板'!$D$18,IF(H489="echelon",'情景参数模板'!$D$19,'情景参数模板'!$D$20))</x:f>
        <x:v>400</x:v>
      </x:c>
      <x:c r="P489" s="17" t="n">
        <x:f>IF(M489&lt;=O489,1,0)</x:f>
        <x:v>1</x:v>
      </x:c>
      <x:c r="Q489" s="17" t="str">
        <x:v>D-road proxy; B-coordinates</x:v>
      </x:c>
    </x:row>
    <x:row r="490">
      <x:c r="A490" s="17" t="str">
        <x:v>A0486</x:v>
      </x:c>
      <x:c r="B490" s="17" t="str">
        <x:v>C02</x:v>
      </x:c>
      <x:c r="C490" s="17" t="str">
        <x:v>collection</x:v>
      </x:c>
      <x:c r="D490" s="17" t="str">
        <x:v>深圳虚拟回收/检测中心</x:v>
      </x:c>
      <x:c r="E490" s="24" t="n">
        <x:v>114.0545429</x:v>
      </x:c>
      <x:c r="F490" s="24" t="n">
        <x:v>22.5445741</x:v>
      </x:c>
      <x:c r="G490" s="17" t="str">
        <x:v>P20E</x:v>
      </x:c>
      <x:c r="H490" s="17" t="str">
        <x:v>echelon</x:v>
      </x:c>
      <x:c r="I490" s="17" t="str">
        <x:v>广东金晟新能源股份有限公司（梯次功能）</x:v>
      </x:c>
      <x:c r="J490" s="24" t="n">
        <x:v>112.4603629</x:v>
      </x:c>
      <x:c r="K490" s="24" t="n">
        <x:v>23.0501661</x:v>
      </x:c>
      <x:c r="L490" s="21" t="n">
        <x:f>6371*ACOS(MIN(1,COS(F490*PI()/180)*COS(K490*PI()/180)*COS((J490-E490)*PI()/180)+SIN(F490*PI()/180)*SIN(K490*PI()/180)))</x:f>
        <x:v>172.815477677631</x:v>
      </x:c>
      <x:c r="M490" s="21" t="n">
        <x:f>L490*'情景参数模板'!$D$31</x:f>
        <x:v>207.3785732131572</x:v>
      </x:c>
      <x:c r="N490" s="21" t="n">
        <x:f>IF(C490="source",'情景参数模板'!$D$12,IF(H490="echelon",'情景参数模板'!$D$13,'情景参数模板'!$D$14))</x:f>
        <x:v>0.49</x:v>
      </x:c>
      <x:c r="O490" s="21" t="n">
        <x:f>IF(C490="source",'情景参数模板'!$D$18,IF(H490="echelon",'情景参数模板'!$D$19,'情景参数模板'!$D$20))</x:f>
        <x:v>300</x:v>
      </x:c>
      <x:c r="P490" s="17" t="n">
        <x:f>IF(M490&lt;=O490,1,0)</x:f>
        <x:v>1</x:v>
      </x:c>
      <x:c r="Q490" s="17" t="str">
        <x:v>D-road proxy; B-coordinates</x:v>
      </x:c>
    </x:row>
    <x:row r="491">
      <x:c r="A491" s="17" t="str">
        <x:v>A0487</x:v>
      </x:c>
      <x:c r="B491" s="17" t="str">
        <x:v>C02</x:v>
      </x:c>
      <x:c r="C491" s="17" t="str">
        <x:v>collection</x:v>
      </x:c>
      <x:c r="D491" s="17" t="str">
        <x:v>深圳虚拟回收/检测中心</x:v>
      </x:c>
      <x:c r="E491" s="24" t="n">
        <x:v>114.0545429</x:v>
      </x:c>
      <x:c r="F491" s="24" t="n">
        <x:v>22.5445741</x:v>
      </x:c>
      <x:c r="G491" s="17" t="str">
        <x:v>P20R</x:v>
      </x:c>
      <x:c r="H491" s="17" t="str">
        <x:v>recycling</x:v>
      </x:c>
      <x:c r="I491" s="17" t="str">
        <x:v>广东金晟新能源股份有限公司（再生功能）</x:v>
      </x:c>
      <x:c r="J491" s="24" t="n">
        <x:v>112.4603629</x:v>
      </x:c>
      <x:c r="K491" s="24" t="n">
        <x:v>23.0501661</x:v>
      </x:c>
      <x:c r="L491" s="21" t="n">
        <x:f>6371*ACOS(MIN(1,COS(F491*PI()/180)*COS(K491*PI()/180)*COS((J491-E491)*PI()/180)+SIN(F491*PI()/180)*SIN(K491*PI()/180)))</x:f>
        <x:v>172.815477677631</x:v>
      </x:c>
      <x:c r="M491" s="21" t="n">
        <x:f>L491*'情景参数模板'!$D$31</x:f>
        <x:v>207.3785732131572</x:v>
      </x:c>
      <x:c r="N491" s="21" t="n">
        <x:f>IF(C491="source",'情景参数模板'!$D$12,IF(H491="echelon",'情景参数模板'!$D$13,'情景参数模板'!$D$14))</x:f>
        <x:v>0.49</x:v>
      </x:c>
      <x:c r="O491" s="21" t="n">
        <x:f>IF(C491="source",'情景参数模板'!$D$18,IF(H491="echelon",'情景参数模板'!$D$19,'情景参数模板'!$D$20))</x:f>
        <x:v>400</x:v>
      </x:c>
      <x:c r="P491" s="17" t="n">
        <x:f>IF(M491&lt;=O491,1,0)</x:f>
        <x:v>1</x:v>
      </x:c>
      <x:c r="Q491" s="17" t="str">
        <x:v>D-road proxy; B-coordinates</x:v>
      </x:c>
    </x:row>
    <x:row r="492">
      <x:c r="A492" s="17" t="str">
        <x:v>A0488</x:v>
      </x:c>
      <x:c r="B492" s="17" t="str">
        <x:v>C02</x:v>
      </x:c>
      <x:c r="C492" s="17" t="str">
        <x:v>collection</x:v>
      </x:c>
      <x:c r="D492" s="17" t="str">
        <x:v>深圳虚拟回收/检测中心</x:v>
      </x:c>
      <x:c r="E492" s="24" t="n">
        <x:v>114.0545429</x:v>
      </x:c>
      <x:c r="F492" s="24" t="n">
        <x:v>22.5445741</x:v>
      </x:c>
      <x:c r="G492" s="17" t="str">
        <x:v>P21E</x:v>
      </x:c>
      <x:c r="H492" s="17" t="str">
        <x:v>echelon</x:v>
      </x:c>
      <x:c r="I492" s="17" t="str">
        <x:v>广东瑞科美电源技术有限公司（梯次功能）</x:v>
      </x:c>
      <x:c r="J492" s="24" t="n">
        <x:v>113.1159558</x:v>
      </x:c>
      <x:c r="K492" s="24" t="n">
        <x:v>23.0239788</x:v>
      </x:c>
      <x:c r="L492" s="21" t="n">
        <x:f>6371*ACOS(MIN(1,COS(F492*PI()/180)*COS(K492*PI()/180)*COS((J492-E492)*PI()/180)+SIN(F492*PI()/180)*SIN(K492*PI()/180)))</x:f>
        <x:v>110.00140131744698</x:v>
      </x:c>
      <x:c r="M492" s="21" t="n">
        <x:f>L492*'情景参数模板'!$D$31</x:f>
        <x:v>132.00168158093638</x:v>
      </x:c>
      <x:c r="N492" s="21" t="n">
        <x:f>IF(C492="source",'情景参数模板'!$D$12,IF(H492="echelon",'情景参数模板'!$D$13,'情景参数模板'!$D$14))</x:f>
        <x:v>0.49</x:v>
      </x:c>
      <x:c r="O492" s="21" t="n">
        <x:f>IF(C492="source",'情景参数模板'!$D$18,IF(H492="echelon",'情景参数模板'!$D$19,'情景参数模板'!$D$20))</x:f>
        <x:v>300</x:v>
      </x:c>
      <x:c r="P492" s="17" t="n">
        <x:f>IF(M492&lt;=O492,1,0)</x:f>
        <x:v>1</x:v>
      </x:c>
      <x:c r="Q492" s="17" t="str">
        <x:v>D-road proxy; B-coordinates</x:v>
      </x:c>
    </x:row>
    <x:row r="493">
      <x:c r="A493" s="17" t="str">
        <x:v>A0489</x:v>
      </x:c>
      <x:c r="B493" s="17" t="str">
        <x:v>C02</x:v>
      </x:c>
      <x:c r="C493" s="17" t="str">
        <x:v>collection</x:v>
      </x:c>
      <x:c r="D493" s="17" t="str">
        <x:v>深圳虚拟回收/检测中心</x:v>
      </x:c>
      <x:c r="E493" s="24" t="n">
        <x:v>114.0545429</x:v>
      </x:c>
      <x:c r="F493" s="24" t="n">
        <x:v>22.5445741</x:v>
      </x:c>
      <x:c r="G493" s="17" t="str">
        <x:v>P21R</x:v>
      </x:c>
      <x:c r="H493" s="17" t="str">
        <x:v>recycling</x:v>
      </x:c>
      <x:c r="I493" s="17" t="str">
        <x:v>广东瑞科美电源技术有限公司（再生功能）</x:v>
      </x:c>
      <x:c r="J493" s="24" t="n">
        <x:v>113.1159558</x:v>
      </x:c>
      <x:c r="K493" s="24" t="n">
        <x:v>23.0239788</x:v>
      </x:c>
      <x:c r="L493" s="21" t="n">
        <x:f>6371*ACOS(MIN(1,COS(F493*PI()/180)*COS(K493*PI()/180)*COS((J493-E493)*PI()/180)+SIN(F493*PI()/180)*SIN(K493*PI()/180)))</x:f>
        <x:v>110.00140131744698</x:v>
      </x:c>
      <x:c r="M493" s="21" t="n">
        <x:f>L493*'情景参数模板'!$D$31</x:f>
        <x:v>132.00168158093638</x:v>
      </x:c>
      <x:c r="N493" s="21" t="n">
        <x:f>IF(C493="source",'情景参数模板'!$D$12,IF(H493="echelon",'情景参数模板'!$D$13,'情景参数模板'!$D$14))</x:f>
        <x:v>0.49</x:v>
      </x:c>
      <x:c r="O493" s="21" t="n">
        <x:f>IF(C493="source",'情景参数模板'!$D$18,IF(H493="echelon",'情景参数模板'!$D$19,'情景参数模板'!$D$20))</x:f>
        <x:v>400</x:v>
      </x:c>
      <x:c r="P493" s="17" t="n">
        <x:f>IF(M493&lt;=O493,1,0)</x:f>
        <x:v>1</x:v>
      </x:c>
      <x:c r="Q493" s="17" t="str">
        <x:v>D-road proxy; B-coordinates</x:v>
      </x:c>
    </x:row>
    <x:row r="494">
      <x:c r="A494" s="17" t="str">
        <x:v>A0490</x:v>
      </x:c>
      <x:c r="B494" s="17" t="str">
        <x:v>C03</x:v>
      </x:c>
      <x:c r="C494" s="17" t="str">
        <x:v>collection</x:v>
      </x:c>
      <x:c r="D494" s="17" t="str">
        <x:v>珠海虚拟回收/检测中心</x:v>
      </x:c>
      <x:c r="E494" s="24" t="n">
        <x:v>113.5721327</x:v>
      </x:c>
      <x:c r="F494" s="24" t="n">
        <x:v>22.273734</x:v>
      </x:c>
      <x:c r="G494" s="17" t="str">
        <x:v>P01</x:v>
      </x:c>
      <x:c r="H494" s="17" t="str">
        <x:v>recycling</x:v>
      </x:c>
      <x:c r="I494" s="17" t="str">
        <x:v>汕尾比亚迪废旧动力电池回收项目</x:v>
      </x:c>
      <x:c r="J494" s="24" t="n">
        <x:v>115.3492668</x:v>
      </x:c>
      <x:c r="K494" s="24" t="n">
        <x:v>22.838065</x:v>
      </x:c>
      <x:c r="L494" s="21" t="n">
        <x:f>6371*ACOS(MIN(1,COS(F494*PI()/180)*COS(K494*PI()/180)*COS((J494-E494)*PI()/180)+SIN(F494*PI()/180)*SIN(K494*PI()/180)))</x:f>
        <x:v>192.9775336831328</x:v>
      </x:c>
      <x:c r="M494" s="21" t="n">
        <x:f>L494*'情景参数模板'!$D$31</x:f>
        <x:v>231.57304041975937</x:v>
      </x:c>
      <x:c r="N494" s="21" t="n">
        <x:f>IF(C494="source",'情景参数模板'!$D$12,IF(H494="echelon",'情景参数模板'!$D$13,'情景参数模板'!$D$14))</x:f>
        <x:v>0.49</x:v>
      </x:c>
      <x:c r="O494" s="21" t="n">
        <x:f>IF(C494="source",'情景参数模板'!$D$18,IF(H494="echelon",'情景参数模板'!$D$19,'情景参数模板'!$D$20))</x:f>
        <x:v>400</x:v>
      </x:c>
      <x:c r="P494" s="17" t="n">
        <x:f>IF(M494&lt;=O494,1,0)</x:f>
        <x:v>1</x:v>
      </x:c>
      <x:c r="Q494" s="17" t="str">
        <x:v>D-road proxy; B-coordinates</x:v>
      </x:c>
    </x:row>
    <x:row r="495">
      <x:c r="A495" s="17" t="str">
        <x:v>A0491</x:v>
      </x:c>
      <x:c r="B495" s="17" t="str">
        <x:v>C03</x:v>
      </x:c>
      <x:c r="C495" s="17" t="str">
        <x:v>collection</x:v>
      </x:c>
      <x:c r="D495" s="17" t="str">
        <x:v>珠海虚拟回收/检测中心</x:v>
      </x:c>
      <x:c r="E495" s="24" t="n">
        <x:v>113.5721327</x:v>
      </x:c>
      <x:c r="F495" s="24" t="n">
        <x:v>22.273734</x:v>
      </x:c>
      <x:c r="G495" s="17" t="str">
        <x:v>P02E</x:v>
      </x:c>
      <x:c r="H495" s="17" t="str">
        <x:v>echelon</x:v>
      </x:c>
      <x:c r="I495" s="17" t="str">
        <x:v>广东光华科技股份有限公司（梯次功能）</x:v>
      </x:c>
      <x:c r="J495" s="24" t="n">
        <x:v>116.6775856</x:v>
      </x:c>
      <x:c r="K495" s="24" t="n">
        <x:v>23.3563921</x:v>
      </x:c>
      <x:c r="L495" s="21" t="n">
        <x:f>6371*ACOS(MIN(1,COS(F495*PI()/180)*COS(K495*PI()/180)*COS((J495-E495)*PI()/180)+SIN(F495*PI()/180)*SIN(K495*PI()/180)))</x:f>
        <x:v>340.2873692564277</x:v>
      </x:c>
      <x:c r="M495" s="21" t="n">
        <x:f>L495*'情景参数模板'!$D$31</x:f>
        <x:v>408.34484310771325</x:v>
      </x:c>
      <x:c r="N495" s="21" t="n">
        <x:f>IF(C495="source",'情景参数模板'!$D$12,IF(H495="echelon",'情景参数模板'!$D$13,'情景参数模板'!$D$14))</x:f>
        <x:v>0.49</x:v>
      </x:c>
      <x:c r="O495" s="21" t="n">
        <x:f>IF(C495="source",'情景参数模板'!$D$18,IF(H495="echelon",'情景参数模板'!$D$19,'情景参数模板'!$D$20))</x:f>
        <x:v>300</x:v>
      </x:c>
      <x:c r="P495" s="17" t="n">
        <x:f>IF(M495&lt;=O495,1,0)</x:f>
        <x:v>0</x:v>
      </x:c>
      <x:c r="Q495" s="17" t="str">
        <x:v>D-road proxy; B-coordinates</x:v>
      </x:c>
    </x:row>
    <x:row r="496">
      <x:c r="A496" s="17" t="str">
        <x:v>A0492</x:v>
      </x:c>
      <x:c r="B496" s="17" t="str">
        <x:v>C03</x:v>
      </x:c>
      <x:c r="C496" s="17" t="str">
        <x:v>collection</x:v>
      </x:c>
      <x:c r="D496" s="17" t="str">
        <x:v>珠海虚拟回收/检测中心</x:v>
      </x:c>
      <x:c r="E496" s="24" t="n">
        <x:v>113.5721327</x:v>
      </x:c>
      <x:c r="F496" s="24" t="n">
        <x:v>22.273734</x:v>
      </x:c>
      <x:c r="G496" s="17" t="str">
        <x:v>P02R</x:v>
      </x:c>
      <x:c r="H496" s="17" t="str">
        <x:v>recycling</x:v>
      </x:c>
      <x:c r="I496" s="17" t="str">
        <x:v>广东光华科技股份有限公司（再生功能）</x:v>
      </x:c>
      <x:c r="J496" s="24" t="n">
        <x:v>116.6775856</x:v>
      </x:c>
      <x:c r="K496" s="24" t="n">
        <x:v>23.3563921</x:v>
      </x:c>
      <x:c r="L496" s="21" t="n">
        <x:f>6371*ACOS(MIN(1,COS(F496*PI()/180)*COS(K496*PI()/180)*COS((J496-E496)*PI()/180)+SIN(F496*PI()/180)*SIN(K496*PI()/180)))</x:f>
        <x:v>340.2873692564277</x:v>
      </x:c>
      <x:c r="M496" s="21" t="n">
        <x:f>L496*'情景参数模板'!$D$31</x:f>
        <x:v>408.34484310771325</x:v>
      </x:c>
      <x:c r="N496" s="21" t="n">
        <x:f>IF(C496="source",'情景参数模板'!$D$12,IF(H496="echelon",'情景参数模板'!$D$13,'情景参数模板'!$D$14))</x:f>
        <x:v>0.49</x:v>
      </x:c>
      <x:c r="O496" s="21" t="n">
        <x:f>IF(C496="source",'情景参数模板'!$D$18,IF(H496="echelon",'情景参数模板'!$D$19,'情景参数模板'!$D$20))</x:f>
        <x:v>400</x:v>
      </x:c>
      <x:c r="P496" s="17" t="n">
        <x:f>IF(M496&lt;=O496,1,0)</x:f>
        <x:v>0</x:v>
      </x:c>
      <x:c r="Q496" s="17" t="str">
        <x:v>D-road proxy; B-coordinates</x:v>
      </x:c>
    </x:row>
    <x:row r="497">
      <x:c r="A497" s="17" t="str">
        <x:v>A0493</x:v>
      </x:c>
      <x:c r="B497" s="17" t="str">
        <x:v>C03</x:v>
      </x:c>
      <x:c r="C497" s="17" t="str">
        <x:v>collection</x:v>
      </x:c>
      <x:c r="D497" s="17" t="str">
        <x:v>珠海虚拟回收/检测中心</x:v>
      </x:c>
      <x:c r="E497" s="24" t="n">
        <x:v>113.5721327</x:v>
      </x:c>
      <x:c r="F497" s="24" t="n">
        <x:v>22.273734</x:v>
      </x:c>
      <x:c r="G497" s="17" t="str">
        <x:v>P03</x:v>
      </x:c>
      <x:c r="H497" s="17" t="str">
        <x:v>echelon</x:v>
      </x:c>
      <x:c r="I497" s="17" t="str">
        <x:v>深圳深汕特别合作区乾泰技术有限公司</x:v>
      </x:c>
      <x:c r="J497" s="24" t="n">
        <x:v>115.5099937</x:v>
      </x:c>
      <x:c r="K497" s="24" t="n">
        <x:v>23.0123639</x:v>
      </x:c>
      <x:c r="L497" s="21" t="n">
        <x:f>6371*ACOS(MIN(1,COS(F497*PI()/180)*COS(K497*PI()/180)*COS((J497-E497)*PI()/180)+SIN(F497*PI()/180)*SIN(K497*PI()/180)))</x:f>
        <x:v>215.16056931228954</x:v>
      </x:c>
      <x:c r="M497" s="21" t="n">
        <x:f>L497*'情景参数模板'!$D$31</x:f>
        <x:v>258.19268317474746</x:v>
      </x:c>
      <x:c r="N497" s="21" t="n">
        <x:f>IF(C497="source",'情景参数模板'!$D$12,IF(H497="echelon",'情景参数模板'!$D$13,'情景参数模板'!$D$14))</x:f>
        <x:v>0.49</x:v>
      </x:c>
      <x:c r="O497" s="21" t="n">
        <x:f>IF(C497="source",'情景参数模板'!$D$18,IF(H497="echelon",'情景参数模板'!$D$19,'情景参数模板'!$D$20))</x:f>
        <x:v>300</x:v>
      </x:c>
      <x:c r="P497" s="17" t="n">
        <x:f>IF(M497&lt;=O497,1,0)</x:f>
        <x:v>1</x:v>
      </x:c>
      <x:c r="Q497" s="17" t="str">
        <x:v>D-road proxy; B-coordinates</x:v>
      </x:c>
    </x:row>
    <x:row r="498">
      <x:c r="A498" s="17" t="str">
        <x:v>A0494</x:v>
      </x:c>
      <x:c r="B498" s="17" t="str">
        <x:v>C03</x:v>
      </x:c>
      <x:c r="C498" s="17" t="str">
        <x:v>collection</x:v>
      </x:c>
      <x:c r="D498" s="17" t="str">
        <x:v>珠海虚拟回收/检测中心</x:v>
      </x:c>
      <x:c r="E498" s="24" t="n">
        <x:v>113.5721327</x:v>
      </x:c>
      <x:c r="F498" s="24" t="n">
        <x:v>22.273734</x:v>
      </x:c>
      <x:c r="G498" s="17" t="str">
        <x:v>P04</x:v>
      </x:c>
      <x:c r="H498" s="17" t="str">
        <x:v>echelon</x:v>
      </x:c>
      <x:c r="I498" s="17" t="str">
        <x:v>珠海中力新能源科技有限公司</x:v>
      </x:c>
      <x:c r="J498" s="24" t="n">
        <x:v>113.5721327</x:v>
      </x:c>
      <x:c r="K498" s="24" t="n">
        <x:v>22.273734</x:v>
      </x:c>
      <x:c r="L498" s="21" t="n">
        <x:f>6371*ACOS(MIN(1,COS(F498*PI()/180)*COS(K498*PI()/180)*COS((J498-E498)*PI()/180)+SIN(F498*PI()/180)*SIN(K498*PI()/180)))</x:f>
        <x:v>0</x:v>
      </x:c>
      <x:c r="M498" s="21" t="n">
        <x:f>L498*'情景参数模板'!$D$31</x:f>
        <x:v>0</x:v>
      </x:c>
      <x:c r="N498" s="21" t="n">
        <x:f>IF(C498="source",'情景参数模板'!$D$12,IF(H498="echelon",'情景参数模板'!$D$13,'情景参数模板'!$D$14))</x:f>
        <x:v>0.49</x:v>
      </x:c>
      <x:c r="O498" s="21" t="n">
        <x:f>IF(C498="source",'情景参数模板'!$D$18,IF(H498="echelon",'情景参数模板'!$D$19,'情景参数模板'!$D$20))</x:f>
        <x:v>300</x:v>
      </x:c>
      <x:c r="P498" s="17" t="n">
        <x:f>IF(M498&lt;=O498,1,0)</x:f>
        <x:v>1</x:v>
      </x:c>
      <x:c r="Q498" s="17" t="str">
        <x:v>D-road proxy; B-coordinates</x:v>
      </x:c>
    </x:row>
    <x:row r="499">
      <x:c r="A499" s="17" t="str">
        <x:v>A0495</x:v>
      </x:c>
      <x:c r="B499" s="17" t="str">
        <x:v>C03</x:v>
      </x:c>
      <x:c r="C499" s="17" t="str">
        <x:v>collection</x:v>
      </x:c>
      <x:c r="D499" s="17" t="str">
        <x:v>珠海虚拟回收/检测中心</x:v>
      </x:c>
      <x:c r="E499" s="24" t="n">
        <x:v>113.5721327</x:v>
      </x:c>
      <x:c r="F499" s="24" t="n">
        <x:v>22.273734</x:v>
      </x:c>
      <x:c r="G499" s="17" t="str">
        <x:v>P05</x:v>
      </x:c>
      <x:c r="H499" s="17" t="str">
        <x:v>echelon</x:v>
      </x:c>
      <x:c r="I499" s="17" t="str">
        <x:v>惠州市恒创睿能环保科技有限公司</x:v>
      </x:c>
      <x:c r="J499" s="24" t="n">
        <x:v>114.4127007</x:v>
      </x:c>
      <x:c r="K499" s="24" t="n">
        <x:v>23.1125153</x:v>
      </x:c>
      <x:c r="L499" s="21" t="n">
        <x:f>6371*ACOS(MIN(1,COS(F499*PI()/180)*COS(K499*PI()/180)*COS((J499-E499)*PI()/180)+SIN(F499*PI()/180)*SIN(K499*PI()/180)))</x:f>
        <x:v>127.02181764289968</x:v>
      </x:c>
      <x:c r="M499" s="21" t="n">
        <x:f>L499*'情景参数模板'!$D$31</x:f>
        <x:v>152.4261811714796</x:v>
      </x:c>
      <x:c r="N499" s="21" t="n">
        <x:f>IF(C499="source",'情景参数模板'!$D$12,IF(H499="echelon",'情景参数模板'!$D$13,'情景参数模板'!$D$14))</x:f>
        <x:v>0.49</x:v>
      </x:c>
      <x:c r="O499" s="21" t="n">
        <x:f>IF(C499="source",'情景参数模板'!$D$18,IF(H499="echelon",'情景参数模板'!$D$19,'情景参数模板'!$D$20))</x:f>
        <x:v>300</x:v>
      </x:c>
      <x:c r="P499" s="17" t="n">
        <x:f>IF(M499&lt;=O499,1,0)</x:f>
        <x:v>1</x:v>
      </x:c>
      <x:c r="Q499" s="17" t="str">
        <x:v>D-road proxy; B-coordinates</x:v>
      </x:c>
    </x:row>
    <x:row r="500">
      <x:c r="A500" s="17" t="str">
        <x:v>A0496</x:v>
      </x:c>
      <x:c r="B500" s="17" t="str">
        <x:v>C03</x:v>
      </x:c>
      <x:c r="C500" s="17" t="str">
        <x:v>collection</x:v>
      </x:c>
      <x:c r="D500" s="17" t="str">
        <x:v>珠海虚拟回收/检测中心</x:v>
      </x:c>
      <x:c r="E500" s="24" t="n">
        <x:v>113.5721327</x:v>
      </x:c>
      <x:c r="F500" s="24" t="n">
        <x:v>22.273734</x:v>
      </x:c>
      <x:c r="G500" s="17" t="str">
        <x:v>P06</x:v>
      </x:c>
      <x:c r="H500" s="17" t="str">
        <x:v>echelon</x:v>
      </x:c>
      <x:c r="I500" s="17" t="str">
        <x:v>江门市朗达锂电池有限公司</x:v>
      </x:c>
      <x:c r="J500" s="24" t="n">
        <x:v>113.0761073</x:v>
      </x:c>
      <x:c r="K500" s="24" t="n">
        <x:v>22.5816619</x:v>
      </x:c>
      <x:c r="L500" s="21" t="n">
        <x:f>6371*ACOS(MIN(1,COS(F500*PI()/180)*COS(K500*PI()/180)*COS((J500-E500)*PI()/180)+SIN(F500*PI()/180)*SIN(K500*PI()/180)))</x:f>
        <x:v>61.4141569491265</x:v>
      </x:c>
      <x:c r="M500" s="21" t="n">
        <x:f>L500*'情景参数模板'!$D$31</x:f>
        <x:v>73.6969883389518</x:v>
      </x:c>
      <x:c r="N500" s="21" t="n">
        <x:f>IF(C500="source",'情景参数模板'!$D$12,IF(H500="echelon",'情景参数模板'!$D$13,'情景参数模板'!$D$14))</x:f>
        <x:v>0.49</x:v>
      </x:c>
      <x:c r="O500" s="21" t="n">
        <x:f>IF(C500="source",'情景参数模板'!$D$18,IF(H500="echelon",'情景参数模板'!$D$19,'情景参数模板'!$D$20))</x:f>
        <x:v>300</x:v>
      </x:c>
      <x:c r="P500" s="17" t="n">
        <x:f>IF(M500&lt;=O500,1,0)</x:f>
        <x:v>1</x:v>
      </x:c>
      <x:c r="Q500" s="17" t="str">
        <x:v>D-road proxy; B-coordinates</x:v>
      </x:c>
    </x:row>
    <x:row r="501">
      <x:c r="A501" s="17" t="str">
        <x:v>A0497</x:v>
      </x:c>
      <x:c r="B501" s="17" t="str">
        <x:v>C03</x:v>
      </x:c>
      <x:c r="C501" s="17" t="str">
        <x:v>collection</x:v>
      </x:c>
      <x:c r="D501" s="17" t="str">
        <x:v>珠海虚拟回收/检测中心</x:v>
      </x:c>
      <x:c r="E501" s="24" t="n">
        <x:v>113.5721327</x:v>
      </x:c>
      <x:c r="F501" s="24" t="n">
        <x:v>22.273734</x:v>
      </x:c>
      <x:c r="G501" s="17" t="str">
        <x:v>P07</x:v>
      </x:c>
      <x:c r="H501" s="17" t="str">
        <x:v>echelon</x:v>
      </x:c>
      <x:c r="I501" s="17" t="str">
        <x:v>广东迪度新能源有限公司</x:v>
      </x:c>
      <x:c r="J501" s="24" t="n">
        <x:v>113.7452332</x:v>
      </x:c>
      <x:c r="K501" s="24" t="n">
        <x:v>23.0183568</x:v>
      </x:c>
      <x:c r="L501" s="21" t="n">
        <x:f>6371*ACOS(MIN(1,COS(F501*PI()/180)*COS(K501*PI()/180)*COS((J501-E501)*PI()/180)+SIN(F501*PI()/180)*SIN(K501*PI()/180)))</x:f>
        <x:v>84.68237310278309</x:v>
      </x:c>
      <x:c r="M501" s="21" t="n">
        <x:f>L501*'情景参数模板'!$D$31</x:f>
        <x:v>101.6188477233397</x:v>
      </x:c>
      <x:c r="N501" s="21" t="n">
        <x:f>IF(C501="source",'情景参数模板'!$D$12,IF(H501="echelon",'情景参数模板'!$D$13,'情景参数模板'!$D$14))</x:f>
        <x:v>0.49</x:v>
      </x:c>
      <x:c r="O501" s="21" t="n">
        <x:f>IF(C501="source",'情景参数模板'!$D$18,IF(H501="echelon",'情景参数模板'!$D$19,'情景参数模板'!$D$20))</x:f>
        <x:v>300</x:v>
      </x:c>
      <x:c r="P501" s="17" t="n">
        <x:f>IF(M501&lt;=O501,1,0)</x:f>
        <x:v>1</x:v>
      </x:c>
      <x:c r="Q501" s="17" t="str">
        <x:v>D-road proxy; B-coordinates</x:v>
      </x:c>
    </x:row>
    <x:row r="502">
      <x:c r="A502" s="17" t="str">
        <x:v>A0498</x:v>
      </x:c>
      <x:c r="B502" s="17" t="str">
        <x:v>C03</x:v>
      </x:c>
      <x:c r="C502" s="17" t="str">
        <x:v>collection</x:v>
      </x:c>
      <x:c r="D502" s="17" t="str">
        <x:v>珠海虚拟回收/检测中心</x:v>
      </x:c>
      <x:c r="E502" s="24" t="n">
        <x:v>113.5721327</x:v>
      </x:c>
      <x:c r="F502" s="24" t="n">
        <x:v>22.273734</x:v>
      </x:c>
      <x:c r="G502" s="17" t="str">
        <x:v>P08</x:v>
      </x:c>
      <x:c r="H502" s="17" t="str">
        <x:v>echelon</x:v>
      </x:c>
      <x:c r="I502" s="17" t="str">
        <x:v>东莞市博森新能源有限公司</x:v>
      </x:c>
      <x:c r="J502" s="24" t="n">
        <x:v>113.7452332</x:v>
      </x:c>
      <x:c r="K502" s="24" t="n">
        <x:v>23.0183568</x:v>
      </x:c>
      <x:c r="L502" s="21" t="n">
        <x:f>6371*ACOS(MIN(1,COS(F502*PI()/180)*COS(K502*PI()/180)*COS((J502-E502)*PI()/180)+SIN(F502*PI()/180)*SIN(K502*PI()/180)))</x:f>
        <x:v>84.68237310278309</x:v>
      </x:c>
      <x:c r="M502" s="21" t="n">
        <x:f>L502*'情景参数模板'!$D$31</x:f>
        <x:v>101.6188477233397</x:v>
      </x:c>
      <x:c r="N502" s="21" t="n">
        <x:f>IF(C502="source",'情景参数模板'!$D$12,IF(H502="echelon",'情景参数模板'!$D$13,'情景参数模板'!$D$14))</x:f>
        <x:v>0.49</x:v>
      </x:c>
      <x:c r="O502" s="21" t="n">
        <x:f>IF(C502="source",'情景参数模板'!$D$18,IF(H502="echelon",'情景参数模板'!$D$19,'情景参数模板'!$D$20))</x:f>
        <x:v>300</x:v>
      </x:c>
      <x:c r="P502" s="17" t="n">
        <x:f>IF(M502&lt;=O502,1,0)</x:f>
        <x:v>1</x:v>
      </x:c>
      <x:c r="Q502" s="17" t="str">
        <x:v>D-road proxy; B-coordinates</x:v>
      </x:c>
    </x:row>
    <x:row r="503">
      <x:c r="A503" s="17" t="str">
        <x:v>A0499</x:v>
      </x:c>
      <x:c r="B503" s="17" t="str">
        <x:v>C03</x:v>
      </x:c>
      <x:c r="C503" s="17" t="str">
        <x:v>collection</x:v>
      </x:c>
      <x:c r="D503" s="17" t="str">
        <x:v>珠海虚拟回收/检测中心</x:v>
      </x:c>
      <x:c r="E503" s="24" t="n">
        <x:v>113.5721327</x:v>
      </x:c>
      <x:c r="F503" s="24" t="n">
        <x:v>22.273734</x:v>
      </x:c>
      <x:c r="G503" s="17" t="str">
        <x:v>P09</x:v>
      </x:c>
      <x:c r="H503" s="17" t="str">
        <x:v>echelon</x:v>
      </x:c>
      <x:c r="I503" s="17" t="str">
        <x:v>广东宇阳新能源有限公司</x:v>
      </x:c>
      <x:c r="J503" s="24" t="n">
        <x:v>113.7452332</x:v>
      </x:c>
      <x:c r="K503" s="24" t="n">
        <x:v>23.0183568</x:v>
      </x:c>
      <x:c r="L503" s="21" t="n">
        <x:f>6371*ACOS(MIN(1,COS(F503*PI()/180)*COS(K503*PI()/180)*COS((J503-E503)*PI()/180)+SIN(F503*PI()/180)*SIN(K503*PI()/180)))</x:f>
        <x:v>84.68237310278309</x:v>
      </x:c>
      <x:c r="M503" s="21" t="n">
        <x:f>L503*'情景参数模板'!$D$31</x:f>
        <x:v>101.6188477233397</x:v>
      </x:c>
      <x:c r="N503" s="21" t="n">
        <x:f>IF(C503="source",'情景参数模板'!$D$12,IF(H503="echelon",'情景参数模板'!$D$13,'情景参数模板'!$D$14))</x:f>
        <x:v>0.49</x:v>
      </x:c>
      <x:c r="O503" s="21" t="n">
        <x:f>IF(C503="source",'情景参数模板'!$D$18,IF(H503="echelon",'情景参数模板'!$D$19,'情景参数模板'!$D$20))</x:f>
        <x:v>300</x:v>
      </x:c>
      <x:c r="P503" s="17" t="n">
        <x:f>IF(M503&lt;=O503,1,0)</x:f>
        <x:v>1</x:v>
      </x:c>
      <x:c r="Q503" s="17" t="str">
        <x:v>D-road proxy; B-coordinates</x:v>
      </x:c>
    </x:row>
    <x:row r="504">
      <x:c r="A504" s="17" t="str">
        <x:v>A0500</x:v>
      </x:c>
      <x:c r="B504" s="17" t="str">
        <x:v>C03</x:v>
      </x:c>
      <x:c r="C504" s="17" t="str">
        <x:v>collection</x:v>
      </x:c>
      <x:c r="D504" s="17" t="str">
        <x:v>珠海虚拟回收/检测中心</x:v>
      </x:c>
      <x:c r="E504" s="24" t="n">
        <x:v>113.5721327</x:v>
      </x:c>
      <x:c r="F504" s="24" t="n">
        <x:v>22.273734</x:v>
      </x:c>
      <x:c r="G504" s="17" t="str">
        <x:v>P10</x:v>
      </x:c>
      <x:c r="H504" s="17" t="str">
        <x:v>echelon</x:v>
      </x:c>
      <x:c r="I504" s="17" t="str">
        <x:v>广州广汽商贸再生资源有限公司</x:v>
      </x:c>
      <x:c r="J504" s="24" t="n">
        <x:v>113.2589581</x:v>
      </x:c>
      <x:c r="K504" s="24" t="n">
        <x:v>23.1288429</x:v>
      </x:c>
      <x:c r="L504" s="21" t="n">
        <x:f>6371*ACOS(MIN(1,COS(F504*PI()/180)*COS(K504*PI()/180)*COS((J504-E504)*PI()/180)+SIN(F504*PI()/180)*SIN(K504*PI()/180)))</x:f>
        <x:v>100.36408935304908</x:v>
      </x:c>
      <x:c r="M504" s="21" t="n">
        <x:f>L504*'情景参数模板'!$D$31</x:f>
        <x:v>120.43690722365889</x:v>
      </x:c>
      <x:c r="N504" s="21" t="n">
        <x:f>IF(C504="source",'情景参数模板'!$D$12,IF(H504="echelon",'情景参数模板'!$D$13,'情景参数模板'!$D$14))</x:f>
        <x:v>0.49</x:v>
      </x:c>
      <x:c r="O504" s="21" t="n">
        <x:f>IF(C504="source",'情景参数模板'!$D$18,IF(H504="echelon",'情景参数模板'!$D$19,'情景参数模板'!$D$20))</x:f>
        <x:v>300</x:v>
      </x:c>
      <x:c r="P504" s="17" t="n">
        <x:f>IF(M504&lt;=O504,1,0)</x:f>
        <x:v>1</x:v>
      </x:c>
      <x:c r="Q504" s="17" t="str">
        <x:v>D-road proxy; B-coordinates</x:v>
      </x:c>
    </x:row>
    <x:row r="505">
      <x:c r="A505" s="17" t="str">
        <x:v>A0501</x:v>
      </x:c>
      <x:c r="B505" s="17" t="str">
        <x:v>C03</x:v>
      </x:c>
      <x:c r="C505" s="17" t="str">
        <x:v>collection</x:v>
      </x:c>
      <x:c r="D505" s="17" t="str">
        <x:v>珠海虚拟回收/检测中心</x:v>
      </x:c>
      <x:c r="E505" s="24" t="n">
        <x:v>113.5721327</x:v>
      </x:c>
      <x:c r="F505" s="24" t="n">
        <x:v>22.273734</x:v>
      </x:c>
      <x:c r="G505" s="17" t="str">
        <x:v>P11</x:v>
      </x:c>
      <x:c r="H505" s="17" t="str">
        <x:v>echelon</x:v>
      </x:c>
      <x:c r="I505" s="17" t="str">
        <x:v>深圳市杰成镍钴新能源科技有限公司</x:v>
      </x:c>
      <x:c r="J505" s="24" t="n">
        <x:v>114.0545429</x:v>
      </x:c>
      <x:c r="K505" s="24" t="n">
        <x:v>22.5445741</x:v>
      </x:c>
      <x:c r="L505" s="21" t="n">
        <x:f>6371*ACOS(MIN(1,COS(F505*PI()/180)*COS(K505*PI()/180)*COS((J505-E505)*PI()/180)+SIN(F505*PI()/180)*SIN(K505*PI()/180)))</x:f>
        <x:v>58.019114911578654</x:v>
      </x:c>
      <x:c r="M505" s="21" t="n">
        <x:f>L505*'情景参数模板'!$D$31</x:f>
        <x:v>69.62293789389439</x:v>
      </x:c>
      <x:c r="N505" s="21" t="n">
        <x:f>IF(C505="source",'情景参数模板'!$D$12,IF(H505="echelon",'情景参数模板'!$D$13,'情景参数模板'!$D$14))</x:f>
        <x:v>0.49</x:v>
      </x:c>
      <x:c r="O505" s="21" t="n">
        <x:f>IF(C505="source",'情景参数模板'!$D$18,IF(H505="echelon",'情景参数模板'!$D$19,'情景参数模板'!$D$20))</x:f>
        <x:v>300</x:v>
      </x:c>
      <x:c r="P505" s="17" t="n">
        <x:f>IF(M505&lt;=O505,1,0)</x:f>
        <x:v>1</x:v>
      </x:c>
      <x:c r="Q505" s="17" t="str">
        <x:v>D-road proxy; B-coordinates</x:v>
      </x:c>
    </x:row>
    <x:row r="506">
      <x:c r="A506" s="17" t="str">
        <x:v>A0502</x:v>
      </x:c>
      <x:c r="B506" s="17" t="str">
        <x:v>C03</x:v>
      </x:c>
      <x:c r="C506" s="17" t="str">
        <x:v>collection</x:v>
      </x:c>
      <x:c r="D506" s="17" t="str">
        <x:v>珠海虚拟回收/检测中心</x:v>
      </x:c>
      <x:c r="E506" s="24" t="n">
        <x:v>113.5721327</x:v>
      </x:c>
      <x:c r="F506" s="24" t="n">
        <x:v>22.273734</x:v>
      </x:c>
      <x:c r="G506" s="17" t="str">
        <x:v>P12</x:v>
      </x:c>
      <x:c r="H506" s="17" t="str">
        <x:v>recycling</x:v>
      </x:c>
      <x:c r="I506" s="17" t="str">
        <x:v>江门市恒创睿能环保科技有限公司</x:v>
      </x:c>
      <x:c r="J506" s="24" t="n">
        <x:v>113.0761073</x:v>
      </x:c>
      <x:c r="K506" s="24" t="n">
        <x:v>22.5816619</x:v>
      </x:c>
      <x:c r="L506" s="21" t="n">
        <x:f>6371*ACOS(MIN(1,COS(F506*PI()/180)*COS(K506*PI()/180)*COS((J506-E506)*PI()/180)+SIN(F506*PI()/180)*SIN(K506*PI()/180)))</x:f>
        <x:v>61.4141569491265</x:v>
      </x:c>
      <x:c r="M506" s="21" t="n">
        <x:f>L506*'情景参数模板'!$D$31</x:f>
        <x:v>73.6969883389518</x:v>
      </x:c>
      <x:c r="N506" s="21" t="n">
        <x:f>IF(C506="source",'情景参数模板'!$D$12,IF(H506="echelon",'情景参数模板'!$D$13,'情景参数模板'!$D$14))</x:f>
        <x:v>0.49</x:v>
      </x:c>
      <x:c r="O506" s="21" t="n">
        <x:f>IF(C506="source",'情景参数模板'!$D$18,IF(H506="echelon",'情景参数模板'!$D$19,'情景参数模板'!$D$20))</x:f>
        <x:v>400</x:v>
      </x:c>
      <x:c r="P506" s="17" t="n">
        <x:f>IF(M506&lt;=O506,1,0)</x:f>
        <x:v>1</x:v>
      </x:c>
      <x:c r="Q506" s="17" t="str">
        <x:v>D-road proxy; B-coordinates</x:v>
      </x:c>
    </x:row>
    <x:row r="507">
      <x:c r="A507" s="17" t="str">
        <x:v>A0503</x:v>
      </x:c>
      <x:c r="B507" s="17" t="str">
        <x:v>C03</x:v>
      </x:c>
      <x:c r="C507" s="17" t="str">
        <x:v>collection</x:v>
      </x:c>
      <x:c r="D507" s="17" t="str">
        <x:v>珠海虚拟回收/检测中心</x:v>
      </x:c>
      <x:c r="E507" s="24" t="n">
        <x:v>113.5721327</x:v>
      </x:c>
      <x:c r="F507" s="24" t="n">
        <x:v>22.273734</x:v>
      </x:c>
      <x:c r="G507" s="17" t="str">
        <x:v>P13</x:v>
      </x:c>
      <x:c r="H507" s="17" t="str">
        <x:v>recycling</x:v>
      </x:c>
      <x:c r="I507" s="17" t="str">
        <x:v>广东佳纳能源科技有限公司</x:v>
      </x:c>
      <x:c r="J507" s="24" t="n">
        <x:v>113.0505994</x:v>
      </x:c>
      <x:c r="K507" s="24" t="n">
        <x:v>23.6832984</x:v>
      </x:c>
      <x:c r="L507" s="21" t="n">
        <x:f>6371*ACOS(MIN(1,COS(F507*PI()/180)*COS(K507*PI()/180)*COS((J507-E507)*PI()/180)+SIN(F507*PI()/180)*SIN(K507*PI()/180)))</x:f>
        <x:v>165.57958735422196</x:v>
      </x:c>
      <x:c r="M507" s="21" t="n">
        <x:f>L507*'情景参数模板'!$D$31</x:f>
        <x:v>198.69550482506634</x:v>
      </x:c>
      <x:c r="N507" s="21" t="n">
        <x:f>IF(C507="source",'情景参数模板'!$D$12,IF(H507="echelon",'情景参数模板'!$D$13,'情景参数模板'!$D$14))</x:f>
        <x:v>0.49</x:v>
      </x:c>
      <x:c r="O507" s="21" t="n">
        <x:f>IF(C507="source",'情景参数模板'!$D$18,IF(H507="echelon",'情景参数模板'!$D$19,'情景参数模板'!$D$20))</x:f>
        <x:v>400</x:v>
      </x:c>
      <x:c r="P507" s="17" t="n">
        <x:f>IF(M507&lt;=O507,1,0)</x:f>
        <x:v>1</x:v>
      </x:c>
      <x:c r="Q507" s="17" t="str">
        <x:v>D-road proxy; B-coordinates</x:v>
      </x:c>
    </x:row>
    <x:row r="508">
      <x:c r="A508" s="17" t="str">
        <x:v>A0504</x:v>
      </x:c>
      <x:c r="B508" s="17" t="str">
        <x:v>C03</x:v>
      </x:c>
      <x:c r="C508" s="17" t="str">
        <x:v>collection</x:v>
      </x:c>
      <x:c r="D508" s="17" t="str">
        <x:v>珠海虚拟回收/检测中心</x:v>
      </x:c>
      <x:c r="E508" s="24" t="n">
        <x:v>113.5721327</x:v>
      </x:c>
      <x:c r="F508" s="24" t="n">
        <x:v>22.273734</x:v>
      </x:c>
      <x:c r="G508" s="17" t="str">
        <x:v>P14</x:v>
      </x:c>
      <x:c r="H508" s="17" t="str">
        <x:v>echelon</x:v>
      </x:c>
      <x:c r="I508" s="17" t="str">
        <x:v>格林美（深圳）循环科技有限公司</x:v>
      </x:c>
      <x:c r="J508" s="24" t="n">
        <x:v>114.0545429</x:v>
      </x:c>
      <x:c r="K508" s="24" t="n">
        <x:v>22.5445741</x:v>
      </x:c>
      <x:c r="L508" s="21" t="n">
        <x:f>6371*ACOS(MIN(1,COS(F508*PI()/180)*COS(K508*PI()/180)*COS((J508-E508)*PI()/180)+SIN(F508*PI()/180)*SIN(K508*PI()/180)))</x:f>
        <x:v>58.019114911578654</x:v>
      </x:c>
      <x:c r="M508" s="21" t="n">
        <x:f>L508*'情景参数模板'!$D$31</x:f>
        <x:v>69.62293789389439</x:v>
      </x:c>
      <x:c r="N508" s="21" t="n">
        <x:f>IF(C508="source",'情景参数模板'!$D$12,IF(H508="echelon",'情景参数模板'!$D$13,'情景参数模板'!$D$14))</x:f>
        <x:v>0.49</x:v>
      </x:c>
      <x:c r="O508" s="21" t="n">
        <x:f>IF(C508="source",'情景参数模板'!$D$18,IF(H508="echelon",'情景参数模板'!$D$19,'情景参数模板'!$D$20))</x:f>
        <x:v>300</x:v>
      </x:c>
      <x:c r="P508" s="17" t="n">
        <x:f>IF(M508&lt;=O508,1,0)</x:f>
        <x:v>1</x:v>
      </x:c>
      <x:c r="Q508" s="17" t="str">
        <x:v>D-road proxy; B-coordinates</x:v>
      </x:c>
    </x:row>
    <x:row r="509">
      <x:c r="A509" s="17" t="str">
        <x:v>A0505</x:v>
      </x:c>
      <x:c r="B509" s="17" t="str">
        <x:v>C03</x:v>
      </x:c>
      <x:c r="C509" s="17" t="str">
        <x:v>collection</x:v>
      </x:c>
      <x:c r="D509" s="17" t="str">
        <x:v>珠海虚拟回收/检测中心</x:v>
      </x:c>
      <x:c r="E509" s="24" t="n">
        <x:v>113.5721327</x:v>
      </x:c>
      <x:c r="F509" s="24" t="n">
        <x:v>22.273734</x:v>
      </x:c>
      <x:c r="G509" s="17" t="str">
        <x:v>P15</x:v>
      </x:c>
      <x:c r="H509" s="17" t="str">
        <x:v>echelon</x:v>
      </x:c>
      <x:c r="I509" s="17" t="str">
        <x:v>绿循新能源科技（佛山）有限责任公司</x:v>
      </x:c>
      <x:c r="J509" s="24" t="n">
        <x:v>113.1159558</x:v>
      </x:c>
      <x:c r="K509" s="24" t="n">
        <x:v>23.0239788</x:v>
      </x:c>
      <x:c r="L509" s="21" t="n">
        <x:f>6371*ACOS(MIN(1,COS(F509*PI()/180)*COS(K509*PI()/180)*COS((J509-E509)*PI()/180)+SIN(F509*PI()/180)*SIN(K509*PI()/180)))</x:f>
        <x:v>95.6600972197494</x:v>
      </x:c>
      <x:c r="M509" s="21" t="n">
        <x:f>L509*'情景参数模板'!$D$31</x:f>
        <x:v>114.79211666369928</x:v>
      </x:c>
      <x:c r="N509" s="21" t="n">
        <x:f>IF(C509="source",'情景参数模板'!$D$12,IF(H509="echelon",'情景参数模板'!$D$13,'情景参数模板'!$D$14))</x:f>
        <x:v>0.49</x:v>
      </x:c>
      <x:c r="O509" s="21" t="n">
        <x:f>IF(C509="source",'情景参数模板'!$D$18,IF(H509="echelon",'情景参数模板'!$D$19,'情景参数模板'!$D$20))</x:f>
        <x:v>300</x:v>
      </x:c>
      <x:c r="P509" s="17" t="n">
        <x:f>IF(M509&lt;=O509,1,0)</x:f>
        <x:v>1</x:v>
      </x:c>
      <x:c r="Q509" s="17" t="str">
        <x:v>D-road proxy; B-coordinates</x:v>
      </x:c>
    </x:row>
    <x:row r="510">
      <x:c r="A510" s="17" t="str">
        <x:v>A0506</x:v>
      </x:c>
      <x:c r="B510" s="17" t="str">
        <x:v>C03</x:v>
      </x:c>
      <x:c r="C510" s="17" t="str">
        <x:v>collection</x:v>
      </x:c>
      <x:c r="D510" s="17" t="str">
        <x:v>珠海虚拟回收/检测中心</x:v>
      </x:c>
      <x:c r="E510" s="24" t="n">
        <x:v>113.5721327</x:v>
      </x:c>
      <x:c r="F510" s="24" t="n">
        <x:v>22.273734</x:v>
      </x:c>
      <x:c r="G510" s="17" t="str">
        <x:v>P16</x:v>
      </x:c>
      <x:c r="H510" s="17" t="str">
        <x:v>echelon</x:v>
      </x:c>
      <x:c r="I510" s="17" t="str">
        <x:v>深圳艾云动智慧科技有限公司</x:v>
      </x:c>
      <x:c r="J510" s="24" t="n">
        <x:v>114.0545429</x:v>
      </x:c>
      <x:c r="K510" s="24" t="n">
        <x:v>22.5445741</x:v>
      </x:c>
      <x:c r="L510" s="21" t="n">
        <x:f>6371*ACOS(MIN(1,COS(F510*PI()/180)*COS(K510*PI()/180)*COS((J510-E510)*PI()/180)+SIN(F510*PI()/180)*SIN(K510*PI()/180)))</x:f>
        <x:v>58.019114911578654</x:v>
      </x:c>
      <x:c r="M510" s="21" t="n">
        <x:f>L510*'情景参数模板'!$D$31</x:f>
        <x:v>69.62293789389439</x:v>
      </x:c>
      <x:c r="N510" s="21" t="n">
        <x:f>IF(C510="source",'情景参数模板'!$D$12,IF(H510="echelon",'情景参数模板'!$D$13,'情景参数模板'!$D$14))</x:f>
        <x:v>0.49</x:v>
      </x:c>
      <x:c r="O510" s="21" t="n">
        <x:f>IF(C510="source",'情景参数模板'!$D$18,IF(H510="echelon",'情景参数模板'!$D$19,'情景参数模板'!$D$20))</x:f>
        <x:v>300</x:v>
      </x:c>
      <x:c r="P510" s="17" t="n">
        <x:f>IF(M510&lt;=O510,1,0)</x:f>
        <x:v>1</x:v>
      </x:c>
      <x:c r="Q510" s="17" t="str">
        <x:v>D-road proxy; B-coordinates</x:v>
      </x:c>
    </x:row>
    <x:row r="511">
      <x:c r="A511" s="17" t="str">
        <x:v>A0507</x:v>
      </x:c>
      <x:c r="B511" s="17" t="str">
        <x:v>C03</x:v>
      </x:c>
      <x:c r="C511" s="17" t="str">
        <x:v>collection</x:v>
      </x:c>
      <x:c r="D511" s="17" t="str">
        <x:v>珠海虚拟回收/检测中心</x:v>
      </x:c>
      <x:c r="E511" s="24" t="n">
        <x:v>113.5721327</x:v>
      </x:c>
      <x:c r="F511" s="24" t="n">
        <x:v>22.273734</x:v>
      </x:c>
      <x:c r="G511" s="17" t="str">
        <x:v>P17</x:v>
      </x:c>
      <x:c r="H511" s="17" t="str">
        <x:v>echelon</x:v>
      </x:c>
      <x:c r="I511" s="17" t="str">
        <x:v>深圳市荣高晟新能源科技有限公司</x:v>
      </x:c>
      <x:c r="J511" s="24" t="n">
        <x:v>114.0545429</x:v>
      </x:c>
      <x:c r="K511" s="24" t="n">
        <x:v>22.5445741</x:v>
      </x:c>
      <x:c r="L511" s="21" t="n">
        <x:f>6371*ACOS(MIN(1,COS(F511*PI()/180)*COS(K511*PI()/180)*COS((J511-E511)*PI()/180)+SIN(F511*PI()/180)*SIN(K511*PI()/180)))</x:f>
        <x:v>58.019114911578654</x:v>
      </x:c>
      <x:c r="M511" s="21" t="n">
        <x:f>L511*'情景参数模板'!$D$31</x:f>
        <x:v>69.62293789389439</x:v>
      </x:c>
      <x:c r="N511" s="21" t="n">
        <x:f>IF(C511="source",'情景参数模板'!$D$12,IF(H511="echelon",'情景参数模板'!$D$13,'情景参数模板'!$D$14))</x:f>
        <x:v>0.49</x:v>
      </x:c>
      <x:c r="O511" s="21" t="n">
        <x:f>IF(C511="source",'情景参数模板'!$D$18,IF(H511="echelon",'情景参数模板'!$D$19,'情景参数模板'!$D$20))</x:f>
        <x:v>300</x:v>
      </x:c>
      <x:c r="P511" s="17" t="n">
        <x:f>IF(M511&lt;=O511,1,0)</x:f>
        <x:v>1</x:v>
      </x:c>
      <x:c r="Q511" s="17" t="str">
        <x:v>D-road proxy; B-coordinates</x:v>
      </x:c>
    </x:row>
    <x:row r="512">
      <x:c r="A512" s="17" t="str">
        <x:v>A0508</x:v>
      </x:c>
      <x:c r="B512" s="17" t="str">
        <x:v>C03</x:v>
      </x:c>
      <x:c r="C512" s="17" t="str">
        <x:v>collection</x:v>
      </x:c>
      <x:c r="D512" s="17" t="str">
        <x:v>珠海虚拟回收/检测中心</x:v>
      </x:c>
      <x:c r="E512" s="24" t="n">
        <x:v>113.5721327</x:v>
      </x:c>
      <x:c r="F512" s="24" t="n">
        <x:v>22.273734</x:v>
      </x:c>
      <x:c r="G512" s="17" t="str">
        <x:v>P18</x:v>
      </x:c>
      <x:c r="H512" s="17" t="str">
        <x:v>echelon</x:v>
      </x:c>
      <x:c r="I512" s="17" t="str">
        <x:v>中商锂新能源科技（惠州）有限公司</x:v>
      </x:c>
      <x:c r="J512" s="24" t="n">
        <x:v>114.4127007</x:v>
      </x:c>
      <x:c r="K512" s="24" t="n">
        <x:v>23.1125153</x:v>
      </x:c>
      <x:c r="L512" s="21" t="n">
        <x:f>6371*ACOS(MIN(1,COS(F512*PI()/180)*COS(K512*PI()/180)*COS((J512-E512)*PI()/180)+SIN(F512*PI()/180)*SIN(K512*PI()/180)))</x:f>
        <x:v>127.02181764289968</x:v>
      </x:c>
      <x:c r="M512" s="21" t="n">
        <x:f>L512*'情景参数模板'!$D$31</x:f>
        <x:v>152.4261811714796</x:v>
      </x:c>
      <x:c r="N512" s="21" t="n">
        <x:f>IF(C512="source",'情景参数模板'!$D$12,IF(H512="echelon",'情景参数模板'!$D$13,'情景参数模板'!$D$14))</x:f>
        <x:v>0.49</x:v>
      </x:c>
      <x:c r="O512" s="21" t="n">
        <x:f>IF(C512="source",'情景参数模板'!$D$18,IF(H512="echelon",'情景参数模板'!$D$19,'情景参数模板'!$D$20))</x:f>
        <x:v>300</x:v>
      </x:c>
      <x:c r="P512" s="17" t="n">
        <x:f>IF(M512&lt;=O512,1,0)</x:f>
        <x:v>1</x:v>
      </x:c>
      <x:c r="Q512" s="17" t="str">
        <x:v>D-road proxy; B-coordinates</x:v>
      </x:c>
    </x:row>
    <x:row r="513">
      <x:c r="A513" s="17" t="str">
        <x:v>A0509</x:v>
      </x:c>
      <x:c r="B513" s="17" t="str">
        <x:v>C03</x:v>
      </x:c>
      <x:c r="C513" s="17" t="str">
        <x:v>collection</x:v>
      </x:c>
      <x:c r="D513" s="17" t="str">
        <x:v>珠海虚拟回收/检测中心</x:v>
      </x:c>
      <x:c r="E513" s="24" t="n">
        <x:v>113.5721327</x:v>
      </x:c>
      <x:c r="F513" s="24" t="n">
        <x:v>22.273734</x:v>
      </x:c>
      <x:c r="G513" s="17" t="str">
        <x:v>P19</x:v>
      </x:c>
      <x:c r="H513" s="17" t="str">
        <x:v>recycling</x:v>
      </x:c>
      <x:c r="I513" s="17" t="str">
        <x:v>广东盛祥新材料科技有限公司</x:v>
      </x:c>
      <x:c r="J513" s="24" t="n">
        <x:v>113.8155263</x:v>
      </x:c>
      <x:c r="K513" s="24" t="n">
        <x:v>24.8309489</x:v>
      </x:c>
      <x:c r="L513" s="21" t="n">
        <x:f>6371*ACOS(MIN(1,COS(F513*PI()/180)*COS(K513*PI()/180)*COS((J513-E513)*PI()/180)+SIN(F513*PI()/180)*SIN(K513*PI()/180)))</x:f>
        <x:v>285.4293111538577</x:v>
      </x:c>
      <x:c r="M513" s="21" t="n">
        <x:f>L513*'情景参数模板'!$D$31</x:f>
        <x:v>342.51517338462924</x:v>
      </x:c>
      <x:c r="N513" s="21" t="n">
        <x:f>IF(C513="source",'情景参数模板'!$D$12,IF(H513="echelon",'情景参数模板'!$D$13,'情景参数模板'!$D$14))</x:f>
        <x:v>0.49</x:v>
      </x:c>
      <x:c r="O513" s="21" t="n">
        <x:f>IF(C513="source",'情景参数模板'!$D$18,IF(H513="echelon",'情景参数模板'!$D$19,'情景参数模板'!$D$20))</x:f>
        <x:v>400</x:v>
      </x:c>
      <x:c r="P513" s="17" t="n">
        <x:f>IF(M513&lt;=O513,1,0)</x:f>
        <x:v>1</x:v>
      </x:c>
      <x:c r="Q513" s="17" t="str">
        <x:v>D-road proxy; B-coordinates</x:v>
      </x:c>
    </x:row>
    <x:row r="514">
      <x:c r="A514" s="17" t="str">
        <x:v>A0510</x:v>
      </x:c>
      <x:c r="B514" s="17" t="str">
        <x:v>C03</x:v>
      </x:c>
      <x:c r="C514" s="17" t="str">
        <x:v>collection</x:v>
      </x:c>
      <x:c r="D514" s="17" t="str">
        <x:v>珠海虚拟回收/检测中心</x:v>
      </x:c>
      <x:c r="E514" s="24" t="n">
        <x:v>113.5721327</x:v>
      </x:c>
      <x:c r="F514" s="24" t="n">
        <x:v>22.273734</x:v>
      </x:c>
      <x:c r="G514" s="17" t="str">
        <x:v>P20E</x:v>
      </x:c>
      <x:c r="H514" s="17" t="str">
        <x:v>echelon</x:v>
      </x:c>
      <x:c r="I514" s="17" t="str">
        <x:v>广东金晟新能源股份有限公司（梯次功能）</x:v>
      </x:c>
      <x:c r="J514" s="24" t="n">
        <x:v>112.4603629</x:v>
      </x:c>
      <x:c r="K514" s="24" t="n">
        <x:v>23.0501661</x:v>
      </x:c>
      <x:c r="L514" s="21" t="n">
        <x:f>6371*ACOS(MIN(1,COS(F514*PI()/180)*COS(K514*PI()/180)*COS((J514-E514)*PI()/180)+SIN(F514*PI()/180)*SIN(K514*PI()/180)))</x:f>
        <x:v>143.0642477152054</x:v>
      </x:c>
      <x:c r="M514" s="21" t="n">
        <x:f>L514*'情景参数模板'!$D$31</x:f>
        <x:v>171.67709725824648</x:v>
      </x:c>
      <x:c r="N514" s="21" t="n">
        <x:f>IF(C514="source",'情景参数模板'!$D$12,IF(H514="echelon",'情景参数模板'!$D$13,'情景参数模板'!$D$14))</x:f>
        <x:v>0.49</x:v>
      </x:c>
      <x:c r="O514" s="21" t="n">
        <x:f>IF(C514="source",'情景参数模板'!$D$18,IF(H514="echelon",'情景参数模板'!$D$19,'情景参数模板'!$D$20))</x:f>
        <x:v>300</x:v>
      </x:c>
      <x:c r="P514" s="17" t="n">
        <x:f>IF(M514&lt;=O514,1,0)</x:f>
        <x:v>1</x:v>
      </x:c>
      <x:c r="Q514" s="17" t="str">
        <x:v>D-road proxy; B-coordinates</x:v>
      </x:c>
    </x:row>
    <x:row r="515">
      <x:c r="A515" s="17" t="str">
        <x:v>A0511</x:v>
      </x:c>
      <x:c r="B515" s="17" t="str">
        <x:v>C03</x:v>
      </x:c>
      <x:c r="C515" s="17" t="str">
        <x:v>collection</x:v>
      </x:c>
      <x:c r="D515" s="17" t="str">
        <x:v>珠海虚拟回收/检测中心</x:v>
      </x:c>
      <x:c r="E515" s="24" t="n">
        <x:v>113.5721327</x:v>
      </x:c>
      <x:c r="F515" s="24" t="n">
        <x:v>22.273734</x:v>
      </x:c>
      <x:c r="G515" s="17" t="str">
        <x:v>P20R</x:v>
      </x:c>
      <x:c r="H515" s="17" t="str">
        <x:v>recycling</x:v>
      </x:c>
      <x:c r="I515" s="17" t="str">
        <x:v>广东金晟新能源股份有限公司（再生功能）</x:v>
      </x:c>
      <x:c r="J515" s="24" t="n">
        <x:v>112.4603629</x:v>
      </x:c>
      <x:c r="K515" s="24" t="n">
        <x:v>23.0501661</x:v>
      </x:c>
      <x:c r="L515" s="21" t="n">
        <x:f>6371*ACOS(MIN(1,COS(F515*PI()/180)*COS(K515*PI()/180)*COS((J515-E515)*PI()/180)+SIN(F515*PI()/180)*SIN(K515*PI()/180)))</x:f>
        <x:v>143.0642477152054</x:v>
      </x:c>
      <x:c r="M515" s="21" t="n">
        <x:f>L515*'情景参数模板'!$D$31</x:f>
        <x:v>171.67709725824648</x:v>
      </x:c>
      <x:c r="N515" s="21" t="n">
        <x:f>IF(C515="source",'情景参数模板'!$D$12,IF(H515="echelon",'情景参数模板'!$D$13,'情景参数模板'!$D$14))</x:f>
        <x:v>0.49</x:v>
      </x:c>
      <x:c r="O515" s="21" t="n">
        <x:f>IF(C515="source",'情景参数模板'!$D$18,IF(H515="echelon",'情景参数模板'!$D$19,'情景参数模板'!$D$20))</x:f>
        <x:v>400</x:v>
      </x:c>
      <x:c r="P515" s="17" t="n">
        <x:f>IF(M515&lt;=O515,1,0)</x:f>
        <x:v>1</x:v>
      </x:c>
      <x:c r="Q515" s="17" t="str">
        <x:v>D-road proxy; B-coordinates</x:v>
      </x:c>
    </x:row>
    <x:row r="516">
      <x:c r="A516" s="17" t="str">
        <x:v>A0512</x:v>
      </x:c>
      <x:c r="B516" s="17" t="str">
        <x:v>C03</x:v>
      </x:c>
      <x:c r="C516" s="17" t="str">
        <x:v>collection</x:v>
      </x:c>
      <x:c r="D516" s="17" t="str">
        <x:v>珠海虚拟回收/检测中心</x:v>
      </x:c>
      <x:c r="E516" s="24" t="n">
        <x:v>113.5721327</x:v>
      </x:c>
      <x:c r="F516" s="24" t="n">
        <x:v>22.273734</x:v>
      </x:c>
      <x:c r="G516" s="17" t="str">
        <x:v>P21E</x:v>
      </x:c>
      <x:c r="H516" s="17" t="str">
        <x:v>echelon</x:v>
      </x:c>
      <x:c r="I516" s="17" t="str">
        <x:v>广东瑞科美电源技术有限公司（梯次功能）</x:v>
      </x:c>
      <x:c r="J516" s="24" t="n">
        <x:v>113.1159558</x:v>
      </x:c>
      <x:c r="K516" s="24" t="n">
        <x:v>23.0239788</x:v>
      </x:c>
      <x:c r="L516" s="21" t="n">
        <x:f>6371*ACOS(MIN(1,COS(F516*PI()/180)*COS(K516*PI()/180)*COS((J516-E516)*PI()/180)+SIN(F516*PI()/180)*SIN(K516*PI()/180)))</x:f>
        <x:v>95.6600972197494</x:v>
      </x:c>
      <x:c r="M516" s="21" t="n">
        <x:f>L516*'情景参数模板'!$D$31</x:f>
        <x:v>114.79211666369928</x:v>
      </x:c>
      <x:c r="N516" s="21" t="n">
        <x:f>IF(C516="source",'情景参数模板'!$D$12,IF(H516="echelon",'情景参数模板'!$D$13,'情景参数模板'!$D$14))</x:f>
        <x:v>0.49</x:v>
      </x:c>
      <x:c r="O516" s="21" t="n">
        <x:f>IF(C516="source",'情景参数模板'!$D$18,IF(H516="echelon",'情景参数模板'!$D$19,'情景参数模板'!$D$20))</x:f>
        <x:v>300</x:v>
      </x:c>
      <x:c r="P516" s="17" t="n">
        <x:f>IF(M516&lt;=O516,1,0)</x:f>
        <x:v>1</x:v>
      </x:c>
      <x:c r="Q516" s="17" t="str">
        <x:v>D-road proxy; B-coordinates</x:v>
      </x:c>
    </x:row>
    <x:row r="517">
      <x:c r="A517" s="17" t="str">
        <x:v>A0513</x:v>
      </x:c>
      <x:c r="B517" s="17" t="str">
        <x:v>C03</x:v>
      </x:c>
      <x:c r="C517" s="17" t="str">
        <x:v>collection</x:v>
      </x:c>
      <x:c r="D517" s="17" t="str">
        <x:v>珠海虚拟回收/检测中心</x:v>
      </x:c>
      <x:c r="E517" s="24" t="n">
        <x:v>113.5721327</x:v>
      </x:c>
      <x:c r="F517" s="24" t="n">
        <x:v>22.273734</x:v>
      </x:c>
      <x:c r="G517" s="17" t="str">
        <x:v>P21R</x:v>
      </x:c>
      <x:c r="H517" s="17" t="str">
        <x:v>recycling</x:v>
      </x:c>
      <x:c r="I517" s="17" t="str">
        <x:v>广东瑞科美电源技术有限公司（再生功能）</x:v>
      </x:c>
      <x:c r="J517" s="24" t="n">
        <x:v>113.1159558</x:v>
      </x:c>
      <x:c r="K517" s="24" t="n">
        <x:v>23.0239788</x:v>
      </x:c>
      <x:c r="L517" s="21" t="n">
        <x:f>6371*ACOS(MIN(1,COS(F517*PI()/180)*COS(K517*PI()/180)*COS((J517-E517)*PI()/180)+SIN(F517*PI()/180)*SIN(K517*PI()/180)))</x:f>
        <x:v>95.6600972197494</x:v>
      </x:c>
      <x:c r="M517" s="21" t="n">
        <x:f>L517*'情景参数模板'!$D$31</x:f>
        <x:v>114.79211666369928</x:v>
      </x:c>
      <x:c r="N517" s="21" t="n">
        <x:f>IF(C517="source",'情景参数模板'!$D$12,IF(H517="echelon",'情景参数模板'!$D$13,'情景参数模板'!$D$14))</x:f>
        <x:v>0.49</x:v>
      </x:c>
      <x:c r="O517" s="21" t="n">
        <x:f>IF(C517="source",'情景参数模板'!$D$18,IF(H517="echelon",'情景参数模板'!$D$19,'情景参数模板'!$D$20))</x:f>
        <x:v>400</x:v>
      </x:c>
      <x:c r="P517" s="17" t="n">
        <x:f>IF(M517&lt;=O517,1,0)</x:f>
        <x:v>1</x:v>
      </x:c>
      <x:c r="Q517" s="17" t="str">
        <x:v>D-road proxy; B-coordinates</x:v>
      </x:c>
    </x:row>
    <x:row r="518">
      <x:c r="A518" s="17" t="str">
        <x:v>A0514</x:v>
      </x:c>
      <x:c r="B518" s="17" t="str">
        <x:v>C04</x:v>
      </x:c>
      <x:c r="C518" s="17" t="str">
        <x:v>collection</x:v>
      </x:c>
      <x:c r="D518" s="17" t="str">
        <x:v>汕头虚拟回收/检测中心</x:v>
      </x:c>
      <x:c r="E518" s="24" t="n">
        <x:v>116.6775856</x:v>
      </x:c>
      <x:c r="F518" s="24" t="n">
        <x:v>23.3563921</x:v>
      </x:c>
      <x:c r="G518" s="17" t="str">
        <x:v>P01</x:v>
      </x:c>
      <x:c r="H518" s="17" t="str">
        <x:v>recycling</x:v>
      </x:c>
      <x:c r="I518" s="17" t="str">
        <x:v>汕尾比亚迪废旧动力电池回收项目</x:v>
      </x:c>
      <x:c r="J518" s="24" t="n">
        <x:v>115.3492668</x:v>
      </x:c>
      <x:c r="K518" s="24" t="n">
        <x:v>22.838065</x:v>
      </x:c>
      <x:c r="L518" s="21" t="n">
        <x:f>6371*ACOS(MIN(1,COS(F518*PI()/180)*COS(K518*PI()/180)*COS((J518-E518)*PI()/180)+SIN(F518*PI()/180)*SIN(K518*PI()/180)))</x:f>
        <x:v>147.58098592068362</x:v>
      </x:c>
      <x:c r="M518" s="21" t="n">
        <x:f>L518*'情景参数模板'!$D$31</x:f>
        <x:v>177.09718310482035</x:v>
      </x:c>
      <x:c r="N518" s="21" t="n">
        <x:f>IF(C518="source",'情景参数模板'!$D$12,IF(H518="echelon",'情景参数模板'!$D$13,'情景参数模板'!$D$14))</x:f>
        <x:v>0.49</x:v>
      </x:c>
      <x:c r="O518" s="21" t="n">
        <x:f>IF(C518="source",'情景参数模板'!$D$18,IF(H518="echelon",'情景参数模板'!$D$19,'情景参数模板'!$D$20))</x:f>
        <x:v>400</x:v>
      </x:c>
      <x:c r="P518" s="17" t="n">
        <x:f>IF(M518&lt;=O518,1,0)</x:f>
        <x:v>1</x:v>
      </x:c>
      <x:c r="Q518" s="17" t="str">
        <x:v>D-road proxy; B-coordinates</x:v>
      </x:c>
    </x:row>
    <x:row r="519">
      <x:c r="A519" s="17" t="str">
        <x:v>A0515</x:v>
      </x:c>
      <x:c r="B519" s="17" t="str">
        <x:v>C04</x:v>
      </x:c>
      <x:c r="C519" s="17" t="str">
        <x:v>collection</x:v>
      </x:c>
      <x:c r="D519" s="17" t="str">
        <x:v>汕头虚拟回收/检测中心</x:v>
      </x:c>
      <x:c r="E519" s="24" t="n">
        <x:v>116.6775856</x:v>
      </x:c>
      <x:c r="F519" s="24" t="n">
        <x:v>23.3563921</x:v>
      </x:c>
      <x:c r="G519" s="17" t="str">
        <x:v>P02E</x:v>
      </x:c>
      <x:c r="H519" s="17" t="str">
        <x:v>echelon</x:v>
      </x:c>
      <x:c r="I519" s="17" t="str">
        <x:v>广东光华科技股份有限公司（梯次功能）</x:v>
      </x:c>
      <x:c r="J519" s="24" t="n">
        <x:v>116.6775856</x:v>
      </x:c>
      <x:c r="K519" s="24" t="n">
        <x:v>23.3563921</x:v>
      </x:c>
      <x:c r="L519" s="21" t="n">
        <x:f>6371*ACOS(MIN(1,COS(F519*PI()/180)*COS(K519*PI()/180)*COS((J519-E519)*PI()/180)+SIN(F519*PI()/180)*SIN(K519*PI()/180)))</x:f>
        <x:v>0</x:v>
      </x:c>
      <x:c r="M519" s="21" t="n">
        <x:f>L519*'情景参数模板'!$D$31</x:f>
        <x:v>0</x:v>
      </x:c>
      <x:c r="N519" s="21" t="n">
        <x:f>IF(C519="source",'情景参数模板'!$D$12,IF(H519="echelon",'情景参数模板'!$D$13,'情景参数模板'!$D$14))</x:f>
        <x:v>0.49</x:v>
      </x:c>
      <x:c r="O519" s="21" t="n">
        <x:f>IF(C519="source",'情景参数模板'!$D$18,IF(H519="echelon",'情景参数模板'!$D$19,'情景参数模板'!$D$20))</x:f>
        <x:v>300</x:v>
      </x:c>
      <x:c r="P519" s="17" t="n">
        <x:f>IF(M519&lt;=O519,1,0)</x:f>
        <x:v>1</x:v>
      </x:c>
      <x:c r="Q519" s="17" t="str">
        <x:v>D-road proxy; B-coordinates</x:v>
      </x:c>
    </x:row>
    <x:row r="520">
      <x:c r="A520" s="17" t="str">
        <x:v>A0516</x:v>
      </x:c>
      <x:c r="B520" s="17" t="str">
        <x:v>C04</x:v>
      </x:c>
      <x:c r="C520" s="17" t="str">
        <x:v>collection</x:v>
      </x:c>
      <x:c r="D520" s="17" t="str">
        <x:v>汕头虚拟回收/检测中心</x:v>
      </x:c>
      <x:c r="E520" s="24" t="n">
        <x:v>116.6775856</x:v>
      </x:c>
      <x:c r="F520" s="24" t="n">
        <x:v>23.3563921</x:v>
      </x:c>
      <x:c r="G520" s="17" t="str">
        <x:v>P02R</x:v>
      </x:c>
      <x:c r="H520" s="17" t="str">
        <x:v>recycling</x:v>
      </x:c>
      <x:c r="I520" s="17" t="str">
        <x:v>广东光华科技股份有限公司（再生功能）</x:v>
      </x:c>
      <x:c r="J520" s="24" t="n">
        <x:v>116.6775856</x:v>
      </x:c>
      <x:c r="K520" s="24" t="n">
        <x:v>23.3563921</x:v>
      </x:c>
      <x:c r="L520" s="21" t="n">
        <x:f>6371*ACOS(MIN(1,COS(F520*PI()/180)*COS(K520*PI()/180)*COS((J520-E520)*PI()/180)+SIN(F520*PI()/180)*SIN(K520*PI()/180)))</x:f>
        <x:v>0</x:v>
      </x:c>
      <x:c r="M520" s="21" t="n">
        <x:f>L520*'情景参数模板'!$D$31</x:f>
        <x:v>0</x:v>
      </x:c>
      <x:c r="N520" s="21" t="n">
        <x:f>IF(C520="source",'情景参数模板'!$D$12,IF(H520="echelon",'情景参数模板'!$D$13,'情景参数模板'!$D$14))</x:f>
        <x:v>0.49</x:v>
      </x:c>
      <x:c r="O520" s="21" t="n">
        <x:f>IF(C520="source",'情景参数模板'!$D$18,IF(H520="echelon",'情景参数模板'!$D$19,'情景参数模板'!$D$20))</x:f>
        <x:v>400</x:v>
      </x:c>
      <x:c r="P520" s="17" t="n">
        <x:f>IF(M520&lt;=O520,1,0)</x:f>
        <x:v>1</x:v>
      </x:c>
      <x:c r="Q520" s="17" t="str">
        <x:v>D-road proxy; B-coordinates</x:v>
      </x:c>
    </x:row>
    <x:row r="521">
      <x:c r="A521" s="17" t="str">
        <x:v>A0517</x:v>
      </x:c>
      <x:c r="B521" s="17" t="str">
        <x:v>C04</x:v>
      </x:c>
      <x:c r="C521" s="17" t="str">
        <x:v>collection</x:v>
      </x:c>
      <x:c r="D521" s="17" t="str">
        <x:v>汕头虚拟回收/检测中心</x:v>
      </x:c>
      <x:c r="E521" s="24" t="n">
        <x:v>116.6775856</x:v>
      </x:c>
      <x:c r="F521" s="24" t="n">
        <x:v>23.3563921</x:v>
      </x:c>
      <x:c r="G521" s="17" t="str">
        <x:v>P03</x:v>
      </x:c>
      <x:c r="H521" s="17" t="str">
        <x:v>echelon</x:v>
      </x:c>
      <x:c r="I521" s="17" t="str">
        <x:v>深圳深汕特别合作区乾泰技术有限公司</x:v>
      </x:c>
      <x:c r="J521" s="24" t="n">
        <x:v>115.5099937</x:v>
      </x:c>
      <x:c r="K521" s="24" t="n">
        <x:v>23.0123639</x:v>
      </x:c>
      <x:c r="L521" s="21" t="n">
        <x:f>6371*ACOS(MIN(1,COS(F521*PI()/180)*COS(K521*PI()/180)*COS((J521-E521)*PI()/180)+SIN(F521*PI()/180)*SIN(K521*PI()/180)))</x:f>
        <x:v>125.32598093140014</x:v>
      </x:c>
      <x:c r="M521" s="21" t="n">
        <x:f>L521*'情景参数模板'!$D$31</x:f>
        <x:v>150.39117711768017</x:v>
      </x:c>
      <x:c r="N521" s="21" t="n">
        <x:f>IF(C521="source",'情景参数模板'!$D$12,IF(H521="echelon",'情景参数模板'!$D$13,'情景参数模板'!$D$14))</x:f>
        <x:v>0.49</x:v>
      </x:c>
      <x:c r="O521" s="21" t="n">
        <x:f>IF(C521="source",'情景参数模板'!$D$18,IF(H521="echelon",'情景参数模板'!$D$19,'情景参数模板'!$D$20))</x:f>
        <x:v>300</x:v>
      </x:c>
      <x:c r="P521" s="17" t="n">
        <x:f>IF(M521&lt;=O521,1,0)</x:f>
        <x:v>1</x:v>
      </x:c>
      <x:c r="Q521" s="17" t="str">
        <x:v>D-road proxy; B-coordinates</x:v>
      </x:c>
    </x:row>
    <x:row r="522">
      <x:c r="A522" s="17" t="str">
        <x:v>A0518</x:v>
      </x:c>
      <x:c r="B522" s="17" t="str">
        <x:v>C04</x:v>
      </x:c>
      <x:c r="C522" s="17" t="str">
        <x:v>collection</x:v>
      </x:c>
      <x:c r="D522" s="17" t="str">
        <x:v>汕头虚拟回收/检测中心</x:v>
      </x:c>
      <x:c r="E522" s="24" t="n">
        <x:v>116.6775856</x:v>
      </x:c>
      <x:c r="F522" s="24" t="n">
        <x:v>23.3563921</x:v>
      </x:c>
      <x:c r="G522" s="17" t="str">
        <x:v>P04</x:v>
      </x:c>
      <x:c r="H522" s="17" t="str">
        <x:v>echelon</x:v>
      </x:c>
      <x:c r="I522" s="17" t="str">
        <x:v>珠海中力新能源科技有限公司</x:v>
      </x:c>
      <x:c r="J522" s="24" t="n">
        <x:v>113.5721327</x:v>
      </x:c>
      <x:c r="K522" s="24" t="n">
        <x:v>22.273734</x:v>
      </x:c>
      <x:c r="L522" s="21" t="n">
        <x:f>6371*ACOS(MIN(1,COS(F522*PI()/180)*COS(K522*PI()/180)*COS((J522-E522)*PI()/180)+SIN(F522*PI()/180)*SIN(K522*PI()/180)))</x:f>
        <x:v>340.2873692564277</x:v>
      </x:c>
      <x:c r="M522" s="21" t="n">
        <x:f>L522*'情景参数模板'!$D$31</x:f>
        <x:v>408.34484310771325</x:v>
      </x:c>
      <x:c r="N522" s="21" t="n">
        <x:f>IF(C522="source",'情景参数模板'!$D$12,IF(H522="echelon",'情景参数模板'!$D$13,'情景参数模板'!$D$14))</x:f>
        <x:v>0.49</x:v>
      </x:c>
      <x:c r="O522" s="21" t="n">
        <x:f>IF(C522="source",'情景参数模板'!$D$18,IF(H522="echelon",'情景参数模板'!$D$19,'情景参数模板'!$D$20))</x:f>
        <x:v>300</x:v>
      </x:c>
      <x:c r="P522" s="17" t="n">
        <x:f>IF(M522&lt;=O522,1,0)</x:f>
        <x:v>0</x:v>
      </x:c>
      <x:c r="Q522" s="17" t="str">
        <x:v>D-road proxy; B-coordinates</x:v>
      </x:c>
    </x:row>
    <x:row r="523">
      <x:c r="A523" s="17" t="str">
        <x:v>A0519</x:v>
      </x:c>
      <x:c r="B523" s="17" t="str">
        <x:v>C04</x:v>
      </x:c>
      <x:c r="C523" s="17" t="str">
        <x:v>collection</x:v>
      </x:c>
      <x:c r="D523" s="17" t="str">
        <x:v>汕头虚拟回收/检测中心</x:v>
      </x:c>
      <x:c r="E523" s="24" t="n">
        <x:v>116.6775856</x:v>
      </x:c>
      <x:c r="F523" s="24" t="n">
        <x:v>23.3563921</x:v>
      </x:c>
      <x:c r="G523" s="17" t="str">
        <x:v>P05</x:v>
      </x:c>
      <x:c r="H523" s="17" t="str">
        <x:v>echelon</x:v>
      </x:c>
      <x:c r="I523" s="17" t="str">
        <x:v>惠州市恒创睿能环保科技有限公司</x:v>
      </x:c>
      <x:c r="J523" s="24" t="n">
        <x:v>114.4127007</x:v>
      </x:c>
      <x:c r="K523" s="24" t="n">
        <x:v>23.1125153</x:v>
      </x:c>
      <x:c r="L523" s="21" t="n">
        <x:f>6371*ACOS(MIN(1,COS(F523*PI()/180)*COS(K523*PI()/180)*COS((J523-E523)*PI()/180)+SIN(F523*PI()/180)*SIN(K523*PI()/180)))</x:f>
        <x:v>232.99958546699187</x:v>
      </x:c>
      <x:c r="M523" s="21" t="n">
        <x:f>L523*'情景参数模板'!$D$31</x:f>
        <x:v>279.59950256039025</x:v>
      </x:c>
      <x:c r="N523" s="21" t="n">
        <x:f>IF(C523="source",'情景参数模板'!$D$12,IF(H523="echelon",'情景参数模板'!$D$13,'情景参数模板'!$D$14))</x:f>
        <x:v>0.49</x:v>
      </x:c>
      <x:c r="O523" s="21" t="n">
        <x:f>IF(C523="source",'情景参数模板'!$D$18,IF(H523="echelon",'情景参数模板'!$D$19,'情景参数模板'!$D$20))</x:f>
        <x:v>300</x:v>
      </x:c>
      <x:c r="P523" s="17" t="n">
        <x:f>IF(M523&lt;=O523,1,0)</x:f>
        <x:v>1</x:v>
      </x:c>
      <x:c r="Q523" s="17" t="str">
        <x:v>D-road proxy; B-coordinates</x:v>
      </x:c>
    </x:row>
    <x:row r="524">
      <x:c r="A524" s="17" t="str">
        <x:v>A0520</x:v>
      </x:c>
      <x:c r="B524" s="17" t="str">
        <x:v>C04</x:v>
      </x:c>
      <x:c r="C524" s="17" t="str">
        <x:v>collection</x:v>
      </x:c>
      <x:c r="D524" s="17" t="str">
        <x:v>汕头虚拟回收/检测中心</x:v>
      </x:c>
      <x:c r="E524" s="24" t="n">
        <x:v>116.6775856</x:v>
      </x:c>
      <x:c r="F524" s="24" t="n">
        <x:v>23.3563921</x:v>
      </x:c>
      <x:c r="G524" s="17" t="str">
        <x:v>P06</x:v>
      </x:c>
      <x:c r="H524" s="17" t="str">
        <x:v>echelon</x:v>
      </x:c>
      <x:c r="I524" s="17" t="str">
        <x:v>江门市朗达锂电池有限公司</x:v>
      </x:c>
      <x:c r="J524" s="24" t="n">
        <x:v>113.0761073</x:v>
      </x:c>
      <x:c r="K524" s="24" t="n">
        <x:v>22.5816619</x:v>
      </x:c>
      <x:c r="L524" s="21" t="n">
        <x:f>6371*ACOS(MIN(1,COS(F524*PI()/180)*COS(K524*PI()/180)*COS((J524-E524)*PI()/180)+SIN(F524*PI()/180)*SIN(K524*PI()/180)))</x:f>
        <x:v>378.6321234404451</x:v>
      </x:c>
      <x:c r="M524" s="21" t="n">
        <x:f>L524*'情景参数模板'!$D$31</x:f>
        <x:v>454.35854812853415</x:v>
      </x:c>
      <x:c r="N524" s="21" t="n">
        <x:f>IF(C524="source",'情景参数模板'!$D$12,IF(H524="echelon",'情景参数模板'!$D$13,'情景参数模板'!$D$14))</x:f>
        <x:v>0.49</x:v>
      </x:c>
      <x:c r="O524" s="21" t="n">
        <x:f>IF(C524="source",'情景参数模板'!$D$18,IF(H524="echelon",'情景参数模板'!$D$19,'情景参数模板'!$D$20))</x:f>
        <x:v>300</x:v>
      </x:c>
      <x:c r="P524" s="17" t="n">
        <x:f>IF(M524&lt;=O524,1,0)</x:f>
        <x:v>0</x:v>
      </x:c>
      <x:c r="Q524" s="17" t="str">
        <x:v>D-road proxy; B-coordinates</x:v>
      </x:c>
    </x:row>
    <x:row r="525">
      <x:c r="A525" s="17" t="str">
        <x:v>A0521</x:v>
      </x:c>
      <x:c r="B525" s="17" t="str">
        <x:v>C04</x:v>
      </x:c>
      <x:c r="C525" s="17" t="str">
        <x:v>collection</x:v>
      </x:c>
      <x:c r="D525" s="17" t="str">
        <x:v>汕头虚拟回收/检测中心</x:v>
      </x:c>
      <x:c r="E525" s="24" t="n">
        <x:v>116.6775856</x:v>
      </x:c>
      <x:c r="F525" s="24" t="n">
        <x:v>23.3563921</x:v>
      </x:c>
      <x:c r="G525" s="17" t="str">
        <x:v>P07</x:v>
      </x:c>
      <x:c r="H525" s="17" t="str">
        <x:v>echelon</x:v>
      </x:c>
      <x:c r="I525" s="17" t="str">
        <x:v>广东迪度新能源有限公司</x:v>
      </x:c>
      <x:c r="J525" s="24" t="n">
        <x:v>113.7452332</x:v>
      </x:c>
      <x:c r="K525" s="24" t="n">
        <x:v>23.0183568</x:v>
      </x:c>
      <x:c r="L525" s="21" t="n">
        <x:f>6371*ACOS(MIN(1,COS(F525*PI()/180)*COS(K525*PI()/180)*COS((J525-E525)*PI()/180)+SIN(F525*PI()/180)*SIN(K525*PI()/180)))</x:f>
        <x:v>302.0660678063366</x:v>
      </x:c>
      <x:c r="M525" s="21" t="n">
        <x:f>L525*'情景参数模板'!$D$31</x:f>
        <x:v>362.4792813676039</x:v>
      </x:c>
      <x:c r="N525" s="21" t="n">
        <x:f>IF(C525="source",'情景参数模板'!$D$12,IF(H525="echelon",'情景参数模板'!$D$13,'情景参数模板'!$D$14))</x:f>
        <x:v>0.49</x:v>
      </x:c>
      <x:c r="O525" s="21" t="n">
        <x:f>IF(C525="source",'情景参数模板'!$D$18,IF(H525="echelon",'情景参数模板'!$D$19,'情景参数模板'!$D$20))</x:f>
        <x:v>300</x:v>
      </x:c>
      <x:c r="P525" s="17" t="n">
        <x:f>IF(M525&lt;=O525,1,0)</x:f>
        <x:v>0</x:v>
      </x:c>
      <x:c r="Q525" s="17" t="str">
        <x:v>D-road proxy; B-coordinates</x:v>
      </x:c>
    </x:row>
    <x:row r="526">
      <x:c r="A526" s="17" t="str">
        <x:v>A0522</x:v>
      </x:c>
      <x:c r="B526" s="17" t="str">
        <x:v>C04</x:v>
      </x:c>
      <x:c r="C526" s="17" t="str">
        <x:v>collection</x:v>
      </x:c>
      <x:c r="D526" s="17" t="str">
        <x:v>汕头虚拟回收/检测中心</x:v>
      </x:c>
      <x:c r="E526" s="24" t="n">
        <x:v>116.6775856</x:v>
      </x:c>
      <x:c r="F526" s="24" t="n">
        <x:v>23.3563921</x:v>
      </x:c>
      <x:c r="G526" s="17" t="str">
        <x:v>P08</x:v>
      </x:c>
      <x:c r="H526" s="17" t="str">
        <x:v>echelon</x:v>
      </x:c>
      <x:c r="I526" s="17" t="str">
        <x:v>东莞市博森新能源有限公司</x:v>
      </x:c>
      <x:c r="J526" s="24" t="n">
        <x:v>113.7452332</x:v>
      </x:c>
      <x:c r="K526" s="24" t="n">
        <x:v>23.0183568</x:v>
      </x:c>
      <x:c r="L526" s="21" t="n">
        <x:f>6371*ACOS(MIN(1,COS(F526*PI()/180)*COS(K526*PI()/180)*COS((J526-E526)*PI()/180)+SIN(F526*PI()/180)*SIN(K526*PI()/180)))</x:f>
        <x:v>302.0660678063366</x:v>
      </x:c>
      <x:c r="M526" s="21" t="n">
        <x:f>L526*'情景参数模板'!$D$31</x:f>
        <x:v>362.4792813676039</x:v>
      </x:c>
      <x:c r="N526" s="21" t="n">
        <x:f>IF(C526="source",'情景参数模板'!$D$12,IF(H526="echelon",'情景参数模板'!$D$13,'情景参数模板'!$D$14))</x:f>
        <x:v>0.49</x:v>
      </x:c>
      <x:c r="O526" s="21" t="n">
        <x:f>IF(C526="source",'情景参数模板'!$D$18,IF(H526="echelon",'情景参数模板'!$D$19,'情景参数模板'!$D$20))</x:f>
        <x:v>300</x:v>
      </x:c>
      <x:c r="P526" s="17" t="n">
        <x:f>IF(M526&lt;=O526,1,0)</x:f>
        <x:v>0</x:v>
      </x:c>
      <x:c r="Q526" s="17" t="str">
        <x:v>D-road proxy; B-coordinates</x:v>
      </x:c>
    </x:row>
    <x:row r="527">
      <x:c r="A527" s="17" t="str">
        <x:v>A0523</x:v>
      </x:c>
      <x:c r="B527" s="17" t="str">
        <x:v>C04</x:v>
      </x:c>
      <x:c r="C527" s="17" t="str">
        <x:v>collection</x:v>
      </x:c>
      <x:c r="D527" s="17" t="str">
        <x:v>汕头虚拟回收/检测中心</x:v>
      </x:c>
      <x:c r="E527" s="24" t="n">
        <x:v>116.6775856</x:v>
      </x:c>
      <x:c r="F527" s="24" t="n">
        <x:v>23.3563921</x:v>
      </x:c>
      <x:c r="G527" s="17" t="str">
        <x:v>P09</x:v>
      </x:c>
      <x:c r="H527" s="17" t="str">
        <x:v>echelon</x:v>
      </x:c>
      <x:c r="I527" s="17" t="str">
        <x:v>广东宇阳新能源有限公司</x:v>
      </x:c>
      <x:c r="J527" s="24" t="n">
        <x:v>113.7452332</x:v>
      </x:c>
      <x:c r="K527" s="24" t="n">
        <x:v>23.0183568</x:v>
      </x:c>
      <x:c r="L527" s="21" t="n">
        <x:f>6371*ACOS(MIN(1,COS(F527*PI()/180)*COS(K527*PI()/180)*COS((J527-E527)*PI()/180)+SIN(F527*PI()/180)*SIN(K527*PI()/180)))</x:f>
        <x:v>302.0660678063366</x:v>
      </x:c>
      <x:c r="M527" s="21" t="n">
        <x:f>L527*'情景参数模板'!$D$31</x:f>
        <x:v>362.4792813676039</x:v>
      </x:c>
      <x:c r="N527" s="21" t="n">
        <x:f>IF(C527="source",'情景参数模板'!$D$12,IF(H527="echelon",'情景参数模板'!$D$13,'情景参数模板'!$D$14))</x:f>
        <x:v>0.49</x:v>
      </x:c>
      <x:c r="O527" s="21" t="n">
        <x:f>IF(C527="source",'情景参数模板'!$D$18,IF(H527="echelon",'情景参数模板'!$D$19,'情景参数模板'!$D$20))</x:f>
        <x:v>300</x:v>
      </x:c>
      <x:c r="P527" s="17" t="n">
        <x:f>IF(M527&lt;=O527,1,0)</x:f>
        <x:v>0</x:v>
      </x:c>
      <x:c r="Q527" s="17" t="str">
        <x:v>D-road proxy; B-coordinates</x:v>
      </x:c>
    </x:row>
    <x:row r="528">
      <x:c r="A528" s="17" t="str">
        <x:v>A0524</x:v>
      </x:c>
      <x:c r="B528" s="17" t="str">
        <x:v>C04</x:v>
      </x:c>
      <x:c r="C528" s="17" t="str">
        <x:v>collection</x:v>
      </x:c>
      <x:c r="D528" s="17" t="str">
        <x:v>汕头虚拟回收/检测中心</x:v>
      </x:c>
      <x:c r="E528" s="24" t="n">
        <x:v>116.6775856</x:v>
      </x:c>
      <x:c r="F528" s="24" t="n">
        <x:v>23.3563921</x:v>
      </x:c>
      <x:c r="G528" s="17" t="str">
        <x:v>P10</x:v>
      </x:c>
      <x:c r="H528" s="17" t="str">
        <x:v>echelon</x:v>
      </x:c>
      <x:c r="I528" s="17" t="str">
        <x:v>广州广汽商贸再生资源有限公司</x:v>
      </x:c>
      <x:c r="J528" s="24" t="n">
        <x:v>113.2589581</x:v>
      </x:c>
      <x:c r="K528" s="24" t="n">
        <x:v>23.1288429</x:v>
      </x:c>
      <x:c r="L528" s="21" t="n">
        <x:f>6371*ACOS(MIN(1,COS(F528*PI()/180)*COS(K528*PI()/180)*COS((J528-E528)*PI()/180)+SIN(F528*PI()/180)*SIN(K528*PI()/180)))</x:f>
        <x:v>350.1899949540084</x:v>
      </x:c>
      <x:c r="M528" s="21" t="n">
        <x:f>L528*'情景参数模板'!$D$31</x:f>
        <x:v>420.22799394481007</x:v>
      </x:c>
      <x:c r="N528" s="21" t="n">
        <x:f>IF(C528="source",'情景参数模板'!$D$12,IF(H528="echelon",'情景参数模板'!$D$13,'情景参数模板'!$D$14))</x:f>
        <x:v>0.49</x:v>
      </x:c>
      <x:c r="O528" s="21" t="n">
        <x:f>IF(C528="source",'情景参数模板'!$D$18,IF(H528="echelon",'情景参数模板'!$D$19,'情景参数模板'!$D$20))</x:f>
        <x:v>300</x:v>
      </x:c>
      <x:c r="P528" s="17" t="n">
        <x:f>IF(M528&lt;=O528,1,0)</x:f>
        <x:v>0</x:v>
      </x:c>
      <x:c r="Q528" s="17" t="str">
        <x:v>D-road proxy; B-coordinates</x:v>
      </x:c>
    </x:row>
    <x:row r="529">
      <x:c r="A529" s="17" t="str">
        <x:v>A0525</x:v>
      </x:c>
      <x:c r="B529" s="17" t="str">
        <x:v>C04</x:v>
      </x:c>
      <x:c r="C529" s="17" t="str">
        <x:v>collection</x:v>
      </x:c>
      <x:c r="D529" s="17" t="str">
        <x:v>汕头虚拟回收/检测中心</x:v>
      </x:c>
      <x:c r="E529" s="24" t="n">
        <x:v>116.6775856</x:v>
      </x:c>
      <x:c r="F529" s="24" t="n">
        <x:v>23.3563921</x:v>
      </x:c>
      <x:c r="G529" s="17" t="str">
        <x:v>P11</x:v>
      </x:c>
      <x:c r="H529" s="17" t="str">
        <x:v>echelon</x:v>
      </x:c>
      <x:c r="I529" s="17" t="str">
        <x:v>深圳市杰成镍钴新能源科技有限公司</x:v>
      </x:c>
      <x:c r="J529" s="24" t="n">
        <x:v>114.0545429</x:v>
      </x:c>
      <x:c r="K529" s="24" t="n">
        <x:v>22.5445741</x:v>
      </x:c>
      <x:c r="L529" s="21" t="n">
        <x:f>6371*ACOS(MIN(1,COS(F529*PI()/180)*COS(K529*PI()/180)*COS((J529-E529)*PI()/180)+SIN(F529*PI()/180)*SIN(K529*PI()/180)))</x:f>
        <x:v>283.33857381725</x:v>
      </x:c>
      <x:c r="M529" s="21" t="n">
        <x:f>L529*'情景参数模板'!$D$31</x:f>
        <x:v>340.00628858069996</x:v>
      </x:c>
      <x:c r="N529" s="21" t="n">
        <x:f>IF(C529="source",'情景参数模板'!$D$12,IF(H529="echelon",'情景参数模板'!$D$13,'情景参数模板'!$D$14))</x:f>
        <x:v>0.49</x:v>
      </x:c>
      <x:c r="O529" s="21" t="n">
        <x:f>IF(C529="source",'情景参数模板'!$D$18,IF(H529="echelon",'情景参数模板'!$D$19,'情景参数模板'!$D$20))</x:f>
        <x:v>300</x:v>
      </x:c>
      <x:c r="P529" s="17" t="n">
        <x:f>IF(M529&lt;=O529,1,0)</x:f>
        <x:v>0</x:v>
      </x:c>
      <x:c r="Q529" s="17" t="str">
        <x:v>D-road proxy; B-coordinates</x:v>
      </x:c>
    </x:row>
    <x:row r="530">
      <x:c r="A530" s="17" t="str">
        <x:v>A0526</x:v>
      </x:c>
      <x:c r="B530" s="17" t="str">
        <x:v>C04</x:v>
      </x:c>
      <x:c r="C530" s="17" t="str">
        <x:v>collection</x:v>
      </x:c>
      <x:c r="D530" s="17" t="str">
        <x:v>汕头虚拟回收/检测中心</x:v>
      </x:c>
      <x:c r="E530" s="24" t="n">
        <x:v>116.6775856</x:v>
      </x:c>
      <x:c r="F530" s="24" t="n">
        <x:v>23.3563921</x:v>
      </x:c>
      <x:c r="G530" s="17" t="str">
        <x:v>P12</x:v>
      </x:c>
      <x:c r="H530" s="17" t="str">
        <x:v>recycling</x:v>
      </x:c>
      <x:c r="I530" s="17" t="str">
        <x:v>江门市恒创睿能环保科技有限公司</x:v>
      </x:c>
      <x:c r="J530" s="24" t="n">
        <x:v>113.0761073</x:v>
      </x:c>
      <x:c r="K530" s="24" t="n">
        <x:v>22.5816619</x:v>
      </x:c>
      <x:c r="L530" s="21" t="n">
        <x:f>6371*ACOS(MIN(1,COS(F530*PI()/180)*COS(K530*PI()/180)*COS((J530-E530)*PI()/180)+SIN(F530*PI()/180)*SIN(K530*PI()/180)))</x:f>
        <x:v>378.6321234404451</x:v>
      </x:c>
      <x:c r="M530" s="21" t="n">
        <x:f>L530*'情景参数模板'!$D$31</x:f>
        <x:v>454.35854812853415</x:v>
      </x:c>
      <x:c r="N530" s="21" t="n">
        <x:f>IF(C530="source",'情景参数模板'!$D$12,IF(H530="echelon",'情景参数模板'!$D$13,'情景参数模板'!$D$14))</x:f>
        <x:v>0.49</x:v>
      </x:c>
      <x:c r="O530" s="21" t="n">
        <x:f>IF(C530="source",'情景参数模板'!$D$18,IF(H530="echelon",'情景参数模板'!$D$19,'情景参数模板'!$D$20))</x:f>
        <x:v>400</x:v>
      </x:c>
      <x:c r="P530" s="17" t="n">
        <x:f>IF(M530&lt;=O530,1,0)</x:f>
        <x:v>0</x:v>
      </x:c>
      <x:c r="Q530" s="17" t="str">
        <x:v>D-road proxy; B-coordinates</x:v>
      </x:c>
    </x:row>
    <x:row r="531">
      <x:c r="A531" s="17" t="str">
        <x:v>A0527</x:v>
      </x:c>
      <x:c r="B531" s="17" t="str">
        <x:v>C04</x:v>
      </x:c>
      <x:c r="C531" s="17" t="str">
        <x:v>collection</x:v>
      </x:c>
      <x:c r="D531" s="17" t="str">
        <x:v>汕头虚拟回收/检测中心</x:v>
      </x:c>
      <x:c r="E531" s="24" t="n">
        <x:v>116.6775856</x:v>
      </x:c>
      <x:c r="F531" s="24" t="n">
        <x:v>23.3563921</x:v>
      </x:c>
      <x:c r="G531" s="17" t="str">
        <x:v>P13</x:v>
      </x:c>
      <x:c r="H531" s="17" t="str">
        <x:v>recycling</x:v>
      </x:c>
      <x:c r="I531" s="17" t="str">
        <x:v>广东佳纳能源科技有限公司</x:v>
      </x:c>
      <x:c r="J531" s="24" t="n">
        <x:v>113.0505994</x:v>
      </x:c>
      <x:c r="K531" s="24" t="n">
        <x:v>23.6832984</x:v>
      </x:c>
      <x:c r="L531" s="21" t="n">
        <x:f>6371*ACOS(MIN(1,COS(F531*PI()/180)*COS(K531*PI()/180)*COS((J531-E531)*PI()/180)+SIN(F531*PI()/180)*SIN(K531*PI()/180)))</x:f>
        <x:v>371.5685810407413</x:v>
      </x:c>
      <x:c r="M531" s="21" t="n">
        <x:f>L531*'情景参数模板'!$D$31</x:f>
        <x:v>445.8822972488896</x:v>
      </x:c>
      <x:c r="N531" s="21" t="n">
        <x:f>IF(C531="source",'情景参数模板'!$D$12,IF(H531="echelon",'情景参数模板'!$D$13,'情景参数模板'!$D$14))</x:f>
        <x:v>0.49</x:v>
      </x:c>
      <x:c r="O531" s="21" t="n">
        <x:f>IF(C531="source",'情景参数模板'!$D$18,IF(H531="echelon",'情景参数模板'!$D$19,'情景参数模板'!$D$20))</x:f>
        <x:v>400</x:v>
      </x:c>
      <x:c r="P531" s="17" t="n">
        <x:f>IF(M531&lt;=O531,1,0)</x:f>
        <x:v>0</x:v>
      </x:c>
      <x:c r="Q531" s="17" t="str">
        <x:v>D-road proxy; B-coordinates</x:v>
      </x:c>
    </x:row>
    <x:row r="532">
      <x:c r="A532" s="17" t="str">
        <x:v>A0528</x:v>
      </x:c>
      <x:c r="B532" s="17" t="str">
        <x:v>C04</x:v>
      </x:c>
      <x:c r="C532" s="17" t="str">
        <x:v>collection</x:v>
      </x:c>
      <x:c r="D532" s="17" t="str">
        <x:v>汕头虚拟回收/检测中心</x:v>
      </x:c>
      <x:c r="E532" s="24" t="n">
        <x:v>116.6775856</x:v>
      </x:c>
      <x:c r="F532" s="24" t="n">
        <x:v>23.3563921</x:v>
      </x:c>
      <x:c r="G532" s="17" t="str">
        <x:v>P14</x:v>
      </x:c>
      <x:c r="H532" s="17" t="str">
        <x:v>echelon</x:v>
      </x:c>
      <x:c r="I532" s="17" t="str">
        <x:v>格林美（深圳）循环科技有限公司</x:v>
      </x:c>
      <x:c r="J532" s="24" t="n">
        <x:v>114.0545429</x:v>
      </x:c>
      <x:c r="K532" s="24" t="n">
        <x:v>22.5445741</x:v>
      </x:c>
      <x:c r="L532" s="21" t="n">
        <x:f>6371*ACOS(MIN(1,COS(F532*PI()/180)*COS(K532*PI()/180)*COS((J532-E532)*PI()/180)+SIN(F532*PI()/180)*SIN(K532*PI()/180)))</x:f>
        <x:v>283.33857381725</x:v>
      </x:c>
      <x:c r="M532" s="21" t="n">
        <x:f>L532*'情景参数模板'!$D$31</x:f>
        <x:v>340.00628858069996</x:v>
      </x:c>
      <x:c r="N532" s="21" t="n">
        <x:f>IF(C532="source",'情景参数模板'!$D$12,IF(H532="echelon",'情景参数模板'!$D$13,'情景参数模板'!$D$14))</x:f>
        <x:v>0.49</x:v>
      </x:c>
      <x:c r="O532" s="21" t="n">
        <x:f>IF(C532="source",'情景参数模板'!$D$18,IF(H532="echelon",'情景参数模板'!$D$19,'情景参数模板'!$D$20))</x:f>
        <x:v>300</x:v>
      </x:c>
      <x:c r="P532" s="17" t="n">
        <x:f>IF(M532&lt;=O532,1,0)</x:f>
        <x:v>0</x:v>
      </x:c>
      <x:c r="Q532" s="17" t="str">
        <x:v>D-road proxy; B-coordinates</x:v>
      </x:c>
    </x:row>
    <x:row r="533">
      <x:c r="A533" s="17" t="str">
        <x:v>A0529</x:v>
      </x:c>
      <x:c r="B533" s="17" t="str">
        <x:v>C04</x:v>
      </x:c>
      <x:c r="C533" s="17" t="str">
        <x:v>collection</x:v>
      </x:c>
      <x:c r="D533" s="17" t="str">
        <x:v>汕头虚拟回收/检测中心</x:v>
      </x:c>
      <x:c r="E533" s="24" t="n">
        <x:v>116.6775856</x:v>
      </x:c>
      <x:c r="F533" s="24" t="n">
        <x:v>23.3563921</x:v>
      </x:c>
      <x:c r="G533" s="17" t="str">
        <x:v>P15</x:v>
      </x:c>
      <x:c r="H533" s="17" t="str">
        <x:v>echelon</x:v>
      </x:c>
      <x:c r="I533" s="17" t="str">
        <x:v>绿循新能源科技（佛山）有限责任公司</x:v>
      </x:c>
      <x:c r="J533" s="24" t="n">
        <x:v>113.1159558</x:v>
      </x:c>
      <x:c r="K533" s="24" t="n">
        <x:v>23.0239788</x:v>
      </x:c>
      <x:c r="L533" s="21" t="n">
        <x:f>6371*ACOS(MIN(1,COS(F533*PI()/180)*COS(K533*PI()/180)*COS((J533-E533)*PI()/180)+SIN(F533*PI()/180)*SIN(K533*PI()/180)))</x:f>
        <x:v>365.8985033160558</x:v>
      </x:c>
      <x:c r="M533" s="21" t="n">
        <x:f>L533*'情景参数模板'!$D$31</x:f>
        <x:v>439.0782039792669</x:v>
      </x:c>
      <x:c r="N533" s="21" t="n">
        <x:f>IF(C533="source",'情景参数模板'!$D$12,IF(H533="echelon",'情景参数模板'!$D$13,'情景参数模板'!$D$14))</x:f>
        <x:v>0.49</x:v>
      </x:c>
      <x:c r="O533" s="21" t="n">
        <x:f>IF(C533="source",'情景参数模板'!$D$18,IF(H533="echelon",'情景参数模板'!$D$19,'情景参数模板'!$D$20))</x:f>
        <x:v>300</x:v>
      </x:c>
      <x:c r="P533" s="17" t="n">
        <x:f>IF(M533&lt;=O533,1,0)</x:f>
        <x:v>0</x:v>
      </x:c>
      <x:c r="Q533" s="17" t="str">
        <x:v>D-road proxy; B-coordinates</x:v>
      </x:c>
    </x:row>
    <x:row r="534">
      <x:c r="A534" s="17" t="str">
        <x:v>A0530</x:v>
      </x:c>
      <x:c r="B534" s="17" t="str">
        <x:v>C04</x:v>
      </x:c>
      <x:c r="C534" s="17" t="str">
        <x:v>collection</x:v>
      </x:c>
      <x:c r="D534" s="17" t="str">
        <x:v>汕头虚拟回收/检测中心</x:v>
      </x:c>
      <x:c r="E534" s="24" t="n">
        <x:v>116.6775856</x:v>
      </x:c>
      <x:c r="F534" s="24" t="n">
        <x:v>23.3563921</x:v>
      </x:c>
      <x:c r="G534" s="17" t="str">
        <x:v>P16</x:v>
      </x:c>
      <x:c r="H534" s="17" t="str">
        <x:v>echelon</x:v>
      </x:c>
      <x:c r="I534" s="17" t="str">
        <x:v>深圳艾云动智慧科技有限公司</x:v>
      </x:c>
      <x:c r="J534" s="24" t="n">
        <x:v>114.0545429</x:v>
      </x:c>
      <x:c r="K534" s="24" t="n">
        <x:v>22.5445741</x:v>
      </x:c>
      <x:c r="L534" s="21" t="n">
        <x:f>6371*ACOS(MIN(1,COS(F534*PI()/180)*COS(K534*PI()/180)*COS((J534-E534)*PI()/180)+SIN(F534*PI()/180)*SIN(K534*PI()/180)))</x:f>
        <x:v>283.33857381725</x:v>
      </x:c>
      <x:c r="M534" s="21" t="n">
        <x:f>L534*'情景参数模板'!$D$31</x:f>
        <x:v>340.00628858069996</x:v>
      </x:c>
      <x:c r="N534" s="21" t="n">
        <x:f>IF(C534="source",'情景参数模板'!$D$12,IF(H534="echelon",'情景参数模板'!$D$13,'情景参数模板'!$D$14))</x:f>
        <x:v>0.49</x:v>
      </x:c>
      <x:c r="O534" s="21" t="n">
        <x:f>IF(C534="source",'情景参数模板'!$D$18,IF(H534="echelon",'情景参数模板'!$D$19,'情景参数模板'!$D$20))</x:f>
        <x:v>300</x:v>
      </x:c>
      <x:c r="P534" s="17" t="n">
        <x:f>IF(M534&lt;=O534,1,0)</x:f>
        <x:v>0</x:v>
      </x:c>
      <x:c r="Q534" s="17" t="str">
        <x:v>D-road proxy; B-coordinates</x:v>
      </x:c>
    </x:row>
    <x:row r="535">
      <x:c r="A535" s="17" t="str">
        <x:v>A0531</x:v>
      </x:c>
      <x:c r="B535" s="17" t="str">
        <x:v>C04</x:v>
      </x:c>
      <x:c r="C535" s="17" t="str">
        <x:v>collection</x:v>
      </x:c>
      <x:c r="D535" s="17" t="str">
        <x:v>汕头虚拟回收/检测中心</x:v>
      </x:c>
      <x:c r="E535" s="24" t="n">
        <x:v>116.6775856</x:v>
      </x:c>
      <x:c r="F535" s="24" t="n">
        <x:v>23.3563921</x:v>
      </x:c>
      <x:c r="G535" s="17" t="str">
        <x:v>P17</x:v>
      </x:c>
      <x:c r="H535" s="17" t="str">
        <x:v>echelon</x:v>
      </x:c>
      <x:c r="I535" s="17" t="str">
        <x:v>深圳市荣高晟新能源科技有限公司</x:v>
      </x:c>
      <x:c r="J535" s="24" t="n">
        <x:v>114.0545429</x:v>
      </x:c>
      <x:c r="K535" s="24" t="n">
        <x:v>22.5445741</x:v>
      </x:c>
      <x:c r="L535" s="21" t="n">
        <x:f>6371*ACOS(MIN(1,COS(F535*PI()/180)*COS(K535*PI()/180)*COS((J535-E535)*PI()/180)+SIN(F535*PI()/180)*SIN(K535*PI()/180)))</x:f>
        <x:v>283.33857381725</x:v>
      </x:c>
      <x:c r="M535" s="21" t="n">
        <x:f>L535*'情景参数模板'!$D$31</x:f>
        <x:v>340.00628858069996</x:v>
      </x:c>
      <x:c r="N535" s="21" t="n">
        <x:f>IF(C535="source",'情景参数模板'!$D$12,IF(H535="echelon",'情景参数模板'!$D$13,'情景参数模板'!$D$14))</x:f>
        <x:v>0.49</x:v>
      </x:c>
      <x:c r="O535" s="21" t="n">
        <x:f>IF(C535="source",'情景参数模板'!$D$18,IF(H535="echelon",'情景参数模板'!$D$19,'情景参数模板'!$D$20))</x:f>
        <x:v>300</x:v>
      </x:c>
      <x:c r="P535" s="17" t="n">
        <x:f>IF(M535&lt;=O535,1,0)</x:f>
        <x:v>0</x:v>
      </x:c>
      <x:c r="Q535" s="17" t="str">
        <x:v>D-road proxy; B-coordinates</x:v>
      </x:c>
    </x:row>
    <x:row r="536">
      <x:c r="A536" s="17" t="str">
        <x:v>A0532</x:v>
      </x:c>
      <x:c r="B536" s="17" t="str">
        <x:v>C04</x:v>
      </x:c>
      <x:c r="C536" s="17" t="str">
        <x:v>collection</x:v>
      </x:c>
      <x:c r="D536" s="17" t="str">
        <x:v>汕头虚拟回收/检测中心</x:v>
      </x:c>
      <x:c r="E536" s="24" t="n">
        <x:v>116.6775856</x:v>
      </x:c>
      <x:c r="F536" s="24" t="n">
        <x:v>23.3563921</x:v>
      </x:c>
      <x:c r="G536" s="17" t="str">
        <x:v>P18</x:v>
      </x:c>
      <x:c r="H536" s="17" t="str">
        <x:v>echelon</x:v>
      </x:c>
      <x:c r="I536" s="17" t="str">
        <x:v>中商锂新能源科技（惠州）有限公司</x:v>
      </x:c>
      <x:c r="J536" s="24" t="n">
        <x:v>114.4127007</x:v>
      </x:c>
      <x:c r="K536" s="24" t="n">
        <x:v>23.1125153</x:v>
      </x:c>
      <x:c r="L536" s="21" t="n">
        <x:f>6371*ACOS(MIN(1,COS(F536*PI()/180)*COS(K536*PI()/180)*COS((J536-E536)*PI()/180)+SIN(F536*PI()/180)*SIN(K536*PI()/180)))</x:f>
        <x:v>232.99958546699187</x:v>
      </x:c>
      <x:c r="M536" s="21" t="n">
        <x:f>L536*'情景参数模板'!$D$31</x:f>
        <x:v>279.59950256039025</x:v>
      </x:c>
      <x:c r="N536" s="21" t="n">
        <x:f>IF(C536="source",'情景参数模板'!$D$12,IF(H536="echelon",'情景参数模板'!$D$13,'情景参数模板'!$D$14))</x:f>
        <x:v>0.49</x:v>
      </x:c>
      <x:c r="O536" s="21" t="n">
        <x:f>IF(C536="source",'情景参数模板'!$D$18,IF(H536="echelon",'情景参数模板'!$D$19,'情景参数模板'!$D$20))</x:f>
        <x:v>300</x:v>
      </x:c>
      <x:c r="P536" s="17" t="n">
        <x:f>IF(M536&lt;=O536,1,0)</x:f>
        <x:v>1</x:v>
      </x:c>
      <x:c r="Q536" s="17" t="str">
        <x:v>D-road proxy; B-coordinates</x:v>
      </x:c>
    </x:row>
    <x:row r="537">
      <x:c r="A537" s="17" t="str">
        <x:v>A0533</x:v>
      </x:c>
      <x:c r="B537" s="17" t="str">
        <x:v>C04</x:v>
      </x:c>
      <x:c r="C537" s="17" t="str">
        <x:v>collection</x:v>
      </x:c>
      <x:c r="D537" s="17" t="str">
        <x:v>汕头虚拟回收/检测中心</x:v>
      </x:c>
      <x:c r="E537" s="24" t="n">
        <x:v>116.6775856</x:v>
      </x:c>
      <x:c r="F537" s="24" t="n">
        <x:v>23.3563921</x:v>
      </x:c>
      <x:c r="G537" s="17" t="str">
        <x:v>P19</x:v>
      </x:c>
      <x:c r="H537" s="17" t="str">
        <x:v>recycling</x:v>
      </x:c>
      <x:c r="I537" s="17" t="str">
        <x:v>广东盛祥新材料科技有限公司</x:v>
      </x:c>
      <x:c r="J537" s="24" t="n">
        <x:v>113.8155263</x:v>
      </x:c>
      <x:c r="K537" s="24" t="n">
        <x:v>24.8309489</x:v>
      </x:c>
      <x:c r="L537" s="21" t="n">
        <x:f>6371*ACOS(MIN(1,COS(F537*PI()/180)*COS(K537*PI()/180)*COS((J537-E537)*PI()/180)+SIN(F537*PI()/180)*SIN(K537*PI()/180)))</x:f>
        <x:v>333.5802590119702</x:v>
      </x:c>
      <x:c r="M537" s="21" t="n">
        <x:f>L537*'情景参数模板'!$D$31</x:f>
        <x:v>400.29631081436423</x:v>
      </x:c>
      <x:c r="N537" s="21" t="n">
        <x:f>IF(C537="source",'情景参数模板'!$D$12,IF(H537="echelon",'情景参数模板'!$D$13,'情景参数模板'!$D$14))</x:f>
        <x:v>0.49</x:v>
      </x:c>
      <x:c r="O537" s="21" t="n">
        <x:f>IF(C537="source",'情景参数模板'!$D$18,IF(H537="echelon",'情景参数模板'!$D$19,'情景参数模板'!$D$20))</x:f>
        <x:v>400</x:v>
      </x:c>
      <x:c r="P537" s="17" t="n">
        <x:f>IF(M537&lt;=O537,1,0)</x:f>
        <x:v>0</x:v>
      </x:c>
      <x:c r="Q537" s="17" t="str">
        <x:v>D-road proxy; B-coordinates</x:v>
      </x:c>
    </x:row>
    <x:row r="538">
      <x:c r="A538" s="17" t="str">
        <x:v>A0534</x:v>
      </x:c>
      <x:c r="B538" s="17" t="str">
        <x:v>C04</x:v>
      </x:c>
      <x:c r="C538" s="17" t="str">
        <x:v>collection</x:v>
      </x:c>
      <x:c r="D538" s="17" t="str">
        <x:v>汕头虚拟回收/检测中心</x:v>
      </x:c>
      <x:c r="E538" s="24" t="n">
        <x:v>116.6775856</x:v>
      </x:c>
      <x:c r="F538" s="24" t="n">
        <x:v>23.3563921</x:v>
      </x:c>
      <x:c r="G538" s="17" t="str">
        <x:v>P20E</x:v>
      </x:c>
      <x:c r="H538" s="17" t="str">
        <x:v>echelon</x:v>
      </x:c>
      <x:c r="I538" s="17" t="str">
        <x:v>广东金晟新能源股份有限公司（梯次功能）</x:v>
      </x:c>
      <x:c r="J538" s="24" t="n">
        <x:v>112.4603629</x:v>
      </x:c>
      <x:c r="K538" s="24" t="n">
        <x:v>23.0501661</x:v>
      </x:c>
      <x:c r="L538" s="21" t="n">
        <x:f>6371*ACOS(MIN(1,COS(F538*PI()/180)*COS(K538*PI()/180)*COS((J538-E538)*PI()/180)+SIN(F538*PI()/180)*SIN(K538*PI()/180)))</x:f>
        <x:v>432.3301436322801</x:v>
      </x:c>
      <x:c r="M538" s="21" t="n">
        <x:f>L538*'情景参数模板'!$D$31</x:f>
        <x:v>518.7961723587362</x:v>
      </x:c>
      <x:c r="N538" s="21" t="n">
        <x:f>IF(C538="source",'情景参数模板'!$D$12,IF(H538="echelon",'情景参数模板'!$D$13,'情景参数模板'!$D$14))</x:f>
        <x:v>0.49</x:v>
      </x:c>
      <x:c r="O538" s="21" t="n">
        <x:f>IF(C538="source",'情景参数模板'!$D$18,IF(H538="echelon",'情景参数模板'!$D$19,'情景参数模板'!$D$20))</x:f>
        <x:v>300</x:v>
      </x:c>
      <x:c r="P538" s="17" t="n">
        <x:f>IF(M538&lt;=O538,1,0)</x:f>
        <x:v>0</x:v>
      </x:c>
      <x:c r="Q538" s="17" t="str">
        <x:v>D-road proxy; B-coordinates</x:v>
      </x:c>
    </x:row>
    <x:row r="539">
      <x:c r="A539" s="17" t="str">
        <x:v>A0535</x:v>
      </x:c>
      <x:c r="B539" s="17" t="str">
        <x:v>C04</x:v>
      </x:c>
      <x:c r="C539" s="17" t="str">
        <x:v>collection</x:v>
      </x:c>
      <x:c r="D539" s="17" t="str">
        <x:v>汕头虚拟回收/检测中心</x:v>
      </x:c>
      <x:c r="E539" s="24" t="n">
        <x:v>116.6775856</x:v>
      </x:c>
      <x:c r="F539" s="24" t="n">
        <x:v>23.3563921</x:v>
      </x:c>
      <x:c r="G539" s="17" t="str">
        <x:v>P20R</x:v>
      </x:c>
      <x:c r="H539" s="17" t="str">
        <x:v>recycling</x:v>
      </x:c>
      <x:c r="I539" s="17" t="str">
        <x:v>广东金晟新能源股份有限公司（再生功能）</x:v>
      </x:c>
      <x:c r="J539" s="24" t="n">
        <x:v>112.4603629</x:v>
      </x:c>
      <x:c r="K539" s="24" t="n">
        <x:v>23.0501661</x:v>
      </x:c>
      <x:c r="L539" s="21" t="n">
        <x:f>6371*ACOS(MIN(1,COS(F539*PI()/180)*COS(K539*PI()/180)*COS((J539-E539)*PI()/180)+SIN(F539*PI()/180)*SIN(K539*PI()/180)))</x:f>
        <x:v>432.3301436322801</x:v>
      </x:c>
      <x:c r="M539" s="21" t="n">
        <x:f>L539*'情景参数模板'!$D$31</x:f>
        <x:v>518.7961723587362</x:v>
      </x:c>
      <x:c r="N539" s="21" t="n">
        <x:f>IF(C539="source",'情景参数模板'!$D$12,IF(H539="echelon",'情景参数模板'!$D$13,'情景参数模板'!$D$14))</x:f>
        <x:v>0.49</x:v>
      </x:c>
      <x:c r="O539" s="21" t="n">
        <x:f>IF(C539="source",'情景参数模板'!$D$18,IF(H539="echelon",'情景参数模板'!$D$19,'情景参数模板'!$D$20))</x:f>
        <x:v>400</x:v>
      </x:c>
      <x:c r="P539" s="17" t="n">
        <x:f>IF(M539&lt;=O539,1,0)</x:f>
        <x:v>0</x:v>
      </x:c>
      <x:c r="Q539" s="17" t="str">
        <x:v>D-road proxy; B-coordinates</x:v>
      </x:c>
    </x:row>
    <x:row r="540">
      <x:c r="A540" s="17" t="str">
        <x:v>A0536</x:v>
      </x:c>
      <x:c r="B540" s="17" t="str">
        <x:v>C04</x:v>
      </x:c>
      <x:c r="C540" s="17" t="str">
        <x:v>collection</x:v>
      </x:c>
      <x:c r="D540" s="17" t="str">
        <x:v>汕头虚拟回收/检测中心</x:v>
      </x:c>
      <x:c r="E540" s="24" t="n">
        <x:v>116.6775856</x:v>
      </x:c>
      <x:c r="F540" s="24" t="n">
        <x:v>23.3563921</x:v>
      </x:c>
      <x:c r="G540" s="17" t="str">
        <x:v>P21E</x:v>
      </x:c>
      <x:c r="H540" s="17" t="str">
        <x:v>echelon</x:v>
      </x:c>
      <x:c r="I540" s="17" t="str">
        <x:v>广东瑞科美电源技术有限公司（梯次功能）</x:v>
      </x:c>
      <x:c r="J540" s="24" t="n">
        <x:v>113.1159558</x:v>
      </x:c>
      <x:c r="K540" s="24" t="n">
        <x:v>23.0239788</x:v>
      </x:c>
      <x:c r="L540" s="21" t="n">
        <x:f>6371*ACOS(MIN(1,COS(F540*PI()/180)*COS(K540*PI()/180)*COS((J540-E540)*PI()/180)+SIN(F540*PI()/180)*SIN(K540*PI()/180)))</x:f>
        <x:v>365.8985033160558</x:v>
      </x:c>
      <x:c r="M540" s="21" t="n">
        <x:f>L540*'情景参数模板'!$D$31</x:f>
        <x:v>439.0782039792669</x:v>
      </x:c>
      <x:c r="N540" s="21" t="n">
        <x:f>IF(C540="source",'情景参数模板'!$D$12,IF(H540="echelon",'情景参数模板'!$D$13,'情景参数模板'!$D$14))</x:f>
        <x:v>0.49</x:v>
      </x:c>
      <x:c r="O540" s="21" t="n">
        <x:f>IF(C540="source",'情景参数模板'!$D$18,IF(H540="echelon",'情景参数模板'!$D$19,'情景参数模板'!$D$20))</x:f>
        <x:v>300</x:v>
      </x:c>
      <x:c r="P540" s="17" t="n">
        <x:f>IF(M540&lt;=O540,1,0)</x:f>
        <x:v>0</x:v>
      </x:c>
      <x:c r="Q540" s="17" t="str">
        <x:v>D-road proxy; B-coordinates</x:v>
      </x:c>
    </x:row>
    <x:row r="541">
      <x:c r="A541" s="17" t="str">
        <x:v>A0537</x:v>
      </x:c>
      <x:c r="B541" s="17" t="str">
        <x:v>C04</x:v>
      </x:c>
      <x:c r="C541" s="17" t="str">
        <x:v>collection</x:v>
      </x:c>
      <x:c r="D541" s="17" t="str">
        <x:v>汕头虚拟回收/检测中心</x:v>
      </x:c>
      <x:c r="E541" s="24" t="n">
        <x:v>116.6775856</x:v>
      </x:c>
      <x:c r="F541" s="24" t="n">
        <x:v>23.3563921</x:v>
      </x:c>
      <x:c r="G541" s="17" t="str">
        <x:v>P21R</x:v>
      </x:c>
      <x:c r="H541" s="17" t="str">
        <x:v>recycling</x:v>
      </x:c>
      <x:c r="I541" s="17" t="str">
        <x:v>广东瑞科美电源技术有限公司（再生功能）</x:v>
      </x:c>
      <x:c r="J541" s="24" t="n">
        <x:v>113.1159558</x:v>
      </x:c>
      <x:c r="K541" s="24" t="n">
        <x:v>23.0239788</x:v>
      </x:c>
      <x:c r="L541" s="21" t="n">
        <x:f>6371*ACOS(MIN(1,COS(F541*PI()/180)*COS(K541*PI()/180)*COS((J541-E541)*PI()/180)+SIN(F541*PI()/180)*SIN(K541*PI()/180)))</x:f>
        <x:v>365.8985033160558</x:v>
      </x:c>
      <x:c r="M541" s="21" t="n">
        <x:f>L541*'情景参数模板'!$D$31</x:f>
        <x:v>439.0782039792669</x:v>
      </x:c>
      <x:c r="N541" s="21" t="n">
        <x:f>IF(C541="source",'情景参数模板'!$D$12,IF(H541="echelon",'情景参数模板'!$D$13,'情景参数模板'!$D$14))</x:f>
        <x:v>0.49</x:v>
      </x:c>
      <x:c r="O541" s="21" t="n">
        <x:f>IF(C541="source",'情景参数模板'!$D$18,IF(H541="echelon",'情景参数模板'!$D$19,'情景参数模板'!$D$20))</x:f>
        <x:v>400</x:v>
      </x:c>
      <x:c r="P541" s="17" t="n">
        <x:f>IF(M541&lt;=O541,1,0)</x:f>
        <x:v>0</x:v>
      </x:c>
      <x:c r="Q541" s="17" t="str">
        <x:v>D-road proxy; B-coordinates</x:v>
      </x:c>
    </x:row>
    <x:row r="542">
      <x:c r="A542" s="17" t="str">
        <x:v>A0538</x:v>
      </x:c>
      <x:c r="B542" s="17" t="str">
        <x:v>C05</x:v>
      </x:c>
      <x:c r="C542" s="17" t="str">
        <x:v>collection</x:v>
      </x:c>
      <x:c r="D542" s="17" t="str">
        <x:v>佛山虚拟回收/检测中心</x:v>
      </x:c>
      <x:c r="E542" s="24" t="n">
        <x:v>113.1159558</x:v>
      </x:c>
      <x:c r="F542" s="24" t="n">
        <x:v>23.0239788</x:v>
      </x:c>
      <x:c r="G542" s="17" t="str">
        <x:v>P01</x:v>
      </x:c>
      <x:c r="H542" s="17" t="str">
        <x:v>recycling</x:v>
      </x:c>
      <x:c r="I542" s="17" t="str">
        <x:v>汕尾比亚迪废旧动力电池回收项目</x:v>
      </x:c>
      <x:c r="J542" s="24" t="n">
        <x:v>115.3492668</x:v>
      </x:c>
      <x:c r="K542" s="24" t="n">
        <x:v>22.838065</x:v>
      </x:c>
      <x:c r="L542" s="21" t="n">
        <x:f>6371*ACOS(MIN(1,COS(F542*PI()/180)*COS(K542*PI()/180)*COS((J542-E542)*PI()/180)+SIN(F542*PI()/180)*SIN(K542*PI()/180)))</x:f>
        <x:v>229.6382920834076</x:v>
      </x:c>
      <x:c r="M542" s="21" t="n">
        <x:f>L542*'情景参数模板'!$D$31</x:f>
        <x:v>275.5659505000891</x:v>
      </x:c>
      <x:c r="N542" s="21" t="n">
        <x:f>IF(C542="source",'情景参数模板'!$D$12,IF(H542="echelon",'情景参数模板'!$D$13,'情景参数模板'!$D$14))</x:f>
        <x:v>0.49</x:v>
      </x:c>
      <x:c r="O542" s="21" t="n">
        <x:f>IF(C542="source",'情景参数模板'!$D$18,IF(H542="echelon",'情景参数模板'!$D$19,'情景参数模板'!$D$20))</x:f>
        <x:v>400</x:v>
      </x:c>
      <x:c r="P542" s="17" t="n">
        <x:f>IF(M542&lt;=O542,1,0)</x:f>
        <x:v>1</x:v>
      </x:c>
      <x:c r="Q542" s="17" t="str">
        <x:v>D-road proxy; B-coordinates</x:v>
      </x:c>
    </x:row>
    <x:row r="543">
      <x:c r="A543" s="17" t="str">
        <x:v>A0539</x:v>
      </x:c>
      <x:c r="B543" s="17" t="str">
        <x:v>C05</x:v>
      </x:c>
      <x:c r="C543" s="17" t="str">
        <x:v>collection</x:v>
      </x:c>
      <x:c r="D543" s="17" t="str">
        <x:v>佛山虚拟回收/检测中心</x:v>
      </x:c>
      <x:c r="E543" s="24" t="n">
        <x:v>113.1159558</x:v>
      </x:c>
      <x:c r="F543" s="24" t="n">
        <x:v>23.0239788</x:v>
      </x:c>
      <x:c r="G543" s="17" t="str">
        <x:v>P02E</x:v>
      </x:c>
      <x:c r="H543" s="17" t="str">
        <x:v>echelon</x:v>
      </x:c>
      <x:c r="I543" s="17" t="str">
        <x:v>广东光华科技股份有限公司（梯次功能）</x:v>
      </x:c>
      <x:c r="J543" s="24" t="n">
        <x:v>116.6775856</x:v>
      </x:c>
      <x:c r="K543" s="24" t="n">
        <x:v>23.3563921</x:v>
      </x:c>
      <x:c r="L543" s="21" t="n">
        <x:f>6371*ACOS(MIN(1,COS(F543*PI()/180)*COS(K543*PI()/180)*COS((J543-E543)*PI()/180)+SIN(F543*PI()/180)*SIN(K543*PI()/180)))</x:f>
        <x:v>365.8985033160558</x:v>
      </x:c>
      <x:c r="M543" s="21" t="n">
        <x:f>L543*'情景参数模板'!$D$31</x:f>
        <x:v>439.0782039792669</x:v>
      </x:c>
      <x:c r="N543" s="21" t="n">
        <x:f>IF(C543="source",'情景参数模板'!$D$12,IF(H543="echelon",'情景参数模板'!$D$13,'情景参数模板'!$D$14))</x:f>
        <x:v>0.49</x:v>
      </x:c>
      <x:c r="O543" s="21" t="n">
        <x:f>IF(C543="source",'情景参数模板'!$D$18,IF(H543="echelon",'情景参数模板'!$D$19,'情景参数模板'!$D$20))</x:f>
        <x:v>300</x:v>
      </x:c>
      <x:c r="P543" s="17" t="n">
        <x:f>IF(M543&lt;=O543,1,0)</x:f>
        <x:v>0</x:v>
      </x:c>
      <x:c r="Q543" s="17" t="str">
        <x:v>D-road proxy; B-coordinates</x:v>
      </x:c>
    </x:row>
    <x:row r="544">
      <x:c r="A544" s="17" t="str">
        <x:v>A0540</x:v>
      </x:c>
      <x:c r="B544" s="17" t="str">
        <x:v>C05</x:v>
      </x:c>
      <x:c r="C544" s="17" t="str">
        <x:v>collection</x:v>
      </x:c>
      <x:c r="D544" s="17" t="str">
        <x:v>佛山虚拟回收/检测中心</x:v>
      </x:c>
      <x:c r="E544" s="24" t="n">
        <x:v>113.1159558</x:v>
      </x:c>
      <x:c r="F544" s="24" t="n">
        <x:v>23.0239788</x:v>
      </x:c>
      <x:c r="G544" s="17" t="str">
        <x:v>P02R</x:v>
      </x:c>
      <x:c r="H544" s="17" t="str">
        <x:v>recycling</x:v>
      </x:c>
      <x:c r="I544" s="17" t="str">
        <x:v>广东光华科技股份有限公司（再生功能）</x:v>
      </x:c>
      <x:c r="J544" s="24" t="n">
        <x:v>116.6775856</x:v>
      </x:c>
      <x:c r="K544" s="24" t="n">
        <x:v>23.3563921</x:v>
      </x:c>
      <x:c r="L544" s="21" t="n">
        <x:f>6371*ACOS(MIN(1,COS(F544*PI()/180)*COS(K544*PI()/180)*COS((J544-E544)*PI()/180)+SIN(F544*PI()/180)*SIN(K544*PI()/180)))</x:f>
        <x:v>365.8985033160558</x:v>
      </x:c>
      <x:c r="M544" s="21" t="n">
        <x:f>L544*'情景参数模板'!$D$31</x:f>
        <x:v>439.0782039792669</x:v>
      </x:c>
      <x:c r="N544" s="21" t="n">
        <x:f>IF(C544="source",'情景参数模板'!$D$12,IF(H544="echelon",'情景参数模板'!$D$13,'情景参数模板'!$D$14))</x:f>
        <x:v>0.49</x:v>
      </x:c>
      <x:c r="O544" s="21" t="n">
        <x:f>IF(C544="source",'情景参数模板'!$D$18,IF(H544="echelon",'情景参数模板'!$D$19,'情景参数模板'!$D$20))</x:f>
        <x:v>400</x:v>
      </x:c>
      <x:c r="P544" s="17" t="n">
        <x:f>IF(M544&lt;=O544,1,0)</x:f>
        <x:v>0</x:v>
      </x:c>
      <x:c r="Q544" s="17" t="str">
        <x:v>D-road proxy; B-coordinates</x:v>
      </x:c>
    </x:row>
    <x:row r="545">
      <x:c r="A545" s="17" t="str">
        <x:v>A0541</x:v>
      </x:c>
      <x:c r="B545" s="17" t="str">
        <x:v>C05</x:v>
      </x:c>
      <x:c r="C545" s="17" t="str">
        <x:v>collection</x:v>
      </x:c>
      <x:c r="D545" s="17" t="str">
        <x:v>佛山虚拟回收/检测中心</x:v>
      </x:c>
      <x:c r="E545" s="24" t="n">
        <x:v>113.1159558</x:v>
      </x:c>
      <x:c r="F545" s="24" t="n">
        <x:v>23.0239788</x:v>
      </x:c>
      <x:c r="G545" s="17" t="str">
        <x:v>P03</x:v>
      </x:c>
      <x:c r="H545" s="17" t="str">
        <x:v>echelon</x:v>
      </x:c>
      <x:c r="I545" s="17" t="str">
        <x:v>深圳深汕特别合作区乾泰技术有限公司</x:v>
      </x:c>
      <x:c r="J545" s="24" t="n">
        <x:v>115.5099937</x:v>
      </x:c>
      <x:c r="K545" s="24" t="n">
        <x:v>23.0123639</x:v>
      </x:c>
      <x:c r="L545" s="21" t="n">
        <x:f>6371*ACOS(MIN(1,COS(F545*PI()/180)*COS(K545*PI()/180)*COS((J545-E545)*PI()/180)+SIN(F545*PI()/180)*SIN(K545*PI()/180)))</x:f>
        <x:v>245.01055089313536</x:v>
      </x:c>
      <x:c r="M545" s="21" t="n">
        <x:f>L545*'情景参数模板'!$D$31</x:f>
        <x:v>294.0126610717624</x:v>
      </x:c>
      <x:c r="N545" s="21" t="n">
        <x:f>IF(C545="source",'情景参数模板'!$D$12,IF(H545="echelon",'情景参数模板'!$D$13,'情景参数模板'!$D$14))</x:f>
        <x:v>0.49</x:v>
      </x:c>
      <x:c r="O545" s="21" t="n">
        <x:f>IF(C545="source",'情景参数模板'!$D$18,IF(H545="echelon",'情景参数模板'!$D$19,'情景参数模板'!$D$20))</x:f>
        <x:v>300</x:v>
      </x:c>
      <x:c r="P545" s="17" t="n">
        <x:f>IF(M545&lt;=O545,1,0)</x:f>
        <x:v>1</x:v>
      </x:c>
      <x:c r="Q545" s="17" t="str">
        <x:v>D-road proxy; B-coordinates</x:v>
      </x:c>
    </x:row>
    <x:row r="546">
      <x:c r="A546" s="17" t="str">
        <x:v>A0542</x:v>
      </x:c>
      <x:c r="B546" s="17" t="str">
        <x:v>C05</x:v>
      </x:c>
      <x:c r="C546" s="17" t="str">
        <x:v>collection</x:v>
      </x:c>
      <x:c r="D546" s="17" t="str">
        <x:v>佛山虚拟回收/检测中心</x:v>
      </x:c>
      <x:c r="E546" s="24" t="n">
        <x:v>113.1159558</x:v>
      </x:c>
      <x:c r="F546" s="24" t="n">
        <x:v>23.0239788</x:v>
      </x:c>
      <x:c r="G546" s="17" t="str">
        <x:v>P04</x:v>
      </x:c>
      <x:c r="H546" s="17" t="str">
        <x:v>echelon</x:v>
      </x:c>
      <x:c r="I546" s="17" t="str">
        <x:v>珠海中力新能源科技有限公司</x:v>
      </x:c>
      <x:c r="J546" s="24" t="n">
        <x:v>113.5721327</x:v>
      </x:c>
      <x:c r="K546" s="24" t="n">
        <x:v>22.273734</x:v>
      </x:c>
      <x:c r="L546" s="21" t="n">
        <x:f>6371*ACOS(MIN(1,COS(F546*PI()/180)*COS(K546*PI()/180)*COS((J546-E546)*PI()/180)+SIN(F546*PI()/180)*SIN(K546*PI()/180)))</x:f>
        <x:v>95.6600972197494</x:v>
      </x:c>
      <x:c r="M546" s="21" t="n">
        <x:f>L546*'情景参数模板'!$D$31</x:f>
        <x:v>114.79211666369928</x:v>
      </x:c>
      <x:c r="N546" s="21" t="n">
        <x:f>IF(C546="source",'情景参数模板'!$D$12,IF(H546="echelon",'情景参数模板'!$D$13,'情景参数模板'!$D$14))</x:f>
        <x:v>0.49</x:v>
      </x:c>
      <x:c r="O546" s="21" t="n">
        <x:f>IF(C546="source",'情景参数模板'!$D$18,IF(H546="echelon",'情景参数模板'!$D$19,'情景参数模板'!$D$20))</x:f>
        <x:v>300</x:v>
      </x:c>
      <x:c r="P546" s="17" t="n">
        <x:f>IF(M546&lt;=O546,1,0)</x:f>
        <x:v>1</x:v>
      </x:c>
      <x:c r="Q546" s="17" t="str">
        <x:v>D-road proxy; B-coordinates</x:v>
      </x:c>
    </x:row>
    <x:row r="547">
      <x:c r="A547" s="17" t="str">
        <x:v>A0543</x:v>
      </x:c>
      <x:c r="B547" s="17" t="str">
        <x:v>C05</x:v>
      </x:c>
      <x:c r="C547" s="17" t="str">
        <x:v>collection</x:v>
      </x:c>
      <x:c r="D547" s="17" t="str">
        <x:v>佛山虚拟回收/检测中心</x:v>
      </x:c>
      <x:c r="E547" s="24" t="n">
        <x:v>113.1159558</x:v>
      </x:c>
      <x:c r="F547" s="24" t="n">
        <x:v>23.0239788</x:v>
      </x:c>
      <x:c r="G547" s="17" t="str">
        <x:v>P05</x:v>
      </x:c>
      <x:c r="H547" s="17" t="str">
        <x:v>echelon</x:v>
      </x:c>
      <x:c r="I547" s="17" t="str">
        <x:v>惠州市恒创睿能环保科技有限公司</x:v>
      </x:c>
      <x:c r="J547" s="24" t="n">
        <x:v>114.4127007</x:v>
      </x:c>
      <x:c r="K547" s="24" t="n">
        <x:v>23.1125153</x:v>
      </x:c>
      <x:c r="L547" s="21" t="n">
        <x:f>6371*ACOS(MIN(1,COS(F547*PI()/180)*COS(K547*PI()/180)*COS((J547-E547)*PI()/180)+SIN(F547*PI()/180)*SIN(K547*PI()/180)))</x:f>
        <x:v>133.0260660496842</x:v>
      </x:c>
      <x:c r="M547" s="21" t="n">
        <x:f>L547*'情景参数模板'!$D$31</x:f>
        <x:v>159.63127925962104</x:v>
      </x:c>
      <x:c r="N547" s="21" t="n">
        <x:f>IF(C547="source",'情景参数模板'!$D$12,IF(H547="echelon",'情景参数模板'!$D$13,'情景参数模板'!$D$14))</x:f>
        <x:v>0.49</x:v>
      </x:c>
      <x:c r="O547" s="21" t="n">
        <x:f>IF(C547="source",'情景参数模板'!$D$18,IF(H547="echelon",'情景参数模板'!$D$19,'情景参数模板'!$D$20))</x:f>
        <x:v>300</x:v>
      </x:c>
      <x:c r="P547" s="17" t="n">
        <x:f>IF(M547&lt;=O547,1,0)</x:f>
        <x:v>1</x:v>
      </x:c>
      <x:c r="Q547" s="17" t="str">
        <x:v>D-road proxy; B-coordinates</x:v>
      </x:c>
    </x:row>
    <x:row r="548">
      <x:c r="A548" s="17" t="str">
        <x:v>A0544</x:v>
      </x:c>
      <x:c r="B548" s="17" t="str">
        <x:v>C05</x:v>
      </x:c>
      <x:c r="C548" s="17" t="str">
        <x:v>collection</x:v>
      </x:c>
      <x:c r="D548" s="17" t="str">
        <x:v>佛山虚拟回收/检测中心</x:v>
      </x:c>
      <x:c r="E548" s="24" t="n">
        <x:v>113.1159558</x:v>
      </x:c>
      <x:c r="F548" s="24" t="n">
        <x:v>23.0239788</x:v>
      </x:c>
      <x:c r="G548" s="17" t="str">
        <x:v>P06</x:v>
      </x:c>
      <x:c r="H548" s="17" t="str">
        <x:v>echelon</x:v>
      </x:c>
      <x:c r="I548" s="17" t="str">
        <x:v>江门市朗达锂电池有限公司</x:v>
      </x:c>
      <x:c r="J548" s="24" t="n">
        <x:v>113.0761073</x:v>
      </x:c>
      <x:c r="K548" s="24" t="n">
        <x:v>22.5816619</x:v>
      </x:c>
      <x:c r="L548" s="21" t="n">
        <x:f>6371*ACOS(MIN(1,COS(F548*PI()/180)*COS(K548*PI()/180)*COS((J548-E548)*PI()/180)+SIN(F548*PI()/180)*SIN(K548*PI()/180)))</x:f>
        <x:v>49.35271597324547</x:v>
      </x:c>
      <x:c r="M548" s="21" t="n">
        <x:f>L548*'情景参数模板'!$D$31</x:f>
        <x:v>59.22325916789457</x:v>
      </x:c>
      <x:c r="N548" s="21" t="n">
        <x:f>IF(C548="source",'情景参数模板'!$D$12,IF(H548="echelon",'情景参数模板'!$D$13,'情景参数模板'!$D$14))</x:f>
        <x:v>0.49</x:v>
      </x:c>
      <x:c r="O548" s="21" t="n">
        <x:f>IF(C548="source",'情景参数模板'!$D$18,IF(H548="echelon",'情景参数模板'!$D$19,'情景参数模板'!$D$20))</x:f>
        <x:v>300</x:v>
      </x:c>
      <x:c r="P548" s="17" t="n">
        <x:f>IF(M548&lt;=O548,1,0)</x:f>
        <x:v>1</x:v>
      </x:c>
      <x:c r="Q548" s="17" t="str">
        <x:v>D-road proxy; B-coordinates</x:v>
      </x:c>
    </x:row>
    <x:row r="549">
      <x:c r="A549" s="17" t="str">
        <x:v>A0545</x:v>
      </x:c>
      <x:c r="B549" s="17" t="str">
        <x:v>C05</x:v>
      </x:c>
      <x:c r="C549" s="17" t="str">
        <x:v>collection</x:v>
      </x:c>
      <x:c r="D549" s="17" t="str">
        <x:v>佛山虚拟回收/检测中心</x:v>
      </x:c>
      <x:c r="E549" s="24" t="n">
        <x:v>113.1159558</x:v>
      </x:c>
      <x:c r="F549" s="24" t="n">
        <x:v>23.0239788</x:v>
      </x:c>
      <x:c r="G549" s="17" t="str">
        <x:v>P07</x:v>
      </x:c>
      <x:c r="H549" s="17" t="str">
        <x:v>echelon</x:v>
      </x:c>
      <x:c r="I549" s="17" t="str">
        <x:v>广东迪度新能源有限公司</x:v>
      </x:c>
      <x:c r="J549" s="24" t="n">
        <x:v>113.7452332</x:v>
      </x:c>
      <x:c r="K549" s="24" t="n">
        <x:v>23.0183568</x:v>
      </x:c>
      <x:c r="L549" s="21" t="n">
        <x:f>6371*ACOS(MIN(1,COS(F549*PI()/180)*COS(K549*PI()/180)*COS((J549-E549)*PI()/180)+SIN(F549*PI()/180)*SIN(K549*PI()/180)))</x:f>
        <x:v>64.40286310353615</x:v>
      </x:c>
      <x:c r="M549" s="21" t="n">
        <x:f>L549*'情景参数模板'!$D$31</x:f>
        <x:v>77.28343572424338</x:v>
      </x:c>
      <x:c r="N549" s="21" t="n">
        <x:f>IF(C549="source",'情景参数模板'!$D$12,IF(H549="echelon",'情景参数模板'!$D$13,'情景参数模板'!$D$14))</x:f>
        <x:v>0.49</x:v>
      </x:c>
      <x:c r="O549" s="21" t="n">
        <x:f>IF(C549="source",'情景参数模板'!$D$18,IF(H549="echelon",'情景参数模板'!$D$19,'情景参数模板'!$D$20))</x:f>
        <x:v>300</x:v>
      </x:c>
      <x:c r="P549" s="17" t="n">
        <x:f>IF(M549&lt;=O549,1,0)</x:f>
        <x:v>1</x:v>
      </x:c>
      <x:c r="Q549" s="17" t="str">
        <x:v>D-road proxy; B-coordinates</x:v>
      </x:c>
    </x:row>
    <x:row r="550">
      <x:c r="A550" s="17" t="str">
        <x:v>A0546</x:v>
      </x:c>
      <x:c r="B550" s="17" t="str">
        <x:v>C05</x:v>
      </x:c>
      <x:c r="C550" s="17" t="str">
        <x:v>collection</x:v>
      </x:c>
      <x:c r="D550" s="17" t="str">
        <x:v>佛山虚拟回收/检测中心</x:v>
      </x:c>
      <x:c r="E550" s="24" t="n">
        <x:v>113.1159558</x:v>
      </x:c>
      <x:c r="F550" s="24" t="n">
        <x:v>23.0239788</x:v>
      </x:c>
      <x:c r="G550" s="17" t="str">
        <x:v>P08</x:v>
      </x:c>
      <x:c r="H550" s="17" t="str">
        <x:v>echelon</x:v>
      </x:c>
      <x:c r="I550" s="17" t="str">
        <x:v>东莞市博森新能源有限公司</x:v>
      </x:c>
      <x:c r="J550" s="24" t="n">
        <x:v>113.7452332</x:v>
      </x:c>
      <x:c r="K550" s="24" t="n">
        <x:v>23.0183568</x:v>
      </x:c>
      <x:c r="L550" s="21" t="n">
        <x:f>6371*ACOS(MIN(1,COS(F550*PI()/180)*COS(K550*PI()/180)*COS((J550-E550)*PI()/180)+SIN(F550*PI()/180)*SIN(K550*PI()/180)))</x:f>
        <x:v>64.40286310353615</x:v>
      </x:c>
      <x:c r="M550" s="21" t="n">
        <x:f>L550*'情景参数模板'!$D$31</x:f>
        <x:v>77.28343572424338</x:v>
      </x:c>
      <x:c r="N550" s="21" t="n">
        <x:f>IF(C550="source",'情景参数模板'!$D$12,IF(H550="echelon",'情景参数模板'!$D$13,'情景参数模板'!$D$14))</x:f>
        <x:v>0.49</x:v>
      </x:c>
      <x:c r="O550" s="21" t="n">
        <x:f>IF(C550="source",'情景参数模板'!$D$18,IF(H550="echelon",'情景参数模板'!$D$19,'情景参数模板'!$D$20))</x:f>
        <x:v>300</x:v>
      </x:c>
      <x:c r="P550" s="17" t="n">
        <x:f>IF(M550&lt;=O550,1,0)</x:f>
        <x:v>1</x:v>
      </x:c>
      <x:c r="Q550" s="17" t="str">
        <x:v>D-road proxy; B-coordinates</x:v>
      </x:c>
    </x:row>
    <x:row r="551">
      <x:c r="A551" s="17" t="str">
        <x:v>A0547</x:v>
      </x:c>
      <x:c r="B551" s="17" t="str">
        <x:v>C05</x:v>
      </x:c>
      <x:c r="C551" s="17" t="str">
        <x:v>collection</x:v>
      </x:c>
      <x:c r="D551" s="17" t="str">
        <x:v>佛山虚拟回收/检测中心</x:v>
      </x:c>
      <x:c r="E551" s="24" t="n">
        <x:v>113.1159558</x:v>
      </x:c>
      <x:c r="F551" s="24" t="n">
        <x:v>23.0239788</x:v>
      </x:c>
      <x:c r="G551" s="17" t="str">
        <x:v>P09</x:v>
      </x:c>
      <x:c r="H551" s="17" t="str">
        <x:v>echelon</x:v>
      </x:c>
      <x:c r="I551" s="17" t="str">
        <x:v>广东宇阳新能源有限公司</x:v>
      </x:c>
      <x:c r="J551" s="24" t="n">
        <x:v>113.7452332</x:v>
      </x:c>
      <x:c r="K551" s="24" t="n">
        <x:v>23.0183568</x:v>
      </x:c>
      <x:c r="L551" s="21" t="n">
        <x:f>6371*ACOS(MIN(1,COS(F551*PI()/180)*COS(K551*PI()/180)*COS((J551-E551)*PI()/180)+SIN(F551*PI()/180)*SIN(K551*PI()/180)))</x:f>
        <x:v>64.40286310353615</x:v>
      </x:c>
      <x:c r="M551" s="21" t="n">
        <x:f>L551*'情景参数模板'!$D$31</x:f>
        <x:v>77.28343572424338</x:v>
      </x:c>
      <x:c r="N551" s="21" t="n">
        <x:f>IF(C551="source",'情景参数模板'!$D$12,IF(H551="echelon",'情景参数模板'!$D$13,'情景参数模板'!$D$14))</x:f>
        <x:v>0.49</x:v>
      </x:c>
      <x:c r="O551" s="21" t="n">
        <x:f>IF(C551="source",'情景参数模板'!$D$18,IF(H551="echelon",'情景参数模板'!$D$19,'情景参数模板'!$D$20))</x:f>
        <x:v>300</x:v>
      </x:c>
      <x:c r="P551" s="17" t="n">
        <x:f>IF(M551&lt;=O551,1,0)</x:f>
        <x:v>1</x:v>
      </x:c>
      <x:c r="Q551" s="17" t="str">
        <x:v>D-road proxy; B-coordinates</x:v>
      </x:c>
    </x:row>
    <x:row r="552">
      <x:c r="A552" s="17" t="str">
        <x:v>A0548</x:v>
      </x:c>
      <x:c r="B552" s="17" t="str">
        <x:v>C05</x:v>
      </x:c>
      <x:c r="C552" s="17" t="str">
        <x:v>collection</x:v>
      </x:c>
      <x:c r="D552" s="17" t="str">
        <x:v>佛山虚拟回收/检测中心</x:v>
      </x:c>
      <x:c r="E552" s="24" t="n">
        <x:v>113.1159558</x:v>
      </x:c>
      <x:c r="F552" s="24" t="n">
        <x:v>23.0239788</x:v>
      </x:c>
      <x:c r="G552" s="17" t="str">
        <x:v>P10</x:v>
      </x:c>
      <x:c r="H552" s="17" t="str">
        <x:v>echelon</x:v>
      </x:c>
      <x:c r="I552" s="17" t="str">
        <x:v>广州广汽商贸再生资源有限公司</x:v>
      </x:c>
      <x:c r="J552" s="24" t="n">
        <x:v>113.2589581</x:v>
      </x:c>
      <x:c r="K552" s="24" t="n">
        <x:v>23.1288429</x:v>
      </x:c>
      <x:c r="L552" s="21" t="n">
        <x:f>6371*ACOS(MIN(1,COS(F552*PI()/180)*COS(K552*PI()/180)*COS((J552-E552)*PI()/180)+SIN(F552*PI()/180)*SIN(K552*PI()/180)))</x:f>
        <x:v>18.707342512999915</x:v>
      </x:c>
      <x:c r="M552" s="21" t="n">
        <x:f>L552*'情景参数模板'!$D$31</x:f>
        <x:v>22.448811015599897</x:v>
      </x:c>
      <x:c r="N552" s="21" t="n">
        <x:f>IF(C552="source",'情景参数模板'!$D$12,IF(H552="echelon",'情景参数模板'!$D$13,'情景参数模板'!$D$14))</x:f>
        <x:v>0.49</x:v>
      </x:c>
      <x:c r="O552" s="21" t="n">
        <x:f>IF(C552="source",'情景参数模板'!$D$18,IF(H552="echelon",'情景参数模板'!$D$19,'情景参数模板'!$D$20))</x:f>
        <x:v>300</x:v>
      </x:c>
      <x:c r="P552" s="17" t="n">
        <x:f>IF(M552&lt;=O552,1,0)</x:f>
        <x:v>1</x:v>
      </x:c>
      <x:c r="Q552" s="17" t="str">
        <x:v>D-road proxy; B-coordinates</x:v>
      </x:c>
    </x:row>
    <x:row r="553">
      <x:c r="A553" s="17" t="str">
        <x:v>A0549</x:v>
      </x:c>
      <x:c r="B553" s="17" t="str">
        <x:v>C05</x:v>
      </x:c>
      <x:c r="C553" s="17" t="str">
        <x:v>collection</x:v>
      </x:c>
      <x:c r="D553" s="17" t="str">
        <x:v>佛山虚拟回收/检测中心</x:v>
      </x:c>
      <x:c r="E553" s="24" t="n">
        <x:v>113.1159558</x:v>
      </x:c>
      <x:c r="F553" s="24" t="n">
        <x:v>23.0239788</x:v>
      </x:c>
      <x:c r="G553" s="17" t="str">
        <x:v>P11</x:v>
      </x:c>
      <x:c r="H553" s="17" t="str">
        <x:v>echelon</x:v>
      </x:c>
      <x:c r="I553" s="17" t="str">
        <x:v>深圳市杰成镍钴新能源科技有限公司</x:v>
      </x:c>
      <x:c r="J553" s="24" t="n">
        <x:v>114.0545429</x:v>
      </x:c>
      <x:c r="K553" s="24" t="n">
        <x:v>22.5445741</x:v>
      </x:c>
      <x:c r="L553" s="21" t="n">
        <x:f>6371*ACOS(MIN(1,COS(F553*PI()/180)*COS(K553*PI()/180)*COS((J553-E553)*PI()/180)+SIN(F553*PI()/180)*SIN(K553*PI()/180)))</x:f>
        <x:v>110.00140131744698</x:v>
      </x:c>
      <x:c r="M553" s="21" t="n">
        <x:f>L553*'情景参数模板'!$D$31</x:f>
        <x:v>132.00168158093638</x:v>
      </x:c>
      <x:c r="N553" s="21" t="n">
        <x:f>IF(C553="source",'情景参数模板'!$D$12,IF(H553="echelon",'情景参数模板'!$D$13,'情景参数模板'!$D$14))</x:f>
        <x:v>0.49</x:v>
      </x:c>
      <x:c r="O553" s="21" t="n">
        <x:f>IF(C553="source",'情景参数模板'!$D$18,IF(H553="echelon",'情景参数模板'!$D$19,'情景参数模板'!$D$20))</x:f>
        <x:v>300</x:v>
      </x:c>
      <x:c r="P553" s="17" t="n">
        <x:f>IF(M553&lt;=O553,1,0)</x:f>
        <x:v>1</x:v>
      </x:c>
      <x:c r="Q553" s="17" t="str">
        <x:v>D-road proxy; B-coordinates</x:v>
      </x:c>
    </x:row>
    <x:row r="554">
      <x:c r="A554" s="17" t="str">
        <x:v>A0550</x:v>
      </x:c>
      <x:c r="B554" s="17" t="str">
        <x:v>C05</x:v>
      </x:c>
      <x:c r="C554" s="17" t="str">
        <x:v>collection</x:v>
      </x:c>
      <x:c r="D554" s="17" t="str">
        <x:v>佛山虚拟回收/检测中心</x:v>
      </x:c>
      <x:c r="E554" s="24" t="n">
        <x:v>113.1159558</x:v>
      </x:c>
      <x:c r="F554" s="24" t="n">
        <x:v>23.0239788</x:v>
      </x:c>
      <x:c r="G554" s="17" t="str">
        <x:v>P12</x:v>
      </x:c>
      <x:c r="H554" s="17" t="str">
        <x:v>recycling</x:v>
      </x:c>
      <x:c r="I554" s="17" t="str">
        <x:v>江门市恒创睿能环保科技有限公司</x:v>
      </x:c>
      <x:c r="J554" s="24" t="n">
        <x:v>113.0761073</x:v>
      </x:c>
      <x:c r="K554" s="24" t="n">
        <x:v>22.5816619</x:v>
      </x:c>
      <x:c r="L554" s="21" t="n">
        <x:f>6371*ACOS(MIN(1,COS(F554*PI()/180)*COS(K554*PI()/180)*COS((J554-E554)*PI()/180)+SIN(F554*PI()/180)*SIN(K554*PI()/180)))</x:f>
        <x:v>49.35271597324547</x:v>
      </x:c>
      <x:c r="M554" s="21" t="n">
        <x:f>L554*'情景参数模板'!$D$31</x:f>
        <x:v>59.22325916789457</x:v>
      </x:c>
      <x:c r="N554" s="21" t="n">
        <x:f>IF(C554="source",'情景参数模板'!$D$12,IF(H554="echelon",'情景参数模板'!$D$13,'情景参数模板'!$D$14))</x:f>
        <x:v>0.49</x:v>
      </x:c>
      <x:c r="O554" s="21" t="n">
        <x:f>IF(C554="source",'情景参数模板'!$D$18,IF(H554="echelon",'情景参数模板'!$D$19,'情景参数模板'!$D$20))</x:f>
        <x:v>400</x:v>
      </x:c>
      <x:c r="P554" s="17" t="n">
        <x:f>IF(M554&lt;=O554,1,0)</x:f>
        <x:v>1</x:v>
      </x:c>
      <x:c r="Q554" s="17" t="str">
        <x:v>D-road proxy; B-coordinates</x:v>
      </x:c>
    </x:row>
    <x:row r="555">
      <x:c r="A555" s="17" t="str">
        <x:v>A0551</x:v>
      </x:c>
      <x:c r="B555" s="17" t="str">
        <x:v>C05</x:v>
      </x:c>
      <x:c r="C555" s="17" t="str">
        <x:v>collection</x:v>
      </x:c>
      <x:c r="D555" s="17" t="str">
        <x:v>佛山虚拟回收/检测中心</x:v>
      </x:c>
      <x:c r="E555" s="24" t="n">
        <x:v>113.1159558</x:v>
      </x:c>
      <x:c r="F555" s="24" t="n">
        <x:v>23.0239788</x:v>
      </x:c>
      <x:c r="G555" s="17" t="str">
        <x:v>P13</x:v>
      </x:c>
      <x:c r="H555" s="17" t="str">
        <x:v>recycling</x:v>
      </x:c>
      <x:c r="I555" s="17" t="str">
        <x:v>广东佳纳能源科技有限公司</x:v>
      </x:c>
      <x:c r="J555" s="24" t="n">
        <x:v>113.0505994</x:v>
      </x:c>
      <x:c r="K555" s="24" t="n">
        <x:v>23.6832984</x:v>
      </x:c>
      <x:c r="L555" s="21" t="n">
        <x:f>6371*ACOS(MIN(1,COS(F555*PI()/180)*COS(K555*PI()/180)*COS((J555-E555)*PI()/180)+SIN(F555*PI()/180)*SIN(K555*PI()/180)))</x:f>
        <x:v>73.61595665399058</x:v>
      </x:c>
      <x:c r="M555" s="21" t="n">
        <x:f>L555*'情景参数模板'!$D$31</x:f>
        <x:v>88.3391479847887</x:v>
      </x:c>
      <x:c r="N555" s="21" t="n">
        <x:f>IF(C555="source",'情景参数模板'!$D$12,IF(H555="echelon",'情景参数模板'!$D$13,'情景参数模板'!$D$14))</x:f>
        <x:v>0.49</x:v>
      </x:c>
      <x:c r="O555" s="21" t="n">
        <x:f>IF(C555="source",'情景参数模板'!$D$18,IF(H555="echelon",'情景参数模板'!$D$19,'情景参数模板'!$D$20))</x:f>
        <x:v>400</x:v>
      </x:c>
      <x:c r="P555" s="17" t="n">
        <x:f>IF(M555&lt;=O555,1,0)</x:f>
        <x:v>1</x:v>
      </x:c>
      <x:c r="Q555" s="17" t="str">
        <x:v>D-road proxy; B-coordinates</x:v>
      </x:c>
    </x:row>
    <x:row r="556">
      <x:c r="A556" s="17" t="str">
        <x:v>A0552</x:v>
      </x:c>
      <x:c r="B556" s="17" t="str">
        <x:v>C05</x:v>
      </x:c>
      <x:c r="C556" s="17" t="str">
        <x:v>collection</x:v>
      </x:c>
      <x:c r="D556" s="17" t="str">
        <x:v>佛山虚拟回收/检测中心</x:v>
      </x:c>
      <x:c r="E556" s="24" t="n">
        <x:v>113.1159558</x:v>
      </x:c>
      <x:c r="F556" s="24" t="n">
        <x:v>23.0239788</x:v>
      </x:c>
      <x:c r="G556" s="17" t="str">
        <x:v>P14</x:v>
      </x:c>
      <x:c r="H556" s="17" t="str">
        <x:v>echelon</x:v>
      </x:c>
      <x:c r="I556" s="17" t="str">
        <x:v>格林美（深圳）循环科技有限公司</x:v>
      </x:c>
      <x:c r="J556" s="24" t="n">
        <x:v>114.0545429</x:v>
      </x:c>
      <x:c r="K556" s="24" t="n">
        <x:v>22.5445741</x:v>
      </x:c>
      <x:c r="L556" s="21" t="n">
        <x:f>6371*ACOS(MIN(1,COS(F556*PI()/180)*COS(K556*PI()/180)*COS((J556-E556)*PI()/180)+SIN(F556*PI()/180)*SIN(K556*PI()/180)))</x:f>
        <x:v>110.00140131744698</x:v>
      </x:c>
      <x:c r="M556" s="21" t="n">
        <x:f>L556*'情景参数模板'!$D$31</x:f>
        <x:v>132.00168158093638</x:v>
      </x:c>
      <x:c r="N556" s="21" t="n">
        <x:f>IF(C556="source",'情景参数模板'!$D$12,IF(H556="echelon",'情景参数模板'!$D$13,'情景参数模板'!$D$14))</x:f>
        <x:v>0.49</x:v>
      </x:c>
      <x:c r="O556" s="21" t="n">
        <x:f>IF(C556="source",'情景参数模板'!$D$18,IF(H556="echelon",'情景参数模板'!$D$19,'情景参数模板'!$D$20))</x:f>
        <x:v>300</x:v>
      </x:c>
      <x:c r="P556" s="17" t="n">
        <x:f>IF(M556&lt;=O556,1,0)</x:f>
        <x:v>1</x:v>
      </x:c>
      <x:c r="Q556" s="17" t="str">
        <x:v>D-road proxy; B-coordinates</x:v>
      </x:c>
    </x:row>
    <x:row r="557">
      <x:c r="A557" s="17" t="str">
        <x:v>A0553</x:v>
      </x:c>
      <x:c r="B557" s="17" t="str">
        <x:v>C05</x:v>
      </x:c>
      <x:c r="C557" s="17" t="str">
        <x:v>collection</x:v>
      </x:c>
      <x:c r="D557" s="17" t="str">
        <x:v>佛山虚拟回收/检测中心</x:v>
      </x:c>
      <x:c r="E557" s="24" t="n">
        <x:v>113.1159558</x:v>
      </x:c>
      <x:c r="F557" s="24" t="n">
        <x:v>23.0239788</x:v>
      </x:c>
      <x:c r="G557" s="17" t="str">
        <x:v>P15</x:v>
      </x:c>
      <x:c r="H557" s="17" t="str">
        <x:v>echelon</x:v>
      </x:c>
      <x:c r="I557" s="17" t="str">
        <x:v>绿循新能源科技（佛山）有限责任公司</x:v>
      </x:c>
      <x:c r="J557" s="24" t="n">
        <x:v>113.1159558</x:v>
      </x:c>
      <x:c r="K557" s="24" t="n">
        <x:v>23.0239788</x:v>
      </x:c>
      <x:c r="L557" s="21" t="n">
        <x:f>6371*ACOS(MIN(1,COS(F557*PI()/180)*COS(K557*PI()/180)*COS((J557-E557)*PI()/180)+SIN(F557*PI()/180)*SIN(K557*PI()/180)))</x:f>
        <x:v>0</x:v>
      </x:c>
      <x:c r="M557" s="21" t="n">
        <x:f>L557*'情景参数模板'!$D$31</x:f>
        <x:v>0</x:v>
      </x:c>
      <x:c r="N557" s="21" t="n">
        <x:f>IF(C557="source",'情景参数模板'!$D$12,IF(H557="echelon",'情景参数模板'!$D$13,'情景参数模板'!$D$14))</x:f>
        <x:v>0.49</x:v>
      </x:c>
      <x:c r="O557" s="21" t="n">
        <x:f>IF(C557="source",'情景参数模板'!$D$18,IF(H557="echelon",'情景参数模板'!$D$19,'情景参数模板'!$D$20))</x:f>
        <x:v>300</x:v>
      </x:c>
      <x:c r="P557" s="17" t="n">
        <x:f>IF(M557&lt;=O557,1,0)</x:f>
        <x:v>1</x:v>
      </x:c>
      <x:c r="Q557" s="17" t="str">
        <x:v>D-road proxy; B-coordinates</x:v>
      </x:c>
    </x:row>
    <x:row r="558">
      <x:c r="A558" s="17" t="str">
        <x:v>A0554</x:v>
      </x:c>
      <x:c r="B558" s="17" t="str">
        <x:v>C05</x:v>
      </x:c>
      <x:c r="C558" s="17" t="str">
        <x:v>collection</x:v>
      </x:c>
      <x:c r="D558" s="17" t="str">
        <x:v>佛山虚拟回收/检测中心</x:v>
      </x:c>
      <x:c r="E558" s="24" t="n">
        <x:v>113.1159558</x:v>
      </x:c>
      <x:c r="F558" s="24" t="n">
        <x:v>23.0239788</x:v>
      </x:c>
      <x:c r="G558" s="17" t="str">
        <x:v>P16</x:v>
      </x:c>
      <x:c r="H558" s="17" t="str">
        <x:v>echelon</x:v>
      </x:c>
      <x:c r="I558" s="17" t="str">
        <x:v>深圳艾云动智慧科技有限公司</x:v>
      </x:c>
      <x:c r="J558" s="24" t="n">
        <x:v>114.0545429</x:v>
      </x:c>
      <x:c r="K558" s="24" t="n">
        <x:v>22.5445741</x:v>
      </x:c>
      <x:c r="L558" s="21" t="n">
        <x:f>6371*ACOS(MIN(1,COS(F558*PI()/180)*COS(K558*PI()/180)*COS((J558-E558)*PI()/180)+SIN(F558*PI()/180)*SIN(K558*PI()/180)))</x:f>
        <x:v>110.00140131744698</x:v>
      </x:c>
      <x:c r="M558" s="21" t="n">
        <x:f>L558*'情景参数模板'!$D$31</x:f>
        <x:v>132.00168158093638</x:v>
      </x:c>
      <x:c r="N558" s="21" t="n">
        <x:f>IF(C558="source",'情景参数模板'!$D$12,IF(H558="echelon",'情景参数模板'!$D$13,'情景参数模板'!$D$14))</x:f>
        <x:v>0.49</x:v>
      </x:c>
      <x:c r="O558" s="21" t="n">
        <x:f>IF(C558="source",'情景参数模板'!$D$18,IF(H558="echelon",'情景参数模板'!$D$19,'情景参数模板'!$D$20))</x:f>
        <x:v>300</x:v>
      </x:c>
      <x:c r="P558" s="17" t="n">
        <x:f>IF(M558&lt;=O558,1,0)</x:f>
        <x:v>1</x:v>
      </x:c>
      <x:c r="Q558" s="17" t="str">
        <x:v>D-road proxy; B-coordinates</x:v>
      </x:c>
    </x:row>
    <x:row r="559">
      <x:c r="A559" s="17" t="str">
        <x:v>A0555</x:v>
      </x:c>
      <x:c r="B559" s="17" t="str">
        <x:v>C05</x:v>
      </x:c>
      <x:c r="C559" s="17" t="str">
        <x:v>collection</x:v>
      </x:c>
      <x:c r="D559" s="17" t="str">
        <x:v>佛山虚拟回收/检测中心</x:v>
      </x:c>
      <x:c r="E559" s="24" t="n">
        <x:v>113.1159558</x:v>
      </x:c>
      <x:c r="F559" s="24" t="n">
        <x:v>23.0239788</x:v>
      </x:c>
      <x:c r="G559" s="17" t="str">
        <x:v>P17</x:v>
      </x:c>
      <x:c r="H559" s="17" t="str">
        <x:v>echelon</x:v>
      </x:c>
      <x:c r="I559" s="17" t="str">
        <x:v>深圳市荣高晟新能源科技有限公司</x:v>
      </x:c>
      <x:c r="J559" s="24" t="n">
        <x:v>114.0545429</x:v>
      </x:c>
      <x:c r="K559" s="24" t="n">
        <x:v>22.5445741</x:v>
      </x:c>
      <x:c r="L559" s="21" t="n">
        <x:f>6371*ACOS(MIN(1,COS(F559*PI()/180)*COS(K559*PI()/180)*COS((J559-E559)*PI()/180)+SIN(F559*PI()/180)*SIN(K559*PI()/180)))</x:f>
        <x:v>110.00140131744698</x:v>
      </x:c>
      <x:c r="M559" s="21" t="n">
        <x:f>L559*'情景参数模板'!$D$31</x:f>
        <x:v>132.00168158093638</x:v>
      </x:c>
      <x:c r="N559" s="21" t="n">
        <x:f>IF(C559="source",'情景参数模板'!$D$12,IF(H559="echelon",'情景参数模板'!$D$13,'情景参数模板'!$D$14))</x:f>
        <x:v>0.49</x:v>
      </x:c>
      <x:c r="O559" s="21" t="n">
        <x:f>IF(C559="source",'情景参数模板'!$D$18,IF(H559="echelon",'情景参数模板'!$D$19,'情景参数模板'!$D$20))</x:f>
        <x:v>300</x:v>
      </x:c>
      <x:c r="P559" s="17" t="n">
        <x:f>IF(M559&lt;=O559,1,0)</x:f>
        <x:v>1</x:v>
      </x:c>
      <x:c r="Q559" s="17" t="str">
        <x:v>D-road proxy; B-coordinates</x:v>
      </x:c>
    </x:row>
    <x:row r="560">
      <x:c r="A560" s="17" t="str">
        <x:v>A0556</x:v>
      </x:c>
      <x:c r="B560" s="17" t="str">
        <x:v>C05</x:v>
      </x:c>
      <x:c r="C560" s="17" t="str">
        <x:v>collection</x:v>
      </x:c>
      <x:c r="D560" s="17" t="str">
        <x:v>佛山虚拟回收/检测中心</x:v>
      </x:c>
      <x:c r="E560" s="24" t="n">
        <x:v>113.1159558</x:v>
      </x:c>
      <x:c r="F560" s="24" t="n">
        <x:v>23.0239788</x:v>
      </x:c>
      <x:c r="G560" s="17" t="str">
        <x:v>P18</x:v>
      </x:c>
      <x:c r="H560" s="17" t="str">
        <x:v>echelon</x:v>
      </x:c>
      <x:c r="I560" s="17" t="str">
        <x:v>中商锂新能源科技（惠州）有限公司</x:v>
      </x:c>
      <x:c r="J560" s="24" t="n">
        <x:v>114.4127007</x:v>
      </x:c>
      <x:c r="K560" s="24" t="n">
        <x:v>23.1125153</x:v>
      </x:c>
      <x:c r="L560" s="21" t="n">
        <x:f>6371*ACOS(MIN(1,COS(F560*PI()/180)*COS(K560*PI()/180)*COS((J560-E560)*PI()/180)+SIN(F560*PI()/180)*SIN(K560*PI()/180)))</x:f>
        <x:v>133.0260660496842</x:v>
      </x:c>
      <x:c r="M560" s="21" t="n">
        <x:f>L560*'情景参数模板'!$D$31</x:f>
        <x:v>159.63127925962104</x:v>
      </x:c>
      <x:c r="N560" s="21" t="n">
        <x:f>IF(C560="source",'情景参数模板'!$D$12,IF(H560="echelon",'情景参数模板'!$D$13,'情景参数模板'!$D$14))</x:f>
        <x:v>0.49</x:v>
      </x:c>
      <x:c r="O560" s="21" t="n">
        <x:f>IF(C560="source",'情景参数模板'!$D$18,IF(H560="echelon",'情景参数模板'!$D$19,'情景参数模板'!$D$20))</x:f>
        <x:v>300</x:v>
      </x:c>
      <x:c r="P560" s="17" t="n">
        <x:f>IF(M560&lt;=O560,1,0)</x:f>
        <x:v>1</x:v>
      </x:c>
      <x:c r="Q560" s="17" t="str">
        <x:v>D-road proxy; B-coordinates</x:v>
      </x:c>
    </x:row>
    <x:row r="561">
      <x:c r="A561" s="17" t="str">
        <x:v>A0557</x:v>
      </x:c>
      <x:c r="B561" s="17" t="str">
        <x:v>C05</x:v>
      </x:c>
      <x:c r="C561" s="17" t="str">
        <x:v>collection</x:v>
      </x:c>
      <x:c r="D561" s="17" t="str">
        <x:v>佛山虚拟回收/检测中心</x:v>
      </x:c>
      <x:c r="E561" s="24" t="n">
        <x:v>113.1159558</x:v>
      </x:c>
      <x:c r="F561" s="24" t="n">
        <x:v>23.0239788</x:v>
      </x:c>
      <x:c r="G561" s="17" t="str">
        <x:v>P19</x:v>
      </x:c>
      <x:c r="H561" s="17" t="str">
        <x:v>recycling</x:v>
      </x:c>
      <x:c r="I561" s="17" t="str">
        <x:v>广东盛祥新材料科技有限公司</x:v>
      </x:c>
      <x:c r="J561" s="24" t="n">
        <x:v>113.8155263</x:v>
      </x:c>
      <x:c r="K561" s="24" t="n">
        <x:v>24.8309489</x:v>
      </x:c>
      <x:c r="L561" s="21" t="n">
        <x:f>6371*ACOS(MIN(1,COS(F561*PI()/180)*COS(K561*PI()/180)*COS((J561-E561)*PI()/180)+SIN(F561*PI()/180)*SIN(K561*PI()/180)))</x:f>
        <x:v>213.1343512095063</x:v>
      </x:c>
      <x:c r="M561" s="21" t="n">
        <x:f>L561*'情景参数模板'!$D$31</x:f>
        <x:v>255.76122145140755</x:v>
      </x:c>
      <x:c r="N561" s="21" t="n">
        <x:f>IF(C561="source",'情景参数模板'!$D$12,IF(H561="echelon",'情景参数模板'!$D$13,'情景参数模板'!$D$14))</x:f>
        <x:v>0.49</x:v>
      </x:c>
      <x:c r="O561" s="21" t="n">
        <x:f>IF(C561="source",'情景参数模板'!$D$18,IF(H561="echelon",'情景参数模板'!$D$19,'情景参数模板'!$D$20))</x:f>
        <x:v>400</x:v>
      </x:c>
      <x:c r="P561" s="17" t="n">
        <x:f>IF(M561&lt;=O561,1,0)</x:f>
        <x:v>1</x:v>
      </x:c>
      <x:c r="Q561" s="17" t="str">
        <x:v>D-road proxy; B-coordinates</x:v>
      </x:c>
    </x:row>
    <x:row r="562">
      <x:c r="A562" s="17" t="str">
        <x:v>A0558</x:v>
      </x:c>
      <x:c r="B562" s="17" t="str">
        <x:v>C05</x:v>
      </x:c>
      <x:c r="C562" s="17" t="str">
        <x:v>collection</x:v>
      </x:c>
      <x:c r="D562" s="17" t="str">
        <x:v>佛山虚拟回收/检测中心</x:v>
      </x:c>
      <x:c r="E562" s="24" t="n">
        <x:v>113.1159558</x:v>
      </x:c>
      <x:c r="F562" s="24" t="n">
        <x:v>23.0239788</x:v>
      </x:c>
      <x:c r="G562" s="17" t="str">
        <x:v>P20E</x:v>
      </x:c>
      <x:c r="H562" s="17" t="str">
        <x:v>echelon</x:v>
      </x:c>
      <x:c r="I562" s="17" t="str">
        <x:v>广东金晟新能源股份有限公司（梯次功能）</x:v>
      </x:c>
      <x:c r="J562" s="24" t="n">
        <x:v>112.4603629</x:v>
      </x:c>
      <x:c r="K562" s="24" t="n">
        <x:v>23.0501661</x:v>
      </x:c>
      <x:c r="L562" s="21" t="n">
        <x:f>6371*ACOS(MIN(1,COS(F562*PI()/180)*COS(K562*PI()/180)*COS((J562-E562)*PI()/180)+SIN(F562*PI()/180)*SIN(K562*PI()/180)))</x:f>
        <x:v>67.14818534262002</x:v>
      </x:c>
      <x:c r="M562" s="21" t="n">
        <x:f>L562*'情景参数模板'!$D$31</x:f>
        <x:v>80.57782241114403</x:v>
      </x:c>
      <x:c r="N562" s="21" t="n">
        <x:f>IF(C562="source",'情景参数模板'!$D$12,IF(H562="echelon",'情景参数模板'!$D$13,'情景参数模板'!$D$14))</x:f>
        <x:v>0.49</x:v>
      </x:c>
      <x:c r="O562" s="21" t="n">
        <x:f>IF(C562="source",'情景参数模板'!$D$18,IF(H562="echelon",'情景参数模板'!$D$19,'情景参数模板'!$D$20))</x:f>
        <x:v>300</x:v>
      </x:c>
      <x:c r="P562" s="17" t="n">
        <x:f>IF(M562&lt;=O562,1,0)</x:f>
        <x:v>1</x:v>
      </x:c>
      <x:c r="Q562" s="17" t="str">
        <x:v>D-road proxy; B-coordinates</x:v>
      </x:c>
    </x:row>
    <x:row r="563">
      <x:c r="A563" s="17" t="str">
        <x:v>A0559</x:v>
      </x:c>
      <x:c r="B563" s="17" t="str">
        <x:v>C05</x:v>
      </x:c>
      <x:c r="C563" s="17" t="str">
        <x:v>collection</x:v>
      </x:c>
      <x:c r="D563" s="17" t="str">
        <x:v>佛山虚拟回收/检测中心</x:v>
      </x:c>
      <x:c r="E563" s="24" t="n">
        <x:v>113.1159558</x:v>
      </x:c>
      <x:c r="F563" s="24" t="n">
        <x:v>23.0239788</x:v>
      </x:c>
      <x:c r="G563" s="17" t="str">
        <x:v>P20R</x:v>
      </x:c>
      <x:c r="H563" s="17" t="str">
        <x:v>recycling</x:v>
      </x:c>
      <x:c r="I563" s="17" t="str">
        <x:v>广东金晟新能源股份有限公司（再生功能）</x:v>
      </x:c>
      <x:c r="J563" s="24" t="n">
        <x:v>112.4603629</x:v>
      </x:c>
      <x:c r="K563" s="24" t="n">
        <x:v>23.0501661</x:v>
      </x:c>
      <x:c r="L563" s="21" t="n">
        <x:f>6371*ACOS(MIN(1,COS(F563*PI()/180)*COS(K563*PI()/180)*COS((J563-E563)*PI()/180)+SIN(F563*PI()/180)*SIN(K563*PI()/180)))</x:f>
        <x:v>67.14818534262002</x:v>
      </x:c>
      <x:c r="M563" s="21" t="n">
        <x:f>L563*'情景参数模板'!$D$31</x:f>
        <x:v>80.57782241114403</x:v>
      </x:c>
      <x:c r="N563" s="21" t="n">
        <x:f>IF(C563="source",'情景参数模板'!$D$12,IF(H563="echelon",'情景参数模板'!$D$13,'情景参数模板'!$D$14))</x:f>
        <x:v>0.49</x:v>
      </x:c>
      <x:c r="O563" s="21" t="n">
        <x:f>IF(C563="source",'情景参数模板'!$D$18,IF(H563="echelon",'情景参数模板'!$D$19,'情景参数模板'!$D$20))</x:f>
        <x:v>400</x:v>
      </x:c>
      <x:c r="P563" s="17" t="n">
        <x:f>IF(M563&lt;=O563,1,0)</x:f>
        <x:v>1</x:v>
      </x:c>
      <x:c r="Q563" s="17" t="str">
        <x:v>D-road proxy; B-coordinates</x:v>
      </x:c>
    </x:row>
    <x:row r="564">
      <x:c r="A564" s="17" t="str">
        <x:v>A0560</x:v>
      </x:c>
      <x:c r="B564" s="17" t="str">
        <x:v>C05</x:v>
      </x:c>
      <x:c r="C564" s="17" t="str">
        <x:v>collection</x:v>
      </x:c>
      <x:c r="D564" s="17" t="str">
        <x:v>佛山虚拟回收/检测中心</x:v>
      </x:c>
      <x:c r="E564" s="24" t="n">
        <x:v>113.1159558</x:v>
      </x:c>
      <x:c r="F564" s="24" t="n">
        <x:v>23.0239788</x:v>
      </x:c>
      <x:c r="G564" s="17" t="str">
        <x:v>P21E</x:v>
      </x:c>
      <x:c r="H564" s="17" t="str">
        <x:v>echelon</x:v>
      </x:c>
      <x:c r="I564" s="17" t="str">
        <x:v>广东瑞科美电源技术有限公司（梯次功能）</x:v>
      </x:c>
      <x:c r="J564" s="24" t="n">
        <x:v>113.1159558</x:v>
      </x:c>
      <x:c r="K564" s="24" t="n">
        <x:v>23.0239788</x:v>
      </x:c>
      <x:c r="L564" s="21" t="n">
        <x:f>6371*ACOS(MIN(1,COS(F564*PI()/180)*COS(K564*PI()/180)*COS((J564-E564)*PI()/180)+SIN(F564*PI()/180)*SIN(K564*PI()/180)))</x:f>
        <x:v>0</x:v>
      </x:c>
      <x:c r="M564" s="21" t="n">
        <x:f>L564*'情景参数模板'!$D$31</x:f>
        <x:v>0</x:v>
      </x:c>
      <x:c r="N564" s="21" t="n">
        <x:f>IF(C564="source",'情景参数模板'!$D$12,IF(H564="echelon",'情景参数模板'!$D$13,'情景参数模板'!$D$14))</x:f>
        <x:v>0.49</x:v>
      </x:c>
      <x:c r="O564" s="21" t="n">
        <x:f>IF(C564="source",'情景参数模板'!$D$18,IF(H564="echelon",'情景参数模板'!$D$19,'情景参数模板'!$D$20))</x:f>
        <x:v>300</x:v>
      </x:c>
      <x:c r="P564" s="17" t="n">
        <x:f>IF(M564&lt;=O564,1,0)</x:f>
        <x:v>1</x:v>
      </x:c>
      <x:c r="Q564" s="17" t="str">
        <x:v>D-road proxy; B-coordinates</x:v>
      </x:c>
    </x:row>
    <x:row r="565">
      <x:c r="A565" s="17" t="str">
        <x:v>A0561</x:v>
      </x:c>
      <x:c r="B565" s="17" t="str">
        <x:v>C05</x:v>
      </x:c>
      <x:c r="C565" s="17" t="str">
        <x:v>collection</x:v>
      </x:c>
      <x:c r="D565" s="17" t="str">
        <x:v>佛山虚拟回收/检测中心</x:v>
      </x:c>
      <x:c r="E565" s="24" t="n">
        <x:v>113.1159558</x:v>
      </x:c>
      <x:c r="F565" s="24" t="n">
        <x:v>23.0239788</x:v>
      </x:c>
      <x:c r="G565" s="17" t="str">
        <x:v>P21R</x:v>
      </x:c>
      <x:c r="H565" s="17" t="str">
        <x:v>recycling</x:v>
      </x:c>
      <x:c r="I565" s="17" t="str">
        <x:v>广东瑞科美电源技术有限公司（再生功能）</x:v>
      </x:c>
      <x:c r="J565" s="24" t="n">
        <x:v>113.1159558</x:v>
      </x:c>
      <x:c r="K565" s="24" t="n">
        <x:v>23.0239788</x:v>
      </x:c>
      <x:c r="L565" s="21" t="n">
        <x:f>6371*ACOS(MIN(1,COS(F565*PI()/180)*COS(K565*PI()/180)*COS((J565-E565)*PI()/180)+SIN(F565*PI()/180)*SIN(K565*PI()/180)))</x:f>
        <x:v>0</x:v>
      </x:c>
      <x:c r="M565" s="21" t="n">
        <x:f>L565*'情景参数模板'!$D$31</x:f>
        <x:v>0</x:v>
      </x:c>
      <x:c r="N565" s="21" t="n">
        <x:f>IF(C565="source",'情景参数模板'!$D$12,IF(H565="echelon",'情景参数模板'!$D$13,'情景参数模板'!$D$14))</x:f>
        <x:v>0.49</x:v>
      </x:c>
      <x:c r="O565" s="21" t="n">
        <x:f>IF(C565="source",'情景参数模板'!$D$18,IF(H565="echelon",'情景参数模板'!$D$19,'情景参数模板'!$D$20))</x:f>
        <x:v>400</x:v>
      </x:c>
      <x:c r="P565" s="17" t="n">
        <x:f>IF(M565&lt;=O565,1,0)</x:f>
        <x:v>1</x:v>
      </x:c>
      <x:c r="Q565" s="17" t="str">
        <x:v>D-road proxy; B-coordinates</x:v>
      </x:c>
    </x:row>
    <x:row r="566">
      <x:c r="A566" s="17" t="str">
        <x:v>A0562</x:v>
      </x:c>
      <x:c r="B566" s="17" t="str">
        <x:v>C06</x:v>
      </x:c>
      <x:c r="C566" s="17" t="str">
        <x:v>collection</x:v>
      </x:c>
      <x:c r="D566" s="17" t="str">
        <x:v>韶关虚拟回收/检测中心</x:v>
      </x:c>
      <x:c r="E566" s="24" t="n">
        <x:v>113.8155263</x:v>
      </x:c>
      <x:c r="F566" s="24" t="n">
        <x:v>24.8309489</x:v>
      </x:c>
      <x:c r="G566" s="17" t="str">
        <x:v>P01</x:v>
      </x:c>
      <x:c r="H566" s="17" t="str">
        <x:v>recycling</x:v>
      </x:c>
      <x:c r="I566" s="17" t="str">
        <x:v>汕尾比亚迪废旧动力电池回收项目</x:v>
      </x:c>
      <x:c r="J566" s="24" t="n">
        <x:v>115.3492668</x:v>
      </x:c>
      <x:c r="K566" s="24" t="n">
        <x:v>22.838065</x:v>
      </x:c>
      <x:c r="L566" s="21" t="n">
        <x:f>6371*ACOS(MIN(1,COS(F566*PI()/180)*COS(K566*PI()/180)*COS((J566-E566)*PI()/180)+SIN(F566*PI()/180)*SIN(K566*PI()/180)))</x:f>
        <x:v>270.99384353051636</x:v>
      </x:c>
      <x:c r="M566" s="21" t="n">
        <x:f>L566*'情景参数模板'!$D$31</x:f>
        <x:v>325.1926122366196</x:v>
      </x:c>
      <x:c r="N566" s="21" t="n">
        <x:f>IF(C566="source",'情景参数模板'!$D$12,IF(H566="echelon",'情景参数模板'!$D$13,'情景参数模板'!$D$14))</x:f>
        <x:v>0.49</x:v>
      </x:c>
      <x:c r="O566" s="21" t="n">
        <x:f>IF(C566="source",'情景参数模板'!$D$18,IF(H566="echelon",'情景参数模板'!$D$19,'情景参数模板'!$D$20))</x:f>
        <x:v>400</x:v>
      </x:c>
      <x:c r="P566" s="17" t="n">
        <x:f>IF(M566&lt;=O566,1,0)</x:f>
        <x:v>1</x:v>
      </x:c>
      <x:c r="Q566" s="17" t="str">
        <x:v>D-road proxy; B-coordinates</x:v>
      </x:c>
    </x:row>
    <x:row r="567">
      <x:c r="A567" s="17" t="str">
        <x:v>A0563</x:v>
      </x:c>
      <x:c r="B567" s="17" t="str">
        <x:v>C06</x:v>
      </x:c>
      <x:c r="C567" s="17" t="str">
        <x:v>collection</x:v>
      </x:c>
      <x:c r="D567" s="17" t="str">
        <x:v>韶关虚拟回收/检测中心</x:v>
      </x:c>
      <x:c r="E567" s="24" t="n">
        <x:v>113.8155263</x:v>
      </x:c>
      <x:c r="F567" s="24" t="n">
        <x:v>24.8309489</x:v>
      </x:c>
      <x:c r="G567" s="17" t="str">
        <x:v>P02E</x:v>
      </x:c>
      <x:c r="H567" s="17" t="str">
        <x:v>echelon</x:v>
      </x:c>
      <x:c r="I567" s="17" t="str">
        <x:v>广东光华科技股份有限公司（梯次功能）</x:v>
      </x:c>
      <x:c r="J567" s="24" t="n">
        <x:v>116.6775856</x:v>
      </x:c>
      <x:c r="K567" s="24" t="n">
        <x:v>23.3563921</x:v>
      </x:c>
      <x:c r="L567" s="21" t="n">
        <x:f>6371*ACOS(MIN(1,COS(F567*PI()/180)*COS(K567*PI()/180)*COS((J567-E567)*PI()/180)+SIN(F567*PI()/180)*SIN(K567*PI()/180)))</x:f>
        <x:v>333.5802590119702</x:v>
      </x:c>
      <x:c r="M567" s="21" t="n">
        <x:f>L567*'情景参数模板'!$D$31</x:f>
        <x:v>400.29631081436423</x:v>
      </x:c>
      <x:c r="N567" s="21" t="n">
        <x:f>IF(C567="source",'情景参数模板'!$D$12,IF(H567="echelon",'情景参数模板'!$D$13,'情景参数模板'!$D$14))</x:f>
        <x:v>0.49</x:v>
      </x:c>
      <x:c r="O567" s="21" t="n">
        <x:f>IF(C567="source",'情景参数模板'!$D$18,IF(H567="echelon",'情景参数模板'!$D$19,'情景参数模板'!$D$20))</x:f>
        <x:v>300</x:v>
      </x:c>
      <x:c r="P567" s="17" t="n">
        <x:f>IF(M567&lt;=O567,1,0)</x:f>
        <x:v>0</x:v>
      </x:c>
      <x:c r="Q567" s="17" t="str">
        <x:v>D-road proxy; B-coordinates</x:v>
      </x:c>
    </x:row>
    <x:row r="568">
      <x:c r="A568" s="17" t="str">
        <x:v>A0564</x:v>
      </x:c>
      <x:c r="B568" s="17" t="str">
        <x:v>C06</x:v>
      </x:c>
      <x:c r="C568" s="17" t="str">
        <x:v>collection</x:v>
      </x:c>
      <x:c r="D568" s="17" t="str">
        <x:v>韶关虚拟回收/检测中心</x:v>
      </x:c>
      <x:c r="E568" s="24" t="n">
        <x:v>113.8155263</x:v>
      </x:c>
      <x:c r="F568" s="24" t="n">
        <x:v>24.8309489</x:v>
      </x:c>
      <x:c r="G568" s="17" t="str">
        <x:v>P02R</x:v>
      </x:c>
      <x:c r="H568" s="17" t="str">
        <x:v>recycling</x:v>
      </x:c>
      <x:c r="I568" s="17" t="str">
        <x:v>广东光华科技股份有限公司（再生功能）</x:v>
      </x:c>
      <x:c r="J568" s="24" t="n">
        <x:v>116.6775856</x:v>
      </x:c>
      <x:c r="K568" s="24" t="n">
        <x:v>23.3563921</x:v>
      </x:c>
      <x:c r="L568" s="21" t="n">
        <x:f>6371*ACOS(MIN(1,COS(F568*PI()/180)*COS(K568*PI()/180)*COS((J568-E568)*PI()/180)+SIN(F568*PI()/180)*SIN(K568*PI()/180)))</x:f>
        <x:v>333.5802590119702</x:v>
      </x:c>
      <x:c r="M568" s="21" t="n">
        <x:f>L568*'情景参数模板'!$D$31</x:f>
        <x:v>400.29631081436423</x:v>
      </x:c>
      <x:c r="N568" s="21" t="n">
        <x:f>IF(C568="source",'情景参数模板'!$D$12,IF(H568="echelon",'情景参数模板'!$D$13,'情景参数模板'!$D$14))</x:f>
        <x:v>0.49</x:v>
      </x:c>
      <x:c r="O568" s="21" t="n">
        <x:f>IF(C568="source",'情景参数模板'!$D$18,IF(H568="echelon",'情景参数模板'!$D$19,'情景参数模板'!$D$20))</x:f>
        <x:v>400</x:v>
      </x:c>
      <x:c r="P568" s="17" t="n">
        <x:f>IF(M568&lt;=O568,1,0)</x:f>
        <x:v>0</x:v>
      </x:c>
      <x:c r="Q568" s="17" t="str">
        <x:v>D-road proxy; B-coordinates</x:v>
      </x:c>
    </x:row>
    <x:row r="569">
      <x:c r="A569" s="17" t="str">
        <x:v>A0565</x:v>
      </x:c>
      <x:c r="B569" s="17" t="str">
        <x:v>C06</x:v>
      </x:c>
      <x:c r="C569" s="17" t="str">
        <x:v>collection</x:v>
      </x:c>
      <x:c r="D569" s="17" t="str">
        <x:v>韶关虚拟回收/检测中心</x:v>
      </x:c>
      <x:c r="E569" s="24" t="n">
        <x:v>113.8155263</x:v>
      </x:c>
      <x:c r="F569" s="24" t="n">
        <x:v>24.8309489</x:v>
      </x:c>
      <x:c r="G569" s="17" t="str">
        <x:v>P03</x:v>
      </x:c>
      <x:c r="H569" s="17" t="str">
        <x:v>echelon</x:v>
      </x:c>
      <x:c r="I569" s="17" t="str">
        <x:v>深圳深汕特别合作区乾泰技术有限公司</x:v>
      </x:c>
      <x:c r="J569" s="24" t="n">
        <x:v>115.5099937</x:v>
      </x:c>
      <x:c r="K569" s="24" t="n">
        <x:v>23.0123639</x:v>
      </x:c>
      <x:c r="L569" s="21" t="n">
        <x:f>6371*ACOS(MIN(1,COS(F569*PI()/180)*COS(K569*PI()/180)*COS((J569-E569)*PI()/180)+SIN(F569*PI()/180)*SIN(K569*PI()/180)))</x:f>
        <x:v>265.61478907353063</x:v>
      </x:c>
      <x:c r="M569" s="21" t="n">
        <x:f>L569*'情景参数模板'!$D$31</x:f>
        <x:v>318.73774688823676</x:v>
      </x:c>
      <x:c r="N569" s="21" t="n">
        <x:f>IF(C569="source",'情景参数模板'!$D$12,IF(H569="echelon",'情景参数模板'!$D$13,'情景参数模板'!$D$14))</x:f>
        <x:v>0.49</x:v>
      </x:c>
      <x:c r="O569" s="21" t="n">
        <x:f>IF(C569="source",'情景参数模板'!$D$18,IF(H569="echelon",'情景参数模板'!$D$19,'情景参数模板'!$D$20))</x:f>
        <x:v>300</x:v>
      </x:c>
      <x:c r="P569" s="17" t="n">
        <x:f>IF(M569&lt;=O569,1,0)</x:f>
        <x:v>0</x:v>
      </x:c>
      <x:c r="Q569" s="17" t="str">
        <x:v>D-road proxy; B-coordinates</x:v>
      </x:c>
    </x:row>
    <x:row r="570">
      <x:c r="A570" s="17" t="str">
        <x:v>A0566</x:v>
      </x:c>
      <x:c r="B570" s="17" t="str">
        <x:v>C06</x:v>
      </x:c>
      <x:c r="C570" s="17" t="str">
        <x:v>collection</x:v>
      </x:c>
      <x:c r="D570" s="17" t="str">
        <x:v>韶关虚拟回收/检测中心</x:v>
      </x:c>
      <x:c r="E570" s="24" t="n">
        <x:v>113.8155263</x:v>
      </x:c>
      <x:c r="F570" s="24" t="n">
        <x:v>24.8309489</x:v>
      </x:c>
      <x:c r="G570" s="17" t="str">
        <x:v>P04</x:v>
      </x:c>
      <x:c r="H570" s="17" t="str">
        <x:v>echelon</x:v>
      </x:c>
      <x:c r="I570" s="17" t="str">
        <x:v>珠海中力新能源科技有限公司</x:v>
      </x:c>
      <x:c r="J570" s="24" t="n">
        <x:v>113.5721327</x:v>
      </x:c>
      <x:c r="K570" s="24" t="n">
        <x:v>22.273734</x:v>
      </x:c>
      <x:c r="L570" s="21" t="n">
        <x:f>6371*ACOS(MIN(1,COS(F570*PI()/180)*COS(K570*PI()/180)*COS((J570-E570)*PI()/180)+SIN(F570*PI()/180)*SIN(K570*PI()/180)))</x:f>
        <x:v>285.4293111538577</x:v>
      </x:c>
      <x:c r="M570" s="21" t="n">
        <x:f>L570*'情景参数模板'!$D$31</x:f>
        <x:v>342.51517338462924</x:v>
      </x:c>
      <x:c r="N570" s="21" t="n">
        <x:f>IF(C570="source",'情景参数模板'!$D$12,IF(H570="echelon",'情景参数模板'!$D$13,'情景参数模板'!$D$14))</x:f>
        <x:v>0.49</x:v>
      </x:c>
      <x:c r="O570" s="21" t="n">
        <x:f>IF(C570="source",'情景参数模板'!$D$18,IF(H570="echelon",'情景参数模板'!$D$19,'情景参数模板'!$D$20))</x:f>
        <x:v>300</x:v>
      </x:c>
      <x:c r="P570" s="17" t="n">
        <x:f>IF(M570&lt;=O570,1,0)</x:f>
        <x:v>0</x:v>
      </x:c>
      <x:c r="Q570" s="17" t="str">
        <x:v>D-road proxy; B-coordinates</x:v>
      </x:c>
    </x:row>
    <x:row r="571">
      <x:c r="A571" s="17" t="str">
        <x:v>A0567</x:v>
      </x:c>
      <x:c r="B571" s="17" t="str">
        <x:v>C06</x:v>
      </x:c>
      <x:c r="C571" s="17" t="str">
        <x:v>collection</x:v>
      </x:c>
      <x:c r="D571" s="17" t="str">
        <x:v>韶关虚拟回收/检测中心</x:v>
      </x:c>
      <x:c r="E571" s="24" t="n">
        <x:v>113.8155263</x:v>
      </x:c>
      <x:c r="F571" s="24" t="n">
        <x:v>24.8309489</x:v>
      </x:c>
      <x:c r="G571" s="17" t="str">
        <x:v>P05</x:v>
      </x:c>
      <x:c r="H571" s="17" t="str">
        <x:v>echelon</x:v>
      </x:c>
      <x:c r="I571" s="17" t="str">
        <x:v>惠州市恒创睿能环保科技有限公司</x:v>
      </x:c>
      <x:c r="J571" s="24" t="n">
        <x:v>114.4127007</x:v>
      </x:c>
      <x:c r="K571" s="24" t="n">
        <x:v>23.1125153</x:v>
      </x:c>
      <x:c r="L571" s="21" t="n">
        <x:f>6371*ACOS(MIN(1,COS(F571*PI()/180)*COS(K571*PI()/180)*COS((J571-E571)*PI()/180)+SIN(F571*PI()/180)*SIN(K571*PI()/180)))</x:f>
        <x:v>200.4819895915133</x:v>
      </x:c>
      <x:c r="M571" s="21" t="n">
        <x:f>L571*'情景参数模板'!$D$31</x:f>
        <x:v>240.57838750981594</x:v>
      </x:c>
      <x:c r="N571" s="21" t="n">
        <x:f>IF(C571="source",'情景参数模板'!$D$12,IF(H571="echelon",'情景参数模板'!$D$13,'情景参数模板'!$D$14))</x:f>
        <x:v>0.49</x:v>
      </x:c>
      <x:c r="O571" s="21" t="n">
        <x:f>IF(C571="source",'情景参数模板'!$D$18,IF(H571="echelon",'情景参数模板'!$D$19,'情景参数模板'!$D$20))</x:f>
        <x:v>300</x:v>
      </x:c>
      <x:c r="P571" s="17" t="n">
        <x:f>IF(M571&lt;=O571,1,0)</x:f>
        <x:v>1</x:v>
      </x:c>
      <x:c r="Q571" s="17" t="str">
        <x:v>D-road proxy; B-coordinates</x:v>
      </x:c>
    </x:row>
    <x:row r="572">
      <x:c r="A572" s="17" t="str">
        <x:v>A0568</x:v>
      </x:c>
      <x:c r="B572" s="17" t="str">
        <x:v>C06</x:v>
      </x:c>
      <x:c r="C572" s="17" t="str">
        <x:v>collection</x:v>
      </x:c>
      <x:c r="D572" s="17" t="str">
        <x:v>韶关虚拟回收/检测中心</x:v>
      </x:c>
      <x:c r="E572" s="24" t="n">
        <x:v>113.8155263</x:v>
      </x:c>
      <x:c r="F572" s="24" t="n">
        <x:v>24.8309489</x:v>
      </x:c>
      <x:c r="G572" s="17" t="str">
        <x:v>P06</x:v>
      </x:c>
      <x:c r="H572" s="17" t="str">
        <x:v>echelon</x:v>
      </x:c>
      <x:c r="I572" s="17" t="str">
        <x:v>江门市朗达锂电池有限公司</x:v>
      </x:c>
      <x:c r="J572" s="24" t="n">
        <x:v>113.0761073</x:v>
      </x:c>
      <x:c r="K572" s="24" t="n">
        <x:v>22.5816619</x:v>
      </x:c>
      <x:c r="L572" s="21" t="n">
        <x:f>6371*ACOS(MIN(1,COS(F572*PI()/180)*COS(K572*PI()/180)*COS((J572-E572)*PI()/180)+SIN(F572*PI()/180)*SIN(K572*PI()/180)))</x:f>
        <x:v>261.1912194278549</x:v>
      </x:c>
      <x:c r="M572" s="21" t="n">
        <x:f>L572*'情景参数模板'!$D$31</x:f>
        <x:v>313.42946331342586</x:v>
      </x:c>
      <x:c r="N572" s="21" t="n">
        <x:f>IF(C572="source",'情景参数模板'!$D$12,IF(H572="echelon",'情景参数模板'!$D$13,'情景参数模板'!$D$14))</x:f>
        <x:v>0.49</x:v>
      </x:c>
      <x:c r="O572" s="21" t="n">
        <x:f>IF(C572="source",'情景参数模板'!$D$18,IF(H572="echelon",'情景参数模板'!$D$19,'情景参数模板'!$D$20))</x:f>
        <x:v>300</x:v>
      </x:c>
      <x:c r="P572" s="17" t="n">
        <x:f>IF(M572&lt;=O572,1,0)</x:f>
        <x:v>0</x:v>
      </x:c>
      <x:c r="Q572" s="17" t="str">
        <x:v>D-road proxy; B-coordinates</x:v>
      </x:c>
    </x:row>
    <x:row r="573">
      <x:c r="A573" s="17" t="str">
        <x:v>A0569</x:v>
      </x:c>
      <x:c r="B573" s="17" t="str">
        <x:v>C06</x:v>
      </x:c>
      <x:c r="C573" s="17" t="str">
        <x:v>collection</x:v>
      </x:c>
      <x:c r="D573" s="17" t="str">
        <x:v>韶关虚拟回收/检测中心</x:v>
      </x:c>
      <x:c r="E573" s="24" t="n">
        <x:v>113.8155263</x:v>
      </x:c>
      <x:c r="F573" s="24" t="n">
        <x:v>24.8309489</x:v>
      </x:c>
      <x:c r="G573" s="17" t="str">
        <x:v>P07</x:v>
      </x:c>
      <x:c r="H573" s="17" t="str">
        <x:v>echelon</x:v>
      </x:c>
      <x:c r="I573" s="17" t="str">
        <x:v>广东迪度新能源有限公司</x:v>
      </x:c>
      <x:c r="J573" s="24" t="n">
        <x:v>113.7452332</x:v>
      </x:c>
      <x:c r="K573" s="24" t="n">
        <x:v>23.0183568</x:v>
      </x:c>
      <x:c r="L573" s="21" t="n">
        <x:f>6371*ACOS(MIN(1,COS(F573*PI()/180)*COS(K573*PI()/180)*COS((J573-E573)*PI()/180)+SIN(F573*PI()/180)*SIN(K573*PI()/180)))</x:f>
        <x:v>201.67762245027922</x:v>
      </x:c>
      <x:c r="M573" s="21" t="n">
        <x:f>L573*'情景参数模板'!$D$31</x:f>
        <x:v>242.01314694033505</x:v>
      </x:c>
      <x:c r="N573" s="21" t="n">
        <x:f>IF(C573="source",'情景参数模板'!$D$12,IF(H573="echelon",'情景参数模板'!$D$13,'情景参数模板'!$D$14))</x:f>
        <x:v>0.49</x:v>
      </x:c>
      <x:c r="O573" s="21" t="n">
        <x:f>IF(C573="source",'情景参数模板'!$D$18,IF(H573="echelon",'情景参数模板'!$D$19,'情景参数模板'!$D$20))</x:f>
        <x:v>300</x:v>
      </x:c>
      <x:c r="P573" s="17" t="n">
        <x:f>IF(M573&lt;=O573,1,0)</x:f>
        <x:v>1</x:v>
      </x:c>
      <x:c r="Q573" s="17" t="str">
        <x:v>D-road proxy; B-coordinates</x:v>
      </x:c>
    </x:row>
    <x:row r="574">
      <x:c r="A574" s="17" t="str">
        <x:v>A0570</x:v>
      </x:c>
      <x:c r="B574" s="17" t="str">
        <x:v>C06</x:v>
      </x:c>
      <x:c r="C574" s="17" t="str">
        <x:v>collection</x:v>
      </x:c>
      <x:c r="D574" s="17" t="str">
        <x:v>韶关虚拟回收/检测中心</x:v>
      </x:c>
      <x:c r="E574" s="24" t="n">
        <x:v>113.8155263</x:v>
      </x:c>
      <x:c r="F574" s="24" t="n">
        <x:v>24.8309489</x:v>
      </x:c>
      <x:c r="G574" s="17" t="str">
        <x:v>P08</x:v>
      </x:c>
      <x:c r="H574" s="17" t="str">
        <x:v>echelon</x:v>
      </x:c>
      <x:c r="I574" s="17" t="str">
        <x:v>东莞市博森新能源有限公司</x:v>
      </x:c>
      <x:c r="J574" s="24" t="n">
        <x:v>113.7452332</x:v>
      </x:c>
      <x:c r="K574" s="24" t="n">
        <x:v>23.0183568</x:v>
      </x:c>
      <x:c r="L574" s="21" t="n">
        <x:f>6371*ACOS(MIN(1,COS(F574*PI()/180)*COS(K574*PI()/180)*COS((J574-E574)*PI()/180)+SIN(F574*PI()/180)*SIN(K574*PI()/180)))</x:f>
        <x:v>201.67762245027922</x:v>
      </x:c>
      <x:c r="M574" s="21" t="n">
        <x:f>L574*'情景参数模板'!$D$31</x:f>
        <x:v>242.01314694033505</x:v>
      </x:c>
      <x:c r="N574" s="21" t="n">
        <x:f>IF(C574="source",'情景参数模板'!$D$12,IF(H574="echelon",'情景参数模板'!$D$13,'情景参数模板'!$D$14))</x:f>
        <x:v>0.49</x:v>
      </x:c>
      <x:c r="O574" s="21" t="n">
        <x:f>IF(C574="source",'情景参数模板'!$D$18,IF(H574="echelon",'情景参数模板'!$D$19,'情景参数模板'!$D$20))</x:f>
        <x:v>300</x:v>
      </x:c>
      <x:c r="P574" s="17" t="n">
        <x:f>IF(M574&lt;=O574,1,0)</x:f>
        <x:v>1</x:v>
      </x:c>
      <x:c r="Q574" s="17" t="str">
        <x:v>D-road proxy; B-coordinates</x:v>
      </x:c>
    </x:row>
    <x:row r="575">
      <x:c r="A575" s="17" t="str">
        <x:v>A0571</x:v>
      </x:c>
      <x:c r="B575" s="17" t="str">
        <x:v>C06</x:v>
      </x:c>
      <x:c r="C575" s="17" t="str">
        <x:v>collection</x:v>
      </x:c>
      <x:c r="D575" s="17" t="str">
        <x:v>韶关虚拟回收/检测中心</x:v>
      </x:c>
      <x:c r="E575" s="24" t="n">
        <x:v>113.8155263</x:v>
      </x:c>
      <x:c r="F575" s="24" t="n">
        <x:v>24.8309489</x:v>
      </x:c>
      <x:c r="G575" s="17" t="str">
        <x:v>P09</x:v>
      </x:c>
      <x:c r="H575" s="17" t="str">
        <x:v>echelon</x:v>
      </x:c>
      <x:c r="I575" s="17" t="str">
        <x:v>广东宇阳新能源有限公司</x:v>
      </x:c>
      <x:c r="J575" s="24" t="n">
        <x:v>113.7452332</x:v>
      </x:c>
      <x:c r="K575" s="24" t="n">
        <x:v>23.0183568</x:v>
      </x:c>
      <x:c r="L575" s="21" t="n">
        <x:f>6371*ACOS(MIN(1,COS(F575*PI()/180)*COS(K575*PI()/180)*COS((J575-E575)*PI()/180)+SIN(F575*PI()/180)*SIN(K575*PI()/180)))</x:f>
        <x:v>201.67762245027922</x:v>
      </x:c>
      <x:c r="M575" s="21" t="n">
        <x:f>L575*'情景参数模板'!$D$31</x:f>
        <x:v>242.01314694033505</x:v>
      </x:c>
      <x:c r="N575" s="21" t="n">
        <x:f>IF(C575="source",'情景参数模板'!$D$12,IF(H575="echelon",'情景参数模板'!$D$13,'情景参数模板'!$D$14))</x:f>
        <x:v>0.49</x:v>
      </x:c>
      <x:c r="O575" s="21" t="n">
        <x:f>IF(C575="source",'情景参数模板'!$D$18,IF(H575="echelon",'情景参数模板'!$D$19,'情景参数模板'!$D$20))</x:f>
        <x:v>300</x:v>
      </x:c>
      <x:c r="P575" s="17" t="n">
        <x:f>IF(M575&lt;=O575,1,0)</x:f>
        <x:v>1</x:v>
      </x:c>
      <x:c r="Q575" s="17" t="str">
        <x:v>D-road proxy; B-coordinates</x:v>
      </x:c>
    </x:row>
    <x:row r="576">
      <x:c r="A576" s="17" t="str">
        <x:v>A0572</x:v>
      </x:c>
      <x:c r="B576" s="17" t="str">
        <x:v>C06</x:v>
      </x:c>
      <x:c r="C576" s="17" t="str">
        <x:v>collection</x:v>
      </x:c>
      <x:c r="D576" s="17" t="str">
        <x:v>韶关虚拟回收/检测中心</x:v>
      </x:c>
      <x:c r="E576" s="24" t="n">
        <x:v>113.8155263</x:v>
      </x:c>
      <x:c r="F576" s="24" t="n">
        <x:v>24.8309489</x:v>
      </x:c>
      <x:c r="G576" s="17" t="str">
        <x:v>P10</x:v>
      </x:c>
      <x:c r="H576" s="17" t="str">
        <x:v>echelon</x:v>
      </x:c>
      <x:c r="I576" s="17" t="str">
        <x:v>广州广汽商贸再生资源有限公司</x:v>
      </x:c>
      <x:c r="J576" s="24" t="n">
        <x:v>113.2589581</x:v>
      </x:c>
      <x:c r="K576" s="24" t="n">
        <x:v>23.1288429</x:v>
      </x:c>
      <x:c r="L576" s="21" t="n">
        <x:f>6371*ACOS(MIN(1,COS(F576*PI()/180)*COS(K576*PI()/180)*COS((J576-E576)*PI()/180)+SIN(F576*PI()/180)*SIN(K576*PI()/180)))</x:f>
        <x:v>197.53104116353575</x:v>
      </x:c>
      <x:c r="M576" s="21" t="n">
        <x:f>L576*'情景参数模板'!$D$31</x:f>
        <x:v>237.03724939624288</x:v>
      </x:c>
      <x:c r="N576" s="21" t="n">
        <x:f>IF(C576="source",'情景参数模板'!$D$12,IF(H576="echelon",'情景参数模板'!$D$13,'情景参数模板'!$D$14))</x:f>
        <x:v>0.49</x:v>
      </x:c>
      <x:c r="O576" s="21" t="n">
        <x:f>IF(C576="source",'情景参数模板'!$D$18,IF(H576="echelon",'情景参数模板'!$D$19,'情景参数模板'!$D$20))</x:f>
        <x:v>300</x:v>
      </x:c>
      <x:c r="P576" s="17" t="n">
        <x:f>IF(M576&lt;=O576,1,0)</x:f>
        <x:v>1</x:v>
      </x:c>
      <x:c r="Q576" s="17" t="str">
        <x:v>D-road proxy; B-coordinates</x:v>
      </x:c>
    </x:row>
    <x:row r="577">
      <x:c r="A577" s="17" t="str">
        <x:v>A0573</x:v>
      </x:c>
      <x:c r="B577" s="17" t="str">
        <x:v>C06</x:v>
      </x:c>
      <x:c r="C577" s="17" t="str">
        <x:v>collection</x:v>
      </x:c>
      <x:c r="D577" s="17" t="str">
        <x:v>韶关虚拟回收/检测中心</x:v>
      </x:c>
      <x:c r="E577" s="24" t="n">
        <x:v>113.8155263</x:v>
      </x:c>
      <x:c r="F577" s="24" t="n">
        <x:v>24.8309489</x:v>
      </x:c>
      <x:c r="G577" s="17" t="str">
        <x:v>P11</x:v>
      </x:c>
      <x:c r="H577" s="17" t="str">
        <x:v>echelon</x:v>
      </x:c>
      <x:c r="I577" s="17" t="str">
        <x:v>深圳市杰成镍钴新能源科技有限公司</x:v>
      </x:c>
      <x:c r="J577" s="24" t="n">
        <x:v>114.0545429</x:v>
      </x:c>
      <x:c r="K577" s="24" t="n">
        <x:v>22.5445741</x:v>
      </x:c>
      <x:c r="L577" s="21" t="n">
        <x:f>6371*ACOS(MIN(1,COS(F577*PI()/180)*COS(K577*PI()/180)*COS((J577-E577)*PI()/180)+SIN(F577*PI()/180)*SIN(K577*PI()/180)))</x:f>
        <x:v>255.39535166591816</x:v>
      </x:c>
      <x:c r="M577" s="21" t="n">
        <x:f>L577*'情景参数模板'!$D$31</x:f>
        <x:v>306.47442199910176</x:v>
      </x:c>
      <x:c r="N577" s="21" t="n">
        <x:f>IF(C577="source",'情景参数模板'!$D$12,IF(H577="echelon",'情景参数模板'!$D$13,'情景参数模板'!$D$14))</x:f>
        <x:v>0.49</x:v>
      </x:c>
      <x:c r="O577" s="21" t="n">
        <x:f>IF(C577="source",'情景参数模板'!$D$18,IF(H577="echelon",'情景参数模板'!$D$19,'情景参数模板'!$D$20))</x:f>
        <x:v>300</x:v>
      </x:c>
      <x:c r="P577" s="17" t="n">
        <x:f>IF(M577&lt;=O577,1,0)</x:f>
        <x:v>0</x:v>
      </x:c>
      <x:c r="Q577" s="17" t="str">
        <x:v>D-road proxy; B-coordinates</x:v>
      </x:c>
    </x:row>
    <x:row r="578">
      <x:c r="A578" s="17" t="str">
        <x:v>A0574</x:v>
      </x:c>
      <x:c r="B578" s="17" t="str">
        <x:v>C06</x:v>
      </x:c>
      <x:c r="C578" s="17" t="str">
        <x:v>collection</x:v>
      </x:c>
      <x:c r="D578" s="17" t="str">
        <x:v>韶关虚拟回收/检测中心</x:v>
      </x:c>
      <x:c r="E578" s="24" t="n">
        <x:v>113.8155263</x:v>
      </x:c>
      <x:c r="F578" s="24" t="n">
        <x:v>24.8309489</x:v>
      </x:c>
      <x:c r="G578" s="17" t="str">
        <x:v>P12</x:v>
      </x:c>
      <x:c r="H578" s="17" t="str">
        <x:v>recycling</x:v>
      </x:c>
      <x:c r="I578" s="17" t="str">
        <x:v>江门市恒创睿能环保科技有限公司</x:v>
      </x:c>
      <x:c r="J578" s="24" t="n">
        <x:v>113.0761073</x:v>
      </x:c>
      <x:c r="K578" s="24" t="n">
        <x:v>22.5816619</x:v>
      </x:c>
      <x:c r="L578" s="21" t="n">
        <x:f>6371*ACOS(MIN(1,COS(F578*PI()/180)*COS(K578*PI()/180)*COS((J578-E578)*PI()/180)+SIN(F578*PI()/180)*SIN(K578*PI()/180)))</x:f>
        <x:v>261.1912194278549</x:v>
      </x:c>
      <x:c r="M578" s="21" t="n">
        <x:f>L578*'情景参数模板'!$D$31</x:f>
        <x:v>313.42946331342586</x:v>
      </x:c>
      <x:c r="N578" s="21" t="n">
        <x:f>IF(C578="source",'情景参数模板'!$D$12,IF(H578="echelon",'情景参数模板'!$D$13,'情景参数模板'!$D$14))</x:f>
        <x:v>0.49</x:v>
      </x:c>
      <x:c r="O578" s="21" t="n">
        <x:f>IF(C578="source",'情景参数模板'!$D$18,IF(H578="echelon",'情景参数模板'!$D$19,'情景参数模板'!$D$20))</x:f>
        <x:v>400</x:v>
      </x:c>
      <x:c r="P578" s="17" t="n">
        <x:f>IF(M578&lt;=O578,1,0)</x:f>
        <x:v>1</x:v>
      </x:c>
      <x:c r="Q578" s="17" t="str">
        <x:v>D-road proxy; B-coordinates</x:v>
      </x:c>
    </x:row>
    <x:row r="579">
      <x:c r="A579" s="17" t="str">
        <x:v>A0575</x:v>
      </x:c>
      <x:c r="B579" s="17" t="str">
        <x:v>C06</x:v>
      </x:c>
      <x:c r="C579" s="17" t="str">
        <x:v>collection</x:v>
      </x:c>
      <x:c r="D579" s="17" t="str">
        <x:v>韶关虚拟回收/检测中心</x:v>
      </x:c>
      <x:c r="E579" s="24" t="n">
        <x:v>113.8155263</x:v>
      </x:c>
      <x:c r="F579" s="24" t="n">
        <x:v>24.8309489</x:v>
      </x:c>
      <x:c r="G579" s="17" t="str">
        <x:v>P13</x:v>
      </x:c>
      <x:c r="H579" s="17" t="str">
        <x:v>recycling</x:v>
      </x:c>
      <x:c r="I579" s="17" t="str">
        <x:v>广东佳纳能源科技有限公司</x:v>
      </x:c>
      <x:c r="J579" s="24" t="n">
        <x:v>113.0505994</x:v>
      </x:c>
      <x:c r="K579" s="24" t="n">
        <x:v>23.6832984</x:v>
      </x:c>
      <x:c r="L579" s="21" t="n">
        <x:f>6371*ACOS(MIN(1,COS(F579*PI()/180)*COS(K579*PI()/180)*COS((J579-E579)*PI()/180)+SIN(F579*PI()/180)*SIN(K579*PI()/180)))</x:f>
        <x:v>149.32572957361296</x:v>
      </x:c>
      <x:c r="M579" s="21" t="n">
        <x:f>L579*'情景参数模板'!$D$31</x:f>
        <x:v>179.19087548833554</x:v>
      </x:c>
      <x:c r="N579" s="21" t="n">
        <x:f>IF(C579="source",'情景参数模板'!$D$12,IF(H579="echelon",'情景参数模板'!$D$13,'情景参数模板'!$D$14))</x:f>
        <x:v>0.49</x:v>
      </x:c>
      <x:c r="O579" s="21" t="n">
        <x:f>IF(C579="source",'情景参数模板'!$D$18,IF(H579="echelon",'情景参数模板'!$D$19,'情景参数模板'!$D$20))</x:f>
        <x:v>400</x:v>
      </x:c>
      <x:c r="P579" s="17" t="n">
        <x:f>IF(M579&lt;=O579,1,0)</x:f>
        <x:v>1</x:v>
      </x:c>
      <x:c r="Q579" s="17" t="str">
        <x:v>D-road proxy; B-coordinates</x:v>
      </x:c>
    </x:row>
    <x:row r="580">
      <x:c r="A580" s="17" t="str">
        <x:v>A0576</x:v>
      </x:c>
      <x:c r="B580" s="17" t="str">
        <x:v>C06</x:v>
      </x:c>
      <x:c r="C580" s="17" t="str">
        <x:v>collection</x:v>
      </x:c>
      <x:c r="D580" s="17" t="str">
        <x:v>韶关虚拟回收/检测中心</x:v>
      </x:c>
      <x:c r="E580" s="24" t="n">
        <x:v>113.8155263</x:v>
      </x:c>
      <x:c r="F580" s="24" t="n">
        <x:v>24.8309489</x:v>
      </x:c>
      <x:c r="G580" s="17" t="str">
        <x:v>P14</x:v>
      </x:c>
      <x:c r="H580" s="17" t="str">
        <x:v>echelon</x:v>
      </x:c>
      <x:c r="I580" s="17" t="str">
        <x:v>格林美（深圳）循环科技有限公司</x:v>
      </x:c>
      <x:c r="J580" s="24" t="n">
        <x:v>114.0545429</x:v>
      </x:c>
      <x:c r="K580" s="24" t="n">
        <x:v>22.5445741</x:v>
      </x:c>
      <x:c r="L580" s="21" t="n">
        <x:f>6371*ACOS(MIN(1,COS(F580*PI()/180)*COS(K580*PI()/180)*COS((J580-E580)*PI()/180)+SIN(F580*PI()/180)*SIN(K580*PI()/180)))</x:f>
        <x:v>255.39535166591816</x:v>
      </x:c>
      <x:c r="M580" s="21" t="n">
        <x:f>L580*'情景参数模板'!$D$31</x:f>
        <x:v>306.47442199910176</x:v>
      </x:c>
      <x:c r="N580" s="21" t="n">
        <x:f>IF(C580="source",'情景参数模板'!$D$12,IF(H580="echelon",'情景参数模板'!$D$13,'情景参数模板'!$D$14))</x:f>
        <x:v>0.49</x:v>
      </x:c>
      <x:c r="O580" s="21" t="n">
        <x:f>IF(C580="source",'情景参数模板'!$D$18,IF(H580="echelon",'情景参数模板'!$D$19,'情景参数模板'!$D$20))</x:f>
        <x:v>300</x:v>
      </x:c>
      <x:c r="P580" s="17" t="n">
        <x:f>IF(M580&lt;=O580,1,0)</x:f>
        <x:v>0</x:v>
      </x:c>
      <x:c r="Q580" s="17" t="str">
        <x:v>D-road proxy; B-coordinates</x:v>
      </x:c>
    </x:row>
    <x:row r="581">
      <x:c r="A581" s="17" t="str">
        <x:v>A0577</x:v>
      </x:c>
      <x:c r="B581" s="17" t="str">
        <x:v>C06</x:v>
      </x:c>
      <x:c r="C581" s="17" t="str">
        <x:v>collection</x:v>
      </x:c>
      <x:c r="D581" s="17" t="str">
        <x:v>韶关虚拟回收/检测中心</x:v>
      </x:c>
      <x:c r="E581" s="24" t="n">
        <x:v>113.8155263</x:v>
      </x:c>
      <x:c r="F581" s="24" t="n">
        <x:v>24.8309489</x:v>
      </x:c>
      <x:c r="G581" s="17" t="str">
        <x:v>P15</x:v>
      </x:c>
      <x:c r="H581" s="17" t="str">
        <x:v>echelon</x:v>
      </x:c>
      <x:c r="I581" s="17" t="str">
        <x:v>绿循新能源科技（佛山）有限责任公司</x:v>
      </x:c>
      <x:c r="J581" s="24" t="n">
        <x:v>113.1159558</x:v>
      </x:c>
      <x:c r="K581" s="24" t="n">
        <x:v>23.0239788</x:v>
      </x:c>
      <x:c r="L581" s="21" t="n">
        <x:f>6371*ACOS(MIN(1,COS(F581*PI()/180)*COS(K581*PI()/180)*COS((J581-E581)*PI()/180)+SIN(F581*PI()/180)*SIN(K581*PI()/180)))</x:f>
        <x:v>213.1343512095063</x:v>
      </x:c>
      <x:c r="M581" s="21" t="n">
        <x:f>L581*'情景参数模板'!$D$31</x:f>
        <x:v>255.76122145140755</x:v>
      </x:c>
      <x:c r="N581" s="21" t="n">
        <x:f>IF(C581="source",'情景参数模板'!$D$12,IF(H581="echelon",'情景参数模板'!$D$13,'情景参数模板'!$D$14))</x:f>
        <x:v>0.49</x:v>
      </x:c>
      <x:c r="O581" s="21" t="n">
        <x:f>IF(C581="source",'情景参数模板'!$D$18,IF(H581="echelon",'情景参数模板'!$D$19,'情景参数模板'!$D$20))</x:f>
        <x:v>300</x:v>
      </x:c>
      <x:c r="P581" s="17" t="n">
        <x:f>IF(M581&lt;=O581,1,0)</x:f>
        <x:v>1</x:v>
      </x:c>
      <x:c r="Q581" s="17" t="str">
        <x:v>D-road proxy; B-coordinates</x:v>
      </x:c>
    </x:row>
    <x:row r="582">
      <x:c r="A582" s="17" t="str">
        <x:v>A0578</x:v>
      </x:c>
      <x:c r="B582" s="17" t="str">
        <x:v>C06</x:v>
      </x:c>
      <x:c r="C582" s="17" t="str">
        <x:v>collection</x:v>
      </x:c>
      <x:c r="D582" s="17" t="str">
        <x:v>韶关虚拟回收/检测中心</x:v>
      </x:c>
      <x:c r="E582" s="24" t="n">
        <x:v>113.8155263</x:v>
      </x:c>
      <x:c r="F582" s="24" t="n">
        <x:v>24.8309489</x:v>
      </x:c>
      <x:c r="G582" s="17" t="str">
        <x:v>P16</x:v>
      </x:c>
      <x:c r="H582" s="17" t="str">
        <x:v>echelon</x:v>
      </x:c>
      <x:c r="I582" s="17" t="str">
        <x:v>深圳艾云动智慧科技有限公司</x:v>
      </x:c>
      <x:c r="J582" s="24" t="n">
        <x:v>114.0545429</x:v>
      </x:c>
      <x:c r="K582" s="24" t="n">
        <x:v>22.5445741</x:v>
      </x:c>
      <x:c r="L582" s="21" t="n">
        <x:f>6371*ACOS(MIN(1,COS(F582*PI()/180)*COS(K582*PI()/180)*COS((J582-E582)*PI()/180)+SIN(F582*PI()/180)*SIN(K582*PI()/180)))</x:f>
        <x:v>255.39535166591816</x:v>
      </x:c>
      <x:c r="M582" s="21" t="n">
        <x:f>L582*'情景参数模板'!$D$31</x:f>
        <x:v>306.47442199910176</x:v>
      </x:c>
      <x:c r="N582" s="21" t="n">
        <x:f>IF(C582="source",'情景参数模板'!$D$12,IF(H582="echelon",'情景参数模板'!$D$13,'情景参数模板'!$D$14))</x:f>
        <x:v>0.49</x:v>
      </x:c>
      <x:c r="O582" s="21" t="n">
        <x:f>IF(C582="source",'情景参数模板'!$D$18,IF(H582="echelon",'情景参数模板'!$D$19,'情景参数模板'!$D$20))</x:f>
        <x:v>300</x:v>
      </x:c>
      <x:c r="P582" s="17" t="n">
        <x:f>IF(M582&lt;=O582,1,0)</x:f>
        <x:v>0</x:v>
      </x:c>
      <x:c r="Q582" s="17" t="str">
        <x:v>D-road proxy; B-coordinates</x:v>
      </x:c>
    </x:row>
    <x:row r="583">
      <x:c r="A583" s="17" t="str">
        <x:v>A0579</x:v>
      </x:c>
      <x:c r="B583" s="17" t="str">
        <x:v>C06</x:v>
      </x:c>
      <x:c r="C583" s="17" t="str">
        <x:v>collection</x:v>
      </x:c>
      <x:c r="D583" s="17" t="str">
        <x:v>韶关虚拟回收/检测中心</x:v>
      </x:c>
      <x:c r="E583" s="24" t="n">
        <x:v>113.8155263</x:v>
      </x:c>
      <x:c r="F583" s="24" t="n">
        <x:v>24.8309489</x:v>
      </x:c>
      <x:c r="G583" s="17" t="str">
        <x:v>P17</x:v>
      </x:c>
      <x:c r="H583" s="17" t="str">
        <x:v>echelon</x:v>
      </x:c>
      <x:c r="I583" s="17" t="str">
        <x:v>深圳市荣高晟新能源科技有限公司</x:v>
      </x:c>
      <x:c r="J583" s="24" t="n">
        <x:v>114.0545429</x:v>
      </x:c>
      <x:c r="K583" s="24" t="n">
        <x:v>22.5445741</x:v>
      </x:c>
      <x:c r="L583" s="21" t="n">
        <x:f>6371*ACOS(MIN(1,COS(F583*PI()/180)*COS(K583*PI()/180)*COS((J583-E583)*PI()/180)+SIN(F583*PI()/180)*SIN(K583*PI()/180)))</x:f>
        <x:v>255.39535166591816</x:v>
      </x:c>
      <x:c r="M583" s="21" t="n">
        <x:f>L583*'情景参数模板'!$D$31</x:f>
        <x:v>306.47442199910176</x:v>
      </x:c>
      <x:c r="N583" s="21" t="n">
        <x:f>IF(C583="source",'情景参数模板'!$D$12,IF(H583="echelon",'情景参数模板'!$D$13,'情景参数模板'!$D$14))</x:f>
        <x:v>0.49</x:v>
      </x:c>
      <x:c r="O583" s="21" t="n">
        <x:f>IF(C583="source",'情景参数模板'!$D$18,IF(H583="echelon",'情景参数模板'!$D$19,'情景参数模板'!$D$20))</x:f>
        <x:v>300</x:v>
      </x:c>
      <x:c r="P583" s="17" t="n">
        <x:f>IF(M583&lt;=O583,1,0)</x:f>
        <x:v>0</x:v>
      </x:c>
      <x:c r="Q583" s="17" t="str">
        <x:v>D-road proxy; B-coordinates</x:v>
      </x:c>
    </x:row>
    <x:row r="584">
      <x:c r="A584" s="17" t="str">
        <x:v>A0580</x:v>
      </x:c>
      <x:c r="B584" s="17" t="str">
        <x:v>C06</x:v>
      </x:c>
      <x:c r="C584" s="17" t="str">
        <x:v>collection</x:v>
      </x:c>
      <x:c r="D584" s="17" t="str">
        <x:v>韶关虚拟回收/检测中心</x:v>
      </x:c>
      <x:c r="E584" s="24" t="n">
        <x:v>113.8155263</x:v>
      </x:c>
      <x:c r="F584" s="24" t="n">
        <x:v>24.8309489</x:v>
      </x:c>
      <x:c r="G584" s="17" t="str">
        <x:v>P18</x:v>
      </x:c>
      <x:c r="H584" s="17" t="str">
        <x:v>echelon</x:v>
      </x:c>
      <x:c r="I584" s="17" t="str">
        <x:v>中商锂新能源科技（惠州）有限公司</x:v>
      </x:c>
      <x:c r="J584" s="24" t="n">
        <x:v>114.4127007</x:v>
      </x:c>
      <x:c r="K584" s="24" t="n">
        <x:v>23.1125153</x:v>
      </x:c>
      <x:c r="L584" s="21" t="n">
        <x:f>6371*ACOS(MIN(1,COS(F584*PI()/180)*COS(K584*PI()/180)*COS((J584-E584)*PI()/180)+SIN(F584*PI()/180)*SIN(K584*PI()/180)))</x:f>
        <x:v>200.4819895915133</x:v>
      </x:c>
      <x:c r="M584" s="21" t="n">
        <x:f>L584*'情景参数模板'!$D$31</x:f>
        <x:v>240.57838750981594</x:v>
      </x:c>
      <x:c r="N584" s="21" t="n">
        <x:f>IF(C584="source",'情景参数模板'!$D$12,IF(H584="echelon",'情景参数模板'!$D$13,'情景参数模板'!$D$14))</x:f>
        <x:v>0.49</x:v>
      </x:c>
      <x:c r="O584" s="21" t="n">
        <x:f>IF(C584="source",'情景参数模板'!$D$18,IF(H584="echelon",'情景参数模板'!$D$19,'情景参数模板'!$D$20))</x:f>
        <x:v>300</x:v>
      </x:c>
      <x:c r="P584" s="17" t="n">
        <x:f>IF(M584&lt;=O584,1,0)</x:f>
        <x:v>1</x:v>
      </x:c>
      <x:c r="Q584" s="17" t="str">
        <x:v>D-road proxy; B-coordinates</x:v>
      </x:c>
    </x:row>
    <x:row r="585">
      <x:c r="A585" s="17" t="str">
        <x:v>A0581</x:v>
      </x:c>
      <x:c r="B585" s="17" t="str">
        <x:v>C06</x:v>
      </x:c>
      <x:c r="C585" s="17" t="str">
        <x:v>collection</x:v>
      </x:c>
      <x:c r="D585" s="17" t="str">
        <x:v>韶关虚拟回收/检测中心</x:v>
      </x:c>
      <x:c r="E585" s="24" t="n">
        <x:v>113.8155263</x:v>
      </x:c>
      <x:c r="F585" s="24" t="n">
        <x:v>24.8309489</x:v>
      </x:c>
      <x:c r="G585" s="17" t="str">
        <x:v>P19</x:v>
      </x:c>
      <x:c r="H585" s="17" t="str">
        <x:v>recycling</x:v>
      </x:c>
      <x:c r="I585" s="17" t="str">
        <x:v>广东盛祥新材料科技有限公司</x:v>
      </x:c>
      <x:c r="J585" s="24" t="n">
        <x:v>113.8155263</x:v>
      </x:c>
      <x:c r="K585" s="24" t="n">
        <x:v>24.8309489</x:v>
      </x:c>
      <x:c r="L585" s="21" t="n">
        <x:f>6371*ACOS(MIN(1,COS(F585*PI()/180)*COS(K585*PI()/180)*COS((J585-E585)*PI()/180)+SIN(F585*PI()/180)*SIN(K585*PI()/180)))</x:f>
        <x:v>0</x:v>
      </x:c>
      <x:c r="M585" s="21" t="n">
        <x:f>L585*'情景参数模板'!$D$31</x:f>
        <x:v>0</x:v>
      </x:c>
      <x:c r="N585" s="21" t="n">
        <x:f>IF(C585="source",'情景参数模板'!$D$12,IF(H585="echelon",'情景参数模板'!$D$13,'情景参数模板'!$D$14))</x:f>
        <x:v>0.49</x:v>
      </x:c>
      <x:c r="O585" s="21" t="n">
        <x:f>IF(C585="source",'情景参数模板'!$D$18,IF(H585="echelon",'情景参数模板'!$D$19,'情景参数模板'!$D$20))</x:f>
        <x:v>400</x:v>
      </x:c>
      <x:c r="P585" s="17" t="n">
        <x:f>IF(M585&lt;=O585,1,0)</x:f>
        <x:v>1</x:v>
      </x:c>
      <x:c r="Q585" s="17" t="str">
        <x:v>D-road proxy; B-coordinates</x:v>
      </x:c>
    </x:row>
    <x:row r="586">
      <x:c r="A586" s="17" t="str">
        <x:v>A0582</x:v>
      </x:c>
      <x:c r="B586" s="17" t="str">
        <x:v>C06</x:v>
      </x:c>
      <x:c r="C586" s="17" t="str">
        <x:v>collection</x:v>
      </x:c>
      <x:c r="D586" s="17" t="str">
        <x:v>韶关虚拟回收/检测中心</x:v>
      </x:c>
      <x:c r="E586" s="24" t="n">
        <x:v>113.8155263</x:v>
      </x:c>
      <x:c r="F586" s="24" t="n">
        <x:v>24.8309489</x:v>
      </x:c>
      <x:c r="G586" s="17" t="str">
        <x:v>P20E</x:v>
      </x:c>
      <x:c r="H586" s="17" t="str">
        <x:v>echelon</x:v>
      </x:c>
      <x:c r="I586" s="17" t="str">
        <x:v>广东金晟新能源股份有限公司（梯次功能）</x:v>
      </x:c>
      <x:c r="J586" s="24" t="n">
        <x:v>112.4603629</x:v>
      </x:c>
      <x:c r="K586" s="24" t="n">
        <x:v>23.0501661</x:v>
      </x:c>
      <x:c r="L586" s="21" t="n">
        <x:f>6371*ACOS(MIN(1,COS(F586*PI()/180)*COS(K586*PI()/180)*COS((J586-E586)*PI()/180)+SIN(F586*PI()/180)*SIN(K586*PI()/180)))</x:f>
        <x:v>241.1942270561686</x:v>
      </x:c>
      <x:c r="M586" s="21" t="n">
        <x:f>L586*'情景参数模板'!$D$31</x:f>
        <x:v>289.43307246740227</x:v>
      </x:c>
      <x:c r="N586" s="21" t="n">
        <x:f>IF(C586="source",'情景参数模板'!$D$12,IF(H586="echelon",'情景参数模板'!$D$13,'情景参数模板'!$D$14))</x:f>
        <x:v>0.49</x:v>
      </x:c>
      <x:c r="O586" s="21" t="n">
        <x:f>IF(C586="source",'情景参数模板'!$D$18,IF(H586="echelon",'情景参数模板'!$D$19,'情景参数模板'!$D$20))</x:f>
        <x:v>300</x:v>
      </x:c>
      <x:c r="P586" s="17" t="n">
        <x:f>IF(M586&lt;=O586,1,0)</x:f>
        <x:v>1</x:v>
      </x:c>
      <x:c r="Q586" s="17" t="str">
        <x:v>D-road proxy; B-coordinates</x:v>
      </x:c>
    </x:row>
    <x:row r="587">
      <x:c r="A587" s="17" t="str">
        <x:v>A0583</x:v>
      </x:c>
      <x:c r="B587" s="17" t="str">
        <x:v>C06</x:v>
      </x:c>
      <x:c r="C587" s="17" t="str">
        <x:v>collection</x:v>
      </x:c>
      <x:c r="D587" s="17" t="str">
        <x:v>韶关虚拟回收/检测中心</x:v>
      </x:c>
      <x:c r="E587" s="24" t="n">
        <x:v>113.8155263</x:v>
      </x:c>
      <x:c r="F587" s="24" t="n">
        <x:v>24.8309489</x:v>
      </x:c>
      <x:c r="G587" s="17" t="str">
        <x:v>P20R</x:v>
      </x:c>
      <x:c r="H587" s="17" t="str">
        <x:v>recycling</x:v>
      </x:c>
      <x:c r="I587" s="17" t="str">
        <x:v>广东金晟新能源股份有限公司（再生功能）</x:v>
      </x:c>
      <x:c r="J587" s="24" t="n">
        <x:v>112.4603629</x:v>
      </x:c>
      <x:c r="K587" s="24" t="n">
        <x:v>23.0501661</x:v>
      </x:c>
      <x:c r="L587" s="21" t="n">
        <x:f>6371*ACOS(MIN(1,COS(F587*PI()/180)*COS(K587*PI()/180)*COS((J587-E587)*PI()/180)+SIN(F587*PI()/180)*SIN(K587*PI()/180)))</x:f>
        <x:v>241.1942270561686</x:v>
      </x:c>
      <x:c r="M587" s="21" t="n">
        <x:f>L587*'情景参数模板'!$D$31</x:f>
        <x:v>289.43307246740227</x:v>
      </x:c>
      <x:c r="N587" s="21" t="n">
        <x:f>IF(C587="source",'情景参数模板'!$D$12,IF(H587="echelon",'情景参数模板'!$D$13,'情景参数模板'!$D$14))</x:f>
        <x:v>0.49</x:v>
      </x:c>
      <x:c r="O587" s="21" t="n">
        <x:f>IF(C587="source",'情景参数模板'!$D$18,IF(H587="echelon",'情景参数模板'!$D$19,'情景参数模板'!$D$20))</x:f>
        <x:v>400</x:v>
      </x:c>
      <x:c r="P587" s="17" t="n">
        <x:f>IF(M587&lt;=O587,1,0)</x:f>
        <x:v>1</x:v>
      </x:c>
      <x:c r="Q587" s="17" t="str">
        <x:v>D-road proxy; B-coordinates</x:v>
      </x:c>
    </x:row>
    <x:row r="588">
      <x:c r="A588" s="17" t="str">
        <x:v>A0584</x:v>
      </x:c>
      <x:c r="B588" s="17" t="str">
        <x:v>C06</x:v>
      </x:c>
      <x:c r="C588" s="17" t="str">
        <x:v>collection</x:v>
      </x:c>
      <x:c r="D588" s="17" t="str">
        <x:v>韶关虚拟回收/检测中心</x:v>
      </x:c>
      <x:c r="E588" s="24" t="n">
        <x:v>113.8155263</x:v>
      </x:c>
      <x:c r="F588" s="24" t="n">
        <x:v>24.8309489</x:v>
      </x:c>
      <x:c r="G588" s="17" t="str">
        <x:v>P21E</x:v>
      </x:c>
      <x:c r="H588" s="17" t="str">
        <x:v>echelon</x:v>
      </x:c>
      <x:c r="I588" s="17" t="str">
        <x:v>广东瑞科美电源技术有限公司（梯次功能）</x:v>
      </x:c>
      <x:c r="J588" s="24" t="n">
        <x:v>113.1159558</x:v>
      </x:c>
      <x:c r="K588" s="24" t="n">
        <x:v>23.0239788</x:v>
      </x:c>
      <x:c r="L588" s="21" t="n">
        <x:f>6371*ACOS(MIN(1,COS(F588*PI()/180)*COS(K588*PI()/180)*COS((J588-E588)*PI()/180)+SIN(F588*PI()/180)*SIN(K588*PI()/180)))</x:f>
        <x:v>213.1343512095063</x:v>
      </x:c>
      <x:c r="M588" s="21" t="n">
        <x:f>L588*'情景参数模板'!$D$31</x:f>
        <x:v>255.76122145140755</x:v>
      </x:c>
      <x:c r="N588" s="21" t="n">
        <x:f>IF(C588="source",'情景参数模板'!$D$12,IF(H588="echelon",'情景参数模板'!$D$13,'情景参数模板'!$D$14))</x:f>
        <x:v>0.49</x:v>
      </x:c>
      <x:c r="O588" s="21" t="n">
        <x:f>IF(C588="source",'情景参数模板'!$D$18,IF(H588="echelon",'情景参数模板'!$D$19,'情景参数模板'!$D$20))</x:f>
        <x:v>300</x:v>
      </x:c>
      <x:c r="P588" s="17" t="n">
        <x:f>IF(M588&lt;=O588,1,0)</x:f>
        <x:v>1</x:v>
      </x:c>
      <x:c r="Q588" s="17" t="str">
        <x:v>D-road proxy; B-coordinates</x:v>
      </x:c>
    </x:row>
    <x:row r="589">
      <x:c r="A589" s="17" t="str">
        <x:v>A0585</x:v>
      </x:c>
      <x:c r="B589" s="17" t="str">
        <x:v>C06</x:v>
      </x:c>
      <x:c r="C589" s="17" t="str">
        <x:v>collection</x:v>
      </x:c>
      <x:c r="D589" s="17" t="str">
        <x:v>韶关虚拟回收/检测中心</x:v>
      </x:c>
      <x:c r="E589" s="24" t="n">
        <x:v>113.8155263</x:v>
      </x:c>
      <x:c r="F589" s="24" t="n">
        <x:v>24.8309489</x:v>
      </x:c>
      <x:c r="G589" s="17" t="str">
        <x:v>P21R</x:v>
      </x:c>
      <x:c r="H589" s="17" t="str">
        <x:v>recycling</x:v>
      </x:c>
      <x:c r="I589" s="17" t="str">
        <x:v>广东瑞科美电源技术有限公司（再生功能）</x:v>
      </x:c>
      <x:c r="J589" s="24" t="n">
        <x:v>113.1159558</x:v>
      </x:c>
      <x:c r="K589" s="24" t="n">
        <x:v>23.0239788</x:v>
      </x:c>
      <x:c r="L589" s="21" t="n">
        <x:f>6371*ACOS(MIN(1,COS(F589*PI()/180)*COS(K589*PI()/180)*COS((J589-E589)*PI()/180)+SIN(F589*PI()/180)*SIN(K589*PI()/180)))</x:f>
        <x:v>213.1343512095063</x:v>
      </x:c>
      <x:c r="M589" s="21" t="n">
        <x:f>L589*'情景参数模板'!$D$31</x:f>
        <x:v>255.76122145140755</x:v>
      </x:c>
      <x:c r="N589" s="21" t="n">
        <x:f>IF(C589="source",'情景参数模板'!$D$12,IF(H589="echelon",'情景参数模板'!$D$13,'情景参数模板'!$D$14))</x:f>
        <x:v>0.49</x:v>
      </x:c>
      <x:c r="O589" s="21" t="n">
        <x:f>IF(C589="source",'情景参数模板'!$D$18,IF(H589="echelon",'情景参数模板'!$D$19,'情景参数模板'!$D$20))</x:f>
        <x:v>400</x:v>
      </x:c>
      <x:c r="P589" s="17" t="n">
        <x:f>IF(M589&lt;=O589,1,0)</x:f>
        <x:v>1</x:v>
      </x:c>
      <x:c r="Q589" s="17" t="str">
        <x:v>D-road proxy; B-coordinates</x:v>
      </x:c>
    </x:row>
    <x:row r="590">
      <x:c r="A590" s="17" t="str">
        <x:v>A0586</x:v>
      </x:c>
      <x:c r="B590" s="17" t="str">
        <x:v>C07</x:v>
      </x:c>
      <x:c r="C590" s="17" t="str">
        <x:v>collection</x:v>
      </x:c>
      <x:c r="D590" s="17" t="str">
        <x:v>河源虚拟回收/检测中心</x:v>
      </x:c>
      <x:c r="E590" s="24" t="n">
        <x:v>115.0577538</x:v>
      </x:c>
      <x:c r="F590" s="24" t="n">
        <x:v>24.1014769</x:v>
      </x:c>
      <x:c r="G590" s="17" t="str">
        <x:v>P01</x:v>
      </x:c>
      <x:c r="H590" s="17" t="str">
        <x:v>recycling</x:v>
      </x:c>
      <x:c r="I590" s="17" t="str">
        <x:v>汕尾比亚迪废旧动力电池回收项目</x:v>
      </x:c>
      <x:c r="J590" s="24" t="n">
        <x:v>115.3492668</x:v>
      </x:c>
      <x:c r="K590" s="24" t="n">
        <x:v>22.838065</x:v>
      </x:c>
      <x:c r="L590" s="21" t="n">
        <x:f>6371*ACOS(MIN(1,COS(F590*PI()/180)*COS(K590*PI()/180)*COS((J590-E590)*PI()/180)+SIN(F590*PI()/180)*SIN(K590*PI()/180)))</x:f>
        <x:v>143.596777378205</x:v>
      </x:c>
      <x:c r="M590" s="21" t="n">
        <x:f>L590*'情景参数模板'!$D$31</x:f>
        <x:v>172.31613285384597</x:v>
      </x:c>
      <x:c r="N590" s="21" t="n">
        <x:f>IF(C590="source",'情景参数模板'!$D$12,IF(H590="echelon",'情景参数模板'!$D$13,'情景参数模板'!$D$14))</x:f>
        <x:v>0.49</x:v>
      </x:c>
      <x:c r="O590" s="21" t="n">
        <x:f>IF(C590="source",'情景参数模板'!$D$18,IF(H590="echelon",'情景参数模板'!$D$19,'情景参数模板'!$D$20))</x:f>
        <x:v>400</x:v>
      </x:c>
      <x:c r="P590" s="17" t="n">
        <x:f>IF(M590&lt;=O590,1,0)</x:f>
        <x:v>1</x:v>
      </x:c>
      <x:c r="Q590" s="17" t="str">
        <x:v>D-road proxy; B-coordinates</x:v>
      </x:c>
    </x:row>
    <x:row r="591">
      <x:c r="A591" s="17" t="str">
        <x:v>A0587</x:v>
      </x:c>
      <x:c r="B591" s="17" t="str">
        <x:v>C07</x:v>
      </x:c>
      <x:c r="C591" s="17" t="str">
        <x:v>collection</x:v>
      </x:c>
      <x:c r="D591" s="17" t="str">
        <x:v>河源虚拟回收/检测中心</x:v>
      </x:c>
      <x:c r="E591" s="24" t="n">
        <x:v>115.0577538</x:v>
      </x:c>
      <x:c r="F591" s="24" t="n">
        <x:v>24.1014769</x:v>
      </x:c>
      <x:c r="G591" s="17" t="str">
        <x:v>P02E</x:v>
      </x:c>
      <x:c r="H591" s="17" t="str">
        <x:v>echelon</x:v>
      </x:c>
      <x:c r="I591" s="17" t="str">
        <x:v>广东光华科技股份有限公司（梯次功能）</x:v>
      </x:c>
      <x:c r="J591" s="24" t="n">
        <x:v>116.6775856</x:v>
      </x:c>
      <x:c r="K591" s="24" t="n">
        <x:v>23.3563921</x:v>
      </x:c>
      <x:c r="L591" s="21" t="n">
        <x:f>6371*ACOS(MIN(1,COS(F591*PI()/180)*COS(K591*PI()/180)*COS((J591-E591)*PI()/180)+SIN(F591*PI()/180)*SIN(K591*PI()/180)))</x:f>
        <x:v>184.53141025973926</x:v>
      </x:c>
      <x:c r="M591" s="21" t="n">
        <x:f>L591*'情景参数模板'!$D$31</x:f>
        <x:v>221.4376923116871</x:v>
      </x:c>
      <x:c r="N591" s="21" t="n">
        <x:f>IF(C591="source",'情景参数模板'!$D$12,IF(H591="echelon",'情景参数模板'!$D$13,'情景参数模板'!$D$14))</x:f>
        <x:v>0.49</x:v>
      </x:c>
      <x:c r="O591" s="21" t="n">
        <x:f>IF(C591="source",'情景参数模板'!$D$18,IF(H591="echelon",'情景参数模板'!$D$19,'情景参数模板'!$D$20))</x:f>
        <x:v>300</x:v>
      </x:c>
      <x:c r="P591" s="17" t="n">
        <x:f>IF(M591&lt;=O591,1,0)</x:f>
        <x:v>1</x:v>
      </x:c>
      <x:c r="Q591" s="17" t="str">
        <x:v>D-road proxy; B-coordinates</x:v>
      </x:c>
    </x:row>
    <x:row r="592">
      <x:c r="A592" s="17" t="str">
        <x:v>A0588</x:v>
      </x:c>
      <x:c r="B592" s="17" t="str">
        <x:v>C07</x:v>
      </x:c>
      <x:c r="C592" s="17" t="str">
        <x:v>collection</x:v>
      </x:c>
      <x:c r="D592" s="17" t="str">
        <x:v>河源虚拟回收/检测中心</x:v>
      </x:c>
      <x:c r="E592" s="24" t="n">
        <x:v>115.0577538</x:v>
      </x:c>
      <x:c r="F592" s="24" t="n">
        <x:v>24.1014769</x:v>
      </x:c>
      <x:c r="G592" s="17" t="str">
        <x:v>P02R</x:v>
      </x:c>
      <x:c r="H592" s="17" t="str">
        <x:v>recycling</x:v>
      </x:c>
      <x:c r="I592" s="17" t="str">
        <x:v>广东光华科技股份有限公司（再生功能）</x:v>
      </x:c>
      <x:c r="J592" s="24" t="n">
        <x:v>116.6775856</x:v>
      </x:c>
      <x:c r="K592" s="24" t="n">
        <x:v>23.3563921</x:v>
      </x:c>
      <x:c r="L592" s="21" t="n">
        <x:f>6371*ACOS(MIN(1,COS(F592*PI()/180)*COS(K592*PI()/180)*COS((J592-E592)*PI()/180)+SIN(F592*PI()/180)*SIN(K592*PI()/180)))</x:f>
        <x:v>184.53141025973926</x:v>
      </x:c>
      <x:c r="M592" s="21" t="n">
        <x:f>L592*'情景参数模板'!$D$31</x:f>
        <x:v>221.4376923116871</x:v>
      </x:c>
      <x:c r="N592" s="21" t="n">
        <x:f>IF(C592="source",'情景参数模板'!$D$12,IF(H592="echelon",'情景参数模板'!$D$13,'情景参数模板'!$D$14))</x:f>
        <x:v>0.49</x:v>
      </x:c>
      <x:c r="O592" s="21" t="n">
        <x:f>IF(C592="source",'情景参数模板'!$D$18,IF(H592="echelon",'情景参数模板'!$D$19,'情景参数模板'!$D$20))</x:f>
        <x:v>400</x:v>
      </x:c>
      <x:c r="P592" s="17" t="n">
        <x:f>IF(M592&lt;=O592,1,0)</x:f>
        <x:v>1</x:v>
      </x:c>
      <x:c r="Q592" s="17" t="str">
        <x:v>D-road proxy; B-coordinates</x:v>
      </x:c>
    </x:row>
    <x:row r="593">
      <x:c r="A593" s="17" t="str">
        <x:v>A0589</x:v>
      </x:c>
      <x:c r="B593" s="17" t="str">
        <x:v>C07</x:v>
      </x:c>
      <x:c r="C593" s="17" t="str">
        <x:v>collection</x:v>
      </x:c>
      <x:c r="D593" s="17" t="str">
        <x:v>河源虚拟回收/检测中心</x:v>
      </x:c>
      <x:c r="E593" s="24" t="n">
        <x:v>115.0577538</x:v>
      </x:c>
      <x:c r="F593" s="24" t="n">
        <x:v>24.1014769</x:v>
      </x:c>
      <x:c r="G593" s="17" t="str">
        <x:v>P03</x:v>
      </x:c>
      <x:c r="H593" s="17" t="str">
        <x:v>echelon</x:v>
      </x:c>
      <x:c r="I593" s="17" t="str">
        <x:v>深圳深汕特别合作区乾泰技术有限公司</x:v>
      </x:c>
      <x:c r="J593" s="24" t="n">
        <x:v>115.5099937</x:v>
      </x:c>
      <x:c r="K593" s="24" t="n">
        <x:v>23.0123639</x:v>
      </x:c>
      <x:c r="L593" s="21" t="n">
        <x:f>6371*ACOS(MIN(1,COS(F593*PI()/180)*COS(K593*PI()/180)*COS((J593-E593)*PI()/180)+SIN(F593*PI()/180)*SIN(K593*PI()/180)))</x:f>
        <x:v>129.57964487920876</x:v>
      </x:c>
      <x:c r="M593" s="21" t="n">
        <x:f>L593*'情景参数模板'!$D$31</x:f>
        <x:v>155.4955738550505</x:v>
      </x:c>
      <x:c r="N593" s="21" t="n">
        <x:f>IF(C593="source",'情景参数模板'!$D$12,IF(H593="echelon",'情景参数模板'!$D$13,'情景参数模板'!$D$14))</x:f>
        <x:v>0.49</x:v>
      </x:c>
      <x:c r="O593" s="21" t="n">
        <x:f>IF(C593="source",'情景参数模板'!$D$18,IF(H593="echelon",'情景参数模板'!$D$19,'情景参数模板'!$D$20))</x:f>
        <x:v>300</x:v>
      </x:c>
      <x:c r="P593" s="17" t="n">
        <x:f>IF(M593&lt;=O593,1,0)</x:f>
        <x:v>1</x:v>
      </x:c>
      <x:c r="Q593" s="17" t="str">
        <x:v>D-road proxy; B-coordinates</x:v>
      </x:c>
    </x:row>
    <x:row r="594">
      <x:c r="A594" s="17" t="str">
        <x:v>A0590</x:v>
      </x:c>
      <x:c r="B594" s="17" t="str">
        <x:v>C07</x:v>
      </x:c>
      <x:c r="C594" s="17" t="str">
        <x:v>collection</x:v>
      </x:c>
      <x:c r="D594" s="17" t="str">
        <x:v>河源虚拟回收/检测中心</x:v>
      </x:c>
      <x:c r="E594" s="24" t="n">
        <x:v>115.0577538</x:v>
      </x:c>
      <x:c r="F594" s="24" t="n">
        <x:v>24.1014769</x:v>
      </x:c>
      <x:c r="G594" s="17" t="str">
        <x:v>P04</x:v>
      </x:c>
      <x:c r="H594" s="17" t="str">
        <x:v>echelon</x:v>
      </x:c>
      <x:c r="I594" s="17" t="str">
        <x:v>珠海中力新能源科技有限公司</x:v>
      </x:c>
      <x:c r="J594" s="24" t="n">
        <x:v>113.5721327</x:v>
      </x:c>
      <x:c r="K594" s="24" t="n">
        <x:v>22.273734</x:v>
      </x:c>
      <x:c r="L594" s="21" t="n">
        <x:f>6371*ACOS(MIN(1,COS(F594*PI()/180)*COS(K594*PI()/180)*COS((J594-E594)*PI()/180)+SIN(F594*PI()/180)*SIN(K594*PI()/180)))</x:f>
        <x:v>253.69221156809851</x:v>
      </x:c>
      <x:c r="M594" s="21" t="n">
        <x:f>L594*'情景参数模板'!$D$31</x:f>
        <x:v>304.43065388171823</x:v>
      </x:c>
      <x:c r="N594" s="21" t="n">
        <x:f>IF(C594="source",'情景参数模板'!$D$12,IF(H594="echelon",'情景参数模板'!$D$13,'情景参数模板'!$D$14))</x:f>
        <x:v>0.49</x:v>
      </x:c>
      <x:c r="O594" s="21" t="n">
        <x:f>IF(C594="source",'情景参数模板'!$D$18,IF(H594="echelon",'情景参数模板'!$D$19,'情景参数模板'!$D$20))</x:f>
        <x:v>300</x:v>
      </x:c>
      <x:c r="P594" s="17" t="n">
        <x:f>IF(M594&lt;=O594,1,0)</x:f>
        <x:v>0</x:v>
      </x:c>
      <x:c r="Q594" s="17" t="str">
        <x:v>D-road proxy; B-coordinates</x:v>
      </x:c>
    </x:row>
    <x:row r="595">
      <x:c r="A595" s="17" t="str">
        <x:v>A0591</x:v>
      </x:c>
      <x:c r="B595" s="17" t="str">
        <x:v>C07</x:v>
      </x:c>
      <x:c r="C595" s="17" t="str">
        <x:v>collection</x:v>
      </x:c>
      <x:c r="D595" s="17" t="str">
        <x:v>河源虚拟回收/检测中心</x:v>
      </x:c>
      <x:c r="E595" s="24" t="n">
        <x:v>115.0577538</x:v>
      </x:c>
      <x:c r="F595" s="24" t="n">
        <x:v>24.1014769</x:v>
      </x:c>
      <x:c r="G595" s="17" t="str">
        <x:v>P05</x:v>
      </x:c>
      <x:c r="H595" s="17" t="str">
        <x:v>echelon</x:v>
      </x:c>
      <x:c r="I595" s="17" t="str">
        <x:v>惠州市恒创睿能环保科技有限公司</x:v>
      </x:c>
      <x:c r="J595" s="24" t="n">
        <x:v>114.4127007</x:v>
      </x:c>
      <x:c r="K595" s="24" t="n">
        <x:v>23.1125153</x:v>
      </x:c>
      <x:c r="L595" s="21" t="n">
        <x:f>6371*ACOS(MIN(1,COS(F595*PI()/180)*COS(K595*PI()/180)*COS((J595-E595)*PI()/180)+SIN(F595*PI()/180)*SIN(K595*PI()/180)))</x:f>
        <x:v>128.11063912816488</x:v>
      </x:c>
      <x:c r="M595" s="21" t="n">
        <x:f>L595*'情景参数模板'!$D$31</x:f>
        <x:v>153.73276695379784</x:v>
      </x:c>
      <x:c r="N595" s="21" t="n">
        <x:f>IF(C595="source",'情景参数模板'!$D$12,IF(H595="echelon",'情景参数模板'!$D$13,'情景参数模板'!$D$14))</x:f>
        <x:v>0.49</x:v>
      </x:c>
      <x:c r="O595" s="21" t="n">
        <x:f>IF(C595="source",'情景参数模板'!$D$18,IF(H595="echelon",'情景参数模板'!$D$19,'情景参数模板'!$D$20))</x:f>
        <x:v>300</x:v>
      </x:c>
      <x:c r="P595" s="17" t="n">
        <x:f>IF(M595&lt;=O595,1,0)</x:f>
        <x:v>1</x:v>
      </x:c>
      <x:c r="Q595" s="17" t="str">
        <x:v>D-road proxy; B-coordinates</x:v>
      </x:c>
    </x:row>
    <x:row r="596">
      <x:c r="A596" s="17" t="str">
        <x:v>A0592</x:v>
      </x:c>
      <x:c r="B596" s="17" t="str">
        <x:v>C07</x:v>
      </x:c>
      <x:c r="C596" s="17" t="str">
        <x:v>collection</x:v>
      </x:c>
      <x:c r="D596" s="17" t="str">
        <x:v>河源虚拟回收/检测中心</x:v>
      </x:c>
      <x:c r="E596" s="24" t="n">
        <x:v>115.0577538</x:v>
      </x:c>
      <x:c r="F596" s="24" t="n">
        <x:v>24.1014769</x:v>
      </x:c>
      <x:c r="G596" s="17" t="str">
        <x:v>P06</x:v>
      </x:c>
      <x:c r="H596" s="17" t="str">
        <x:v>echelon</x:v>
      </x:c>
      <x:c r="I596" s="17" t="str">
        <x:v>江门市朗达锂电池有限公司</x:v>
      </x:c>
      <x:c r="J596" s="24" t="n">
        <x:v>113.0761073</x:v>
      </x:c>
      <x:c r="K596" s="24" t="n">
        <x:v>22.5816619</x:v>
      </x:c>
      <x:c r="L596" s="21" t="n">
        <x:f>6371*ACOS(MIN(1,COS(F596*PI()/180)*COS(K596*PI()/180)*COS((J596-E596)*PI()/180)+SIN(F596*PI()/180)*SIN(K596*PI()/180)))</x:f>
        <x:v>263.603352392746</x:v>
      </x:c>
      <x:c r="M596" s="21" t="n">
        <x:f>L596*'情景参数模板'!$D$31</x:f>
        <x:v>316.3240228712952</x:v>
      </x:c>
      <x:c r="N596" s="21" t="n">
        <x:f>IF(C596="source",'情景参数模板'!$D$12,IF(H596="echelon",'情景参数模板'!$D$13,'情景参数模板'!$D$14))</x:f>
        <x:v>0.49</x:v>
      </x:c>
      <x:c r="O596" s="21" t="n">
        <x:f>IF(C596="source",'情景参数模板'!$D$18,IF(H596="echelon",'情景参数模板'!$D$19,'情景参数模板'!$D$20))</x:f>
        <x:v>300</x:v>
      </x:c>
      <x:c r="P596" s="17" t="n">
        <x:f>IF(M596&lt;=O596,1,0)</x:f>
        <x:v>0</x:v>
      </x:c>
      <x:c r="Q596" s="17" t="str">
        <x:v>D-road proxy; B-coordinates</x:v>
      </x:c>
    </x:row>
    <x:row r="597">
      <x:c r="A597" s="17" t="str">
        <x:v>A0593</x:v>
      </x:c>
      <x:c r="B597" s="17" t="str">
        <x:v>C07</x:v>
      </x:c>
      <x:c r="C597" s="17" t="str">
        <x:v>collection</x:v>
      </x:c>
      <x:c r="D597" s="17" t="str">
        <x:v>河源虚拟回收/检测中心</x:v>
      </x:c>
      <x:c r="E597" s="24" t="n">
        <x:v>115.0577538</x:v>
      </x:c>
      <x:c r="F597" s="24" t="n">
        <x:v>24.1014769</x:v>
      </x:c>
      <x:c r="G597" s="17" t="str">
        <x:v>P07</x:v>
      </x:c>
      <x:c r="H597" s="17" t="str">
        <x:v>echelon</x:v>
      </x:c>
      <x:c r="I597" s="17" t="str">
        <x:v>广东迪度新能源有限公司</x:v>
      </x:c>
      <x:c r="J597" s="24" t="n">
        <x:v>113.7452332</x:v>
      </x:c>
      <x:c r="K597" s="24" t="n">
        <x:v>23.0183568</x:v>
      </x:c>
      <x:c r="L597" s="21" t="n">
        <x:f>6371*ACOS(MIN(1,COS(F597*PI()/180)*COS(K597*PI()/180)*COS((J597-E597)*PI()/180)+SIN(F597*PI()/180)*SIN(K597*PI()/180)))</x:f>
        <x:v>180.00361940870866</x:v>
      </x:c>
      <x:c r="M597" s="21" t="n">
        <x:f>L597*'情景参数模板'!$D$31</x:f>
        <x:v>216.00434329045038</x:v>
      </x:c>
      <x:c r="N597" s="21" t="n">
        <x:f>IF(C597="source",'情景参数模板'!$D$12,IF(H597="echelon",'情景参数模板'!$D$13,'情景参数模板'!$D$14))</x:f>
        <x:v>0.49</x:v>
      </x:c>
      <x:c r="O597" s="21" t="n">
        <x:f>IF(C597="source",'情景参数模板'!$D$18,IF(H597="echelon",'情景参数模板'!$D$19,'情景参数模板'!$D$20))</x:f>
        <x:v>300</x:v>
      </x:c>
      <x:c r="P597" s="17" t="n">
        <x:f>IF(M597&lt;=O597,1,0)</x:f>
        <x:v>1</x:v>
      </x:c>
      <x:c r="Q597" s="17" t="str">
        <x:v>D-road proxy; B-coordinates</x:v>
      </x:c>
    </x:row>
    <x:row r="598">
      <x:c r="A598" s="17" t="str">
        <x:v>A0594</x:v>
      </x:c>
      <x:c r="B598" s="17" t="str">
        <x:v>C07</x:v>
      </x:c>
      <x:c r="C598" s="17" t="str">
        <x:v>collection</x:v>
      </x:c>
      <x:c r="D598" s="17" t="str">
        <x:v>河源虚拟回收/检测中心</x:v>
      </x:c>
      <x:c r="E598" s="24" t="n">
        <x:v>115.0577538</x:v>
      </x:c>
      <x:c r="F598" s="24" t="n">
        <x:v>24.1014769</x:v>
      </x:c>
      <x:c r="G598" s="17" t="str">
        <x:v>P08</x:v>
      </x:c>
      <x:c r="H598" s="17" t="str">
        <x:v>echelon</x:v>
      </x:c>
      <x:c r="I598" s="17" t="str">
        <x:v>东莞市博森新能源有限公司</x:v>
      </x:c>
      <x:c r="J598" s="24" t="n">
        <x:v>113.7452332</x:v>
      </x:c>
      <x:c r="K598" s="24" t="n">
        <x:v>23.0183568</x:v>
      </x:c>
      <x:c r="L598" s="21" t="n">
        <x:f>6371*ACOS(MIN(1,COS(F598*PI()/180)*COS(K598*PI()/180)*COS((J598-E598)*PI()/180)+SIN(F598*PI()/180)*SIN(K598*PI()/180)))</x:f>
        <x:v>180.00361940870866</x:v>
      </x:c>
      <x:c r="M598" s="21" t="n">
        <x:f>L598*'情景参数模板'!$D$31</x:f>
        <x:v>216.00434329045038</x:v>
      </x:c>
      <x:c r="N598" s="21" t="n">
        <x:f>IF(C598="source",'情景参数模板'!$D$12,IF(H598="echelon",'情景参数模板'!$D$13,'情景参数模板'!$D$14))</x:f>
        <x:v>0.49</x:v>
      </x:c>
      <x:c r="O598" s="21" t="n">
        <x:f>IF(C598="source",'情景参数模板'!$D$18,IF(H598="echelon",'情景参数模板'!$D$19,'情景参数模板'!$D$20))</x:f>
        <x:v>300</x:v>
      </x:c>
      <x:c r="P598" s="17" t="n">
        <x:f>IF(M598&lt;=O598,1,0)</x:f>
        <x:v>1</x:v>
      </x:c>
      <x:c r="Q598" s="17" t="str">
        <x:v>D-road proxy; B-coordinates</x:v>
      </x:c>
    </x:row>
    <x:row r="599">
      <x:c r="A599" s="17" t="str">
        <x:v>A0595</x:v>
      </x:c>
      <x:c r="B599" s="17" t="str">
        <x:v>C07</x:v>
      </x:c>
      <x:c r="C599" s="17" t="str">
        <x:v>collection</x:v>
      </x:c>
      <x:c r="D599" s="17" t="str">
        <x:v>河源虚拟回收/检测中心</x:v>
      </x:c>
      <x:c r="E599" s="24" t="n">
        <x:v>115.0577538</x:v>
      </x:c>
      <x:c r="F599" s="24" t="n">
        <x:v>24.1014769</x:v>
      </x:c>
      <x:c r="G599" s="17" t="str">
        <x:v>P09</x:v>
      </x:c>
      <x:c r="H599" s="17" t="str">
        <x:v>echelon</x:v>
      </x:c>
      <x:c r="I599" s="17" t="str">
        <x:v>广东宇阳新能源有限公司</x:v>
      </x:c>
      <x:c r="J599" s="24" t="n">
        <x:v>113.7452332</x:v>
      </x:c>
      <x:c r="K599" s="24" t="n">
        <x:v>23.0183568</x:v>
      </x:c>
      <x:c r="L599" s="21" t="n">
        <x:f>6371*ACOS(MIN(1,COS(F599*PI()/180)*COS(K599*PI()/180)*COS((J599-E599)*PI()/180)+SIN(F599*PI()/180)*SIN(K599*PI()/180)))</x:f>
        <x:v>180.00361940870866</x:v>
      </x:c>
      <x:c r="M599" s="21" t="n">
        <x:f>L599*'情景参数模板'!$D$31</x:f>
        <x:v>216.00434329045038</x:v>
      </x:c>
      <x:c r="N599" s="21" t="n">
        <x:f>IF(C599="source",'情景参数模板'!$D$12,IF(H599="echelon",'情景参数模板'!$D$13,'情景参数模板'!$D$14))</x:f>
        <x:v>0.49</x:v>
      </x:c>
      <x:c r="O599" s="21" t="n">
        <x:f>IF(C599="source",'情景参数模板'!$D$18,IF(H599="echelon",'情景参数模板'!$D$19,'情景参数模板'!$D$20))</x:f>
        <x:v>300</x:v>
      </x:c>
      <x:c r="P599" s="17" t="n">
        <x:f>IF(M599&lt;=O599,1,0)</x:f>
        <x:v>1</x:v>
      </x:c>
      <x:c r="Q599" s="17" t="str">
        <x:v>D-road proxy; B-coordinates</x:v>
      </x:c>
    </x:row>
    <x:row r="600">
      <x:c r="A600" s="17" t="str">
        <x:v>A0596</x:v>
      </x:c>
      <x:c r="B600" s="17" t="str">
        <x:v>C07</x:v>
      </x:c>
      <x:c r="C600" s="17" t="str">
        <x:v>collection</x:v>
      </x:c>
      <x:c r="D600" s="17" t="str">
        <x:v>河源虚拟回收/检测中心</x:v>
      </x:c>
      <x:c r="E600" s="24" t="n">
        <x:v>115.0577538</x:v>
      </x:c>
      <x:c r="F600" s="24" t="n">
        <x:v>24.1014769</x:v>
      </x:c>
      <x:c r="G600" s="17" t="str">
        <x:v>P10</x:v>
      </x:c>
      <x:c r="H600" s="17" t="str">
        <x:v>echelon</x:v>
      </x:c>
      <x:c r="I600" s="17" t="str">
        <x:v>广州广汽商贸再生资源有限公司</x:v>
      </x:c>
      <x:c r="J600" s="24" t="n">
        <x:v>113.2589581</x:v>
      </x:c>
      <x:c r="K600" s="24" t="n">
        <x:v>23.1288429</x:v>
      </x:c>
      <x:c r="L600" s="21" t="n">
        <x:f>6371*ACOS(MIN(1,COS(F600*PI()/180)*COS(K600*PI()/180)*COS((J600-E600)*PI()/180)+SIN(F600*PI()/180)*SIN(K600*PI()/180)))</x:f>
        <x:v>212.7954154557559</x:v>
      </x:c>
      <x:c r="M600" s="21" t="n">
        <x:f>L600*'情景参数模板'!$D$31</x:f>
        <x:v>255.35449854690705</x:v>
      </x:c>
      <x:c r="N600" s="21" t="n">
        <x:f>IF(C600="source",'情景参数模板'!$D$12,IF(H600="echelon",'情景参数模板'!$D$13,'情景参数模板'!$D$14))</x:f>
        <x:v>0.49</x:v>
      </x:c>
      <x:c r="O600" s="21" t="n">
        <x:f>IF(C600="source",'情景参数模板'!$D$18,IF(H600="echelon",'情景参数模板'!$D$19,'情景参数模板'!$D$20))</x:f>
        <x:v>300</x:v>
      </x:c>
      <x:c r="P600" s="17" t="n">
        <x:f>IF(M600&lt;=O600,1,0)</x:f>
        <x:v>1</x:v>
      </x:c>
      <x:c r="Q600" s="17" t="str">
        <x:v>D-road proxy; B-coordinates</x:v>
      </x:c>
    </x:row>
    <x:row r="601">
      <x:c r="A601" s="17" t="str">
        <x:v>A0597</x:v>
      </x:c>
      <x:c r="B601" s="17" t="str">
        <x:v>C07</x:v>
      </x:c>
      <x:c r="C601" s="17" t="str">
        <x:v>collection</x:v>
      </x:c>
      <x:c r="D601" s="17" t="str">
        <x:v>河源虚拟回收/检测中心</x:v>
      </x:c>
      <x:c r="E601" s="24" t="n">
        <x:v>115.0577538</x:v>
      </x:c>
      <x:c r="F601" s="24" t="n">
        <x:v>24.1014769</x:v>
      </x:c>
      <x:c r="G601" s="17" t="str">
        <x:v>P11</x:v>
      </x:c>
      <x:c r="H601" s="17" t="str">
        <x:v>echelon</x:v>
      </x:c>
      <x:c r="I601" s="17" t="str">
        <x:v>深圳市杰成镍钴新能源科技有限公司</x:v>
      </x:c>
      <x:c r="J601" s="24" t="n">
        <x:v>114.0545429</x:v>
      </x:c>
      <x:c r="K601" s="24" t="n">
        <x:v>22.5445741</x:v>
      </x:c>
      <x:c r="L601" s="21" t="n">
        <x:f>6371*ACOS(MIN(1,COS(F601*PI()/180)*COS(K601*PI()/180)*COS((J601-E601)*PI()/180)+SIN(F601*PI()/180)*SIN(K601*PI()/180)))</x:f>
        <x:v>201.1533473364422</x:v>
      </x:c>
      <x:c r="M601" s="21" t="n">
        <x:f>L601*'情景参数模板'!$D$31</x:f>
        <x:v>241.38401680373065</x:v>
      </x:c>
      <x:c r="N601" s="21" t="n">
        <x:f>IF(C601="source",'情景参数模板'!$D$12,IF(H601="echelon",'情景参数模板'!$D$13,'情景参数模板'!$D$14))</x:f>
        <x:v>0.49</x:v>
      </x:c>
      <x:c r="O601" s="21" t="n">
        <x:f>IF(C601="source",'情景参数模板'!$D$18,IF(H601="echelon",'情景参数模板'!$D$19,'情景参数模板'!$D$20))</x:f>
        <x:v>300</x:v>
      </x:c>
      <x:c r="P601" s="17" t="n">
        <x:f>IF(M601&lt;=O601,1,0)</x:f>
        <x:v>1</x:v>
      </x:c>
      <x:c r="Q601" s="17" t="str">
        <x:v>D-road proxy; B-coordinates</x:v>
      </x:c>
    </x:row>
    <x:row r="602">
      <x:c r="A602" s="17" t="str">
        <x:v>A0598</x:v>
      </x:c>
      <x:c r="B602" s="17" t="str">
        <x:v>C07</x:v>
      </x:c>
      <x:c r="C602" s="17" t="str">
        <x:v>collection</x:v>
      </x:c>
      <x:c r="D602" s="17" t="str">
        <x:v>河源虚拟回收/检测中心</x:v>
      </x:c>
      <x:c r="E602" s="24" t="n">
        <x:v>115.0577538</x:v>
      </x:c>
      <x:c r="F602" s="24" t="n">
        <x:v>24.1014769</x:v>
      </x:c>
      <x:c r="G602" s="17" t="str">
        <x:v>P12</x:v>
      </x:c>
      <x:c r="H602" s="17" t="str">
        <x:v>recycling</x:v>
      </x:c>
      <x:c r="I602" s="17" t="str">
        <x:v>江门市恒创睿能环保科技有限公司</x:v>
      </x:c>
      <x:c r="J602" s="24" t="n">
        <x:v>113.0761073</x:v>
      </x:c>
      <x:c r="K602" s="24" t="n">
        <x:v>22.5816619</x:v>
      </x:c>
      <x:c r="L602" s="21" t="n">
        <x:f>6371*ACOS(MIN(1,COS(F602*PI()/180)*COS(K602*PI()/180)*COS((J602-E602)*PI()/180)+SIN(F602*PI()/180)*SIN(K602*PI()/180)))</x:f>
        <x:v>263.603352392746</x:v>
      </x:c>
      <x:c r="M602" s="21" t="n">
        <x:f>L602*'情景参数模板'!$D$31</x:f>
        <x:v>316.3240228712952</x:v>
      </x:c>
      <x:c r="N602" s="21" t="n">
        <x:f>IF(C602="source",'情景参数模板'!$D$12,IF(H602="echelon",'情景参数模板'!$D$13,'情景参数模板'!$D$14))</x:f>
        <x:v>0.49</x:v>
      </x:c>
      <x:c r="O602" s="21" t="n">
        <x:f>IF(C602="source",'情景参数模板'!$D$18,IF(H602="echelon",'情景参数模板'!$D$19,'情景参数模板'!$D$20))</x:f>
        <x:v>400</x:v>
      </x:c>
      <x:c r="P602" s="17" t="n">
        <x:f>IF(M602&lt;=O602,1,0)</x:f>
        <x:v>1</x:v>
      </x:c>
      <x:c r="Q602" s="17" t="str">
        <x:v>D-road proxy; B-coordinates</x:v>
      </x:c>
    </x:row>
    <x:row r="603">
      <x:c r="A603" s="17" t="str">
        <x:v>A0599</x:v>
      </x:c>
      <x:c r="B603" s="17" t="str">
        <x:v>C07</x:v>
      </x:c>
      <x:c r="C603" s="17" t="str">
        <x:v>collection</x:v>
      </x:c>
      <x:c r="D603" s="17" t="str">
        <x:v>河源虚拟回收/检测中心</x:v>
      </x:c>
      <x:c r="E603" s="24" t="n">
        <x:v>115.0577538</x:v>
      </x:c>
      <x:c r="F603" s="24" t="n">
        <x:v>24.1014769</x:v>
      </x:c>
      <x:c r="G603" s="17" t="str">
        <x:v>P13</x:v>
      </x:c>
      <x:c r="H603" s="17" t="str">
        <x:v>recycling</x:v>
      </x:c>
      <x:c r="I603" s="17" t="str">
        <x:v>广东佳纳能源科技有限公司</x:v>
      </x:c>
      <x:c r="J603" s="24" t="n">
        <x:v>113.0505994</x:v>
      </x:c>
      <x:c r="K603" s="24" t="n">
        <x:v>23.6832984</x:v>
      </x:c>
      <x:c r="L603" s="21" t="n">
        <x:f>6371*ACOS(MIN(1,COS(F603*PI()/180)*COS(K603*PI()/180)*COS((J603-E603)*PI()/180)+SIN(F603*PI()/180)*SIN(K603*PI()/180)))</x:f>
        <x:v>209.288636539523</x:v>
      </x:c>
      <x:c r="M603" s="21" t="n">
        <x:f>L603*'情景参数模板'!$D$31</x:f>
        <x:v>251.14636384742758</x:v>
      </x:c>
      <x:c r="N603" s="21" t="n">
        <x:f>IF(C603="source",'情景参数模板'!$D$12,IF(H603="echelon",'情景参数模板'!$D$13,'情景参数模板'!$D$14))</x:f>
        <x:v>0.49</x:v>
      </x:c>
      <x:c r="O603" s="21" t="n">
        <x:f>IF(C603="source",'情景参数模板'!$D$18,IF(H603="echelon",'情景参数模板'!$D$19,'情景参数模板'!$D$20))</x:f>
        <x:v>400</x:v>
      </x:c>
      <x:c r="P603" s="17" t="n">
        <x:f>IF(M603&lt;=O603,1,0)</x:f>
        <x:v>1</x:v>
      </x:c>
      <x:c r="Q603" s="17" t="str">
        <x:v>D-road proxy; B-coordinates</x:v>
      </x:c>
    </x:row>
    <x:row r="604">
      <x:c r="A604" s="17" t="str">
        <x:v>A0600</x:v>
      </x:c>
      <x:c r="B604" s="17" t="str">
        <x:v>C07</x:v>
      </x:c>
      <x:c r="C604" s="17" t="str">
        <x:v>collection</x:v>
      </x:c>
      <x:c r="D604" s="17" t="str">
        <x:v>河源虚拟回收/检测中心</x:v>
      </x:c>
      <x:c r="E604" s="24" t="n">
        <x:v>115.0577538</x:v>
      </x:c>
      <x:c r="F604" s="24" t="n">
        <x:v>24.1014769</x:v>
      </x:c>
      <x:c r="G604" s="17" t="str">
        <x:v>P14</x:v>
      </x:c>
      <x:c r="H604" s="17" t="str">
        <x:v>echelon</x:v>
      </x:c>
      <x:c r="I604" s="17" t="str">
        <x:v>格林美（深圳）循环科技有限公司</x:v>
      </x:c>
      <x:c r="J604" s="24" t="n">
        <x:v>114.0545429</x:v>
      </x:c>
      <x:c r="K604" s="24" t="n">
        <x:v>22.5445741</x:v>
      </x:c>
      <x:c r="L604" s="21" t="n">
        <x:f>6371*ACOS(MIN(1,COS(F604*PI()/180)*COS(K604*PI()/180)*COS((J604-E604)*PI()/180)+SIN(F604*PI()/180)*SIN(K604*PI()/180)))</x:f>
        <x:v>201.1533473364422</x:v>
      </x:c>
      <x:c r="M604" s="21" t="n">
        <x:f>L604*'情景参数模板'!$D$31</x:f>
        <x:v>241.38401680373065</x:v>
      </x:c>
      <x:c r="N604" s="21" t="n">
        <x:f>IF(C604="source",'情景参数模板'!$D$12,IF(H604="echelon",'情景参数模板'!$D$13,'情景参数模板'!$D$14))</x:f>
        <x:v>0.49</x:v>
      </x:c>
      <x:c r="O604" s="21" t="n">
        <x:f>IF(C604="source",'情景参数模板'!$D$18,IF(H604="echelon",'情景参数模板'!$D$19,'情景参数模板'!$D$20))</x:f>
        <x:v>300</x:v>
      </x:c>
      <x:c r="P604" s="17" t="n">
        <x:f>IF(M604&lt;=O604,1,0)</x:f>
        <x:v>1</x:v>
      </x:c>
      <x:c r="Q604" s="17" t="str">
        <x:v>D-road proxy; B-coordinates</x:v>
      </x:c>
    </x:row>
    <x:row r="605">
      <x:c r="A605" s="17" t="str">
        <x:v>A0601</x:v>
      </x:c>
      <x:c r="B605" s="17" t="str">
        <x:v>C07</x:v>
      </x:c>
      <x:c r="C605" s="17" t="str">
        <x:v>collection</x:v>
      </x:c>
      <x:c r="D605" s="17" t="str">
        <x:v>河源虚拟回收/检测中心</x:v>
      </x:c>
      <x:c r="E605" s="24" t="n">
        <x:v>115.0577538</x:v>
      </x:c>
      <x:c r="F605" s="24" t="n">
        <x:v>24.1014769</x:v>
      </x:c>
      <x:c r="G605" s="17" t="str">
        <x:v>P15</x:v>
      </x:c>
      <x:c r="H605" s="17" t="str">
        <x:v>echelon</x:v>
      </x:c>
      <x:c r="I605" s="17" t="str">
        <x:v>绿循新能源科技（佛山）有限责任公司</x:v>
      </x:c>
      <x:c r="J605" s="24" t="n">
        <x:v>113.1159558</x:v>
      </x:c>
      <x:c r="K605" s="24" t="n">
        <x:v>23.0239788</x:v>
      </x:c>
      <x:c r="L605" s="21" t="n">
        <x:f>6371*ACOS(MIN(1,COS(F605*PI()/180)*COS(K605*PI()/180)*COS((J605-E605)*PI()/180)+SIN(F605*PI()/180)*SIN(K605*PI()/180)))</x:f>
        <x:v>231.3506353661428</x:v>
      </x:c>
      <x:c r="M605" s="21" t="n">
        <x:f>L605*'情景参数模板'!$D$31</x:f>
        <x:v>277.62076243937133</x:v>
      </x:c>
      <x:c r="N605" s="21" t="n">
        <x:f>IF(C605="source",'情景参数模板'!$D$12,IF(H605="echelon",'情景参数模板'!$D$13,'情景参数模板'!$D$14))</x:f>
        <x:v>0.49</x:v>
      </x:c>
      <x:c r="O605" s="21" t="n">
        <x:f>IF(C605="source",'情景参数模板'!$D$18,IF(H605="echelon",'情景参数模板'!$D$19,'情景参数模板'!$D$20))</x:f>
        <x:v>300</x:v>
      </x:c>
      <x:c r="P605" s="17" t="n">
        <x:f>IF(M605&lt;=O605,1,0)</x:f>
        <x:v>1</x:v>
      </x:c>
      <x:c r="Q605" s="17" t="str">
        <x:v>D-road proxy; B-coordinates</x:v>
      </x:c>
    </x:row>
    <x:row r="606">
      <x:c r="A606" s="17" t="str">
        <x:v>A0602</x:v>
      </x:c>
      <x:c r="B606" s="17" t="str">
        <x:v>C07</x:v>
      </x:c>
      <x:c r="C606" s="17" t="str">
        <x:v>collection</x:v>
      </x:c>
      <x:c r="D606" s="17" t="str">
        <x:v>河源虚拟回收/检测中心</x:v>
      </x:c>
      <x:c r="E606" s="24" t="n">
        <x:v>115.0577538</x:v>
      </x:c>
      <x:c r="F606" s="24" t="n">
        <x:v>24.1014769</x:v>
      </x:c>
      <x:c r="G606" s="17" t="str">
        <x:v>P16</x:v>
      </x:c>
      <x:c r="H606" s="17" t="str">
        <x:v>echelon</x:v>
      </x:c>
      <x:c r="I606" s="17" t="str">
        <x:v>深圳艾云动智慧科技有限公司</x:v>
      </x:c>
      <x:c r="J606" s="24" t="n">
        <x:v>114.0545429</x:v>
      </x:c>
      <x:c r="K606" s="24" t="n">
        <x:v>22.5445741</x:v>
      </x:c>
      <x:c r="L606" s="21" t="n">
        <x:f>6371*ACOS(MIN(1,COS(F606*PI()/180)*COS(K606*PI()/180)*COS((J606-E606)*PI()/180)+SIN(F606*PI()/180)*SIN(K606*PI()/180)))</x:f>
        <x:v>201.1533473364422</x:v>
      </x:c>
      <x:c r="M606" s="21" t="n">
        <x:f>L606*'情景参数模板'!$D$31</x:f>
        <x:v>241.38401680373065</x:v>
      </x:c>
      <x:c r="N606" s="21" t="n">
        <x:f>IF(C606="source",'情景参数模板'!$D$12,IF(H606="echelon",'情景参数模板'!$D$13,'情景参数模板'!$D$14))</x:f>
        <x:v>0.49</x:v>
      </x:c>
      <x:c r="O606" s="21" t="n">
        <x:f>IF(C606="source",'情景参数模板'!$D$18,IF(H606="echelon",'情景参数模板'!$D$19,'情景参数模板'!$D$20))</x:f>
        <x:v>300</x:v>
      </x:c>
      <x:c r="P606" s="17" t="n">
        <x:f>IF(M606&lt;=O606,1,0)</x:f>
        <x:v>1</x:v>
      </x:c>
      <x:c r="Q606" s="17" t="str">
        <x:v>D-road proxy; B-coordinates</x:v>
      </x:c>
    </x:row>
    <x:row r="607">
      <x:c r="A607" s="17" t="str">
        <x:v>A0603</x:v>
      </x:c>
      <x:c r="B607" s="17" t="str">
        <x:v>C07</x:v>
      </x:c>
      <x:c r="C607" s="17" t="str">
        <x:v>collection</x:v>
      </x:c>
      <x:c r="D607" s="17" t="str">
        <x:v>河源虚拟回收/检测中心</x:v>
      </x:c>
      <x:c r="E607" s="24" t="n">
        <x:v>115.0577538</x:v>
      </x:c>
      <x:c r="F607" s="24" t="n">
        <x:v>24.1014769</x:v>
      </x:c>
      <x:c r="G607" s="17" t="str">
        <x:v>P17</x:v>
      </x:c>
      <x:c r="H607" s="17" t="str">
        <x:v>echelon</x:v>
      </x:c>
      <x:c r="I607" s="17" t="str">
        <x:v>深圳市荣高晟新能源科技有限公司</x:v>
      </x:c>
      <x:c r="J607" s="24" t="n">
        <x:v>114.0545429</x:v>
      </x:c>
      <x:c r="K607" s="24" t="n">
        <x:v>22.5445741</x:v>
      </x:c>
      <x:c r="L607" s="21" t="n">
        <x:f>6371*ACOS(MIN(1,COS(F607*PI()/180)*COS(K607*PI()/180)*COS((J607-E607)*PI()/180)+SIN(F607*PI()/180)*SIN(K607*PI()/180)))</x:f>
        <x:v>201.1533473364422</x:v>
      </x:c>
      <x:c r="M607" s="21" t="n">
        <x:f>L607*'情景参数模板'!$D$31</x:f>
        <x:v>241.38401680373065</x:v>
      </x:c>
      <x:c r="N607" s="21" t="n">
        <x:f>IF(C607="source",'情景参数模板'!$D$12,IF(H607="echelon",'情景参数模板'!$D$13,'情景参数模板'!$D$14))</x:f>
        <x:v>0.49</x:v>
      </x:c>
      <x:c r="O607" s="21" t="n">
        <x:f>IF(C607="source",'情景参数模板'!$D$18,IF(H607="echelon",'情景参数模板'!$D$19,'情景参数模板'!$D$20))</x:f>
        <x:v>300</x:v>
      </x:c>
      <x:c r="P607" s="17" t="n">
        <x:f>IF(M607&lt;=O607,1,0)</x:f>
        <x:v>1</x:v>
      </x:c>
      <x:c r="Q607" s="17" t="str">
        <x:v>D-road proxy; B-coordinates</x:v>
      </x:c>
    </x:row>
    <x:row r="608">
      <x:c r="A608" s="17" t="str">
        <x:v>A0604</x:v>
      </x:c>
      <x:c r="B608" s="17" t="str">
        <x:v>C07</x:v>
      </x:c>
      <x:c r="C608" s="17" t="str">
        <x:v>collection</x:v>
      </x:c>
      <x:c r="D608" s="17" t="str">
        <x:v>河源虚拟回收/检测中心</x:v>
      </x:c>
      <x:c r="E608" s="24" t="n">
        <x:v>115.0577538</x:v>
      </x:c>
      <x:c r="F608" s="24" t="n">
        <x:v>24.1014769</x:v>
      </x:c>
      <x:c r="G608" s="17" t="str">
        <x:v>P18</x:v>
      </x:c>
      <x:c r="H608" s="17" t="str">
        <x:v>echelon</x:v>
      </x:c>
      <x:c r="I608" s="17" t="str">
        <x:v>中商锂新能源科技（惠州）有限公司</x:v>
      </x:c>
      <x:c r="J608" s="24" t="n">
        <x:v>114.4127007</x:v>
      </x:c>
      <x:c r="K608" s="24" t="n">
        <x:v>23.1125153</x:v>
      </x:c>
      <x:c r="L608" s="21" t="n">
        <x:f>6371*ACOS(MIN(1,COS(F608*PI()/180)*COS(K608*PI()/180)*COS((J608-E608)*PI()/180)+SIN(F608*PI()/180)*SIN(K608*PI()/180)))</x:f>
        <x:v>128.11063912816488</x:v>
      </x:c>
      <x:c r="M608" s="21" t="n">
        <x:f>L608*'情景参数模板'!$D$31</x:f>
        <x:v>153.73276695379784</x:v>
      </x:c>
      <x:c r="N608" s="21" t="n">
        <x:f>IF(C608="source",'情景参数模板'!$D$12,IF(H608="echelon",'情景参数模板'!$D$13,'情景参数模板'!$D$14))</x:f>
        <x:v>0.49</x:v>
      </x:c>
      <x:c r="O608" s="21" t="n">
        <x:f>IF(C608="source",'情景参数模板'!$D$18,IF(H608="echelon",'情景参数模板'!$D$19,'情景参数模板'!$D$20))</x:f>
        <x:v>300</x:v>
      </x:c>
      <x:c r="P608" s="17" t="n">
        <x:f>IF(M608&lt;=O608,1,0)</x:f>
        <x:v>1</x:v>
      </x:c>
      <x:c r="Q608" s="17" t="str">
        <x:v>D-road proxy; B-coordinates</x:v>
      </x:c>
    </x:row>
    <x:row r="609">
      <x:c r="A609" s="17" t="str">
        <x:v>A0605</x:v>
      </x:c>
      <x:c r="B609" s="17" t="str">
        <x:v>C07</x:v>
      </x:c>
      <x:c r="C609" s="17" t="str">
        <x:v>collection</x:v>
      </x:c>
      <x:c r="D609" s="17" t="str">
        <x:v>河源虚拟回收/检测中心</x:v>
      </x:c>
      <x:c r="E609" s="24" t="n">
        <x:v>115.0577538</x:v>
      </x:c>
      <x:c r="F609" s="24" t="n">
        <x:v>24.1014769</x:v>
      </x:c>
      <x:c r="G609" s="17" t="str">
        <x:v>P19</x:v>
      </x:c>
      <x:c r="H609" s="17" t="str">
        <x:v>recycling</x:v>
      </x:c>
      <x:c r="I609" s="17" t="str">
        <x:v>广东盛祥新材料科技有限公司</x:v>
      </x:c>
      <x:c r="J609" s="24" t="n">
        <x:v>113.8155263</x:v>
      </x:c>
      <x:c r="K609" s="24" t="n">
        <x:v>24.8309489</x:v>
      </x:c>
      <x:c r="L609" s="21" t="n">
        <x:f>6371*ACOS(MIN(1,COS(F609*PI()/180)*COS(K609*PI()/180)*COS((J609-E609)*PI()/180)+SIN(F609*PI()/180)*SIN(K609*PI()/180)))</x:f>
        <x:v>149.6196110292933</x:v>
      </x:c>
      <x:c r="M609" s="21" t="n">
        <x:f>L609*'情景参数模板'!$D$31</x:f>
        <x:v>179.54353323515195</x:v>
      </x:c>
      <x:c r="N609" s="21" t="n">
        <x:f>IF(C609="source",'情景参数模板'!$D$12,IF(H609="echelon",'情景参数模板'!$D$13,'情景参数模板'!$D$14))</x:f>
        <x:v>0.49</x:v>
      </x:c>
      <x:c r="O609" s="21" t="n">
        <x:f>IF(C609="source",'情景参数模板'!$D$18,IF(H609="echelon",'情景参数模板'!$D$19,'情景参数模板'!$D$20))</x:f>
        <x:v>400</x:v>
      </x:c>
      <x:c r="P609" s="17" t="n">
        <x:f>IF(M609&lt;=O609,1,0)</x:f>
        <x:v>1</x:v>
      </x:c>
      <x:c r="Q609" s="17" t="str">
        <x:v>D-road proxy; B-coordinates</x:v>
      </x:c>
    </x:row>
    <x:row r="610">
      <x:c r="A610" s="17" t="str">
        <x:v>A0606</x:v>
      </x:c>
      <x:c r="B610" s="17" t="str">
        <x:v>C07</x:v>
      </x:c>
      <x:c r="C610" s="17" t="str">
        <x:v>collection</x:v>
      </x:c>
      <x:c r="D610" s="17" t="str">
        <x:v>河源虚拟回收/检测中心</x:v>
      </x:c>
      <x:c r="E610" s="24" t="n">
        <x:v>115.0577538</x:v>
      </x:c>
      <x:c r="F610" s="24" t="n">
        <x:v>24.1014769</x:v>
      </x:c>
      <x:c r="G610" s="17" t="str">
        <x:v>P20E</x:v>
      </x:c>
      <x:c r="H610" s="17" t="str">
        <x:v>echelon</x:v>
      </x:c>
      <x:c r="I610" s="17" t="str">
        <x:v>广东金晟新能源股份有限公司（梯次功能）</x:v>
      </x:c>
      <x:c r="J610" s="24" t="n">
        <x:v>112.4603629</x:v>
      </x:c>
      <x:c r="K610" s="24" t="n">
        <x:v>23.0501661</x:v>
      </x:c>
      <x:c r="L610" s="21" t="n">
        <x:f>6371*ACOS(MIN(1,COS(F610*PI()/180)*COS(K610*PI()/180)*COS((J610-E610)*PI()/180)+SIN(F610*PI()/180)*SIN(K610*PI()/180)))</x:f>
        <x:v>289.36462181183225</x:v>
      </x:c>
      <x:c r="M610" s="21" t="n">
        <x:f>L610*'情景参数模板'!$D$31</x:f>
        <x:v>347.2375461741987</x:v>
      </x:c>
      <x:c r="N610" s="21" t="n">
        <x:f>IF(C610="source",'情景参数模板'!$D$12,IF(H610="echelon",'情景参数模板'!$D$13,'情景参数模板'!$D$14))</x:f>
        <x:v>0.49</x:v>
      </x:c>
      <x:c r="O610" s="21" t="n">
        <x:f>IF(C610="source",'情景参数模板'!$D$18,IF(H610="echelon",'情景参数模板'!$D$19,'情景参数模板'!$D$20))</x:f>
        <x:v>300</x:v>
      </x:c>
      <x:c r="P610" s="17" t="n">
        <x:f>IF(M610&lt;=O610,1,0)</x:f>
        <x:v>0</x:v>
      </x:c>
      <x:c r="Q610" s="17" t="str">
        <x:v>D-road proxy; B-coordinates</x:v>
      </x:c>
    </x:row>
    <x:row r="611">
      <x:c r="A611" s="17" t="str">
        <x:v>A0607</x:v>
      </x:c>
      <x:c r="B611" s="17" t="str">
        <x:v>C07</x:v>
      </x:c>
      <x:c r="C611" s="17" t="str">
        <x:v>collection</x:v>
      </x:c>
      <x:c r="D611" s="17" t="str">
        <x:v>河源虚拟回收/检测中心</x:v>
      </x:c>
      <x:c r="E611" s="24" t="n">
        <x:v>115.0577538</x:v>
      </x:c>
      <x:c r="F611" s="24" t="n">
        <x:v>24.1014769</x:v>
      </x:c>
      <x:c r="G611" s="17" t="str">
        <x:v>P20R</x:v>
      </x:c>
      <x:c r="H611" s="17" t="str">
        <x:v>recycling</x:v>
      </x:c>
      <x:c r="I611" s="17" t="str">
        <x:v>广东金晟新能源股份有限公司（再生功能）</x:v>
      </x:c>
      <x:c r="J611" s="24" t="n">
        <x:v>112.4603629</x:v>
      </x:c>
      <x:c r="K611" s="24" t="n">
        <x:v>23.0501661</x:v>
      </x:c>
      <x:c r="L611" s="21" t="n">
        <x:f>6371*ACOS(MIN(1,COS(F611*PI()/180)*COS(K611*PI()/180)*COS((J611-E611)*PI()/180)+SIN(F611*PI()/180)*SIN(K611*PI()/180)))</x:f>
        <x:v>289.36462181183225</x:v>
      </x:c>
      <x:c r="M611" s="21" t="n">
        <x:f>L611*'情景参数模板'!$D$31</x:f>
        <x:v>347.2375461741987</x:v>
      </x:c>
      <x:c r="N611" s="21" t="n">
        <x:f>IF(C611="source",'情景参数模板'!$D$12,IF(H611="echelon",'情景参数模板'!$D$13,'情景参数模板'!$D$14))</x:f>
        <x:v>0.49</x:v>
      </x:c>
      <x:c r="O611" s="21" t="n">
        <x:f>IF(C611="source",'情景参数模板'!$D$18,IF(H611="echelon",'情景参数模板'!$D$19,'情景参数模板'!$D$20))</x:f>
        <x:v>400</x:v>
      </x:c>
      <x:c r="P611" s="17" t="n">
        <x:f>IF(M611&lt;=O611,1,0)</x:f>
        <x:v>1</x:v>
      </x:c>
      <x:c r="Q611" s="17" t="str">
        <x:v>D-road proxy; B-coordinates</x:v>
      </x:c>
    </x:row>
    <x:row r="612">
      <x:c r="A612" s="17" t="str">
        <x:v>A0608</x:v>
      </x:c>
      <x:c r="B612" s="17" t="str">
        <x:v>C07</x:v>
      </x:c>
      <x:c r="C612" s="17" t="str">
        <x:v>collection</x:v>
      </x:c>
      <x:c r="D612" s="17" t="str">
        <x:v>河源虚拟回收/检测中心</x:v>
      </x:c>
      <x:c r="E612" s="24" t="n">
        <x:v>115.0577538</x:v>
      </x:c>
      <x:c r="F612" s="24" t="n">
        <x:v>24.1014769</x:v>
      </x:c>
      <x:c r="G612" s="17" t="str">
        <x:v>P21E</x:v>
      </x:c>
      <x:c r="H612" s="17" t="str">
        <x:v>echelon</x:v>
      </x:c>
      <x:c r="I612" s="17" t="str">
        <x:v>广东瑞科美电源技术有限公司（梯次功能）</x:v>
      </x:c>
      <x:c r="J612" s="24" t="n">
        <x:v>113.1159558</x:v>
      </x:c>
      <x:c r="K612" s="24" t="n">
        <x:v>23.0239788</x:v>
      </x:c>
      <x:c r="L612" s="21" t="n">
        <x:f>6371*ACOS(MIN(1,COS(F612*PI()/180)*COS(K612*PI()/180)*COS((J612-E612)*PI()/180)+SIN(F612*PI()/180)*SIN(K612*PI()/180)))</x:f>
        <x:v>231.3506353661428</x:v>
      </x:c>
      <x:c r="M612" s="21" t="n">
        <x:f>L612*'情景参数模板'!$D$31</x:f>
        <x:v>277.62076243937133</x:v>
      </x:c>
      <x:c r="N612" s="21" t="n">
        <x:f>IF(C612="source",'情景参数模板'!$D$12,IF(H612="echelon",'情景参数模板'!$D$13,'情景参数模板'!$D$14))</x:f>
        <x:v>0.49</x:v>
      </x:c>
      <x:c r="O612" s="21" t="n">
        <x:f>IF(C612="source",'情景参数模板'!$D$18,IF(H612="echelon",'情景参数模板'!$D$19,'情景参数模板'!$D$20))</x:f>
        <x:v>300</x:v>
      </x:c>
      <x:c r="P612" s="17" t="n">
        <x:f>IF(M612&lt;=O612,1,0)</x:f>
        <x:v>1</x:v>
      </x:c>
      <x:c r="Q612" s="17" t="str">
        <x:v>D-road proxy; B-coordinates</x:v>
      </x:c>
    </x:row>
    <x:row r="613">
      <x:c r="A613" s="17" t="str">
        <x:v>A0609</x:v>
      </x:c>
      <x:c r="B613" s="17" t="str">
        <x:v>C07</x:v>
      </x:c>
      <x:c r="C613" s="17" t="str">
        <x:v>collection</x:v>
      </x:c>
      <x:c r="D613" s="17" t="str">
        <x:v>河源虚拟回收/检测中心</x:v>
      </x:c>
      <x:c r="E613" s="24" t="n">
        <x:v>115.0577538</x:v>
      </x:c>
      <x:c r="F613" s="24" t="n">
        <x:v>24.1014769</x:v>
      </x:c>
      <x:c r="G613" s="17" t="str">
        <x:v>P21R</x:v>
      </x:c>
      <x:c r="H613" s="17" t="str">
        <x:v>recycling</x:v>
      </x:c>
      <x:c r="I613" s="17" t="str">
        <x:v>广东瑞科美电源技术有限公司（再生功能）</x:v>
      </x:c>
      <x:c r="J613" s="24" t="n">
        <x:v>113.1159558</x:v>
      </x:c>
      <x:c r="K613" s="24" t="n">
        <x:v>23.0239788</x:v>
      </x:c>
      <x:c r="L613" s="21" t="n">
        <x:f>6371*ACOS(MIN(1,COS(F613*PI()/180)*COS(K613*PI()/180)*COS((J613-E613)*PI()/180)+SIN(F613*PI()/180)*SIN(K613*PI()/180)))</x:f>
        <x:v>231.3506353661428</x:v>
      </x:c>
      <x:c r="M613" s="21" t="n">
        <x:f>L613*'情景参数模板'!$D$31</x:f>
        <x:v>277.62076243937133</x:v>
      </x:c>
      <x:c r="N613" s="21" t="n">
        <x:f>IF(C613="source",'情景参数模板'!$D$12,IF(H613="echelon",'情景参数模板'!$D$13,'情景参数模板'!$D$14))</x:f>
        <x:v>0.49</x:v>
      </x:c>
      <x:c r="O613" s="21" t="n">
        <x:f>IF(C613="source",'情景参数模板'!$D$18,IF(H613="echelon",'情景参数模板'!$D$19,'情景参数模板'!$D$20))</x:f>
        <x:v>400</x:v>
      </x:c>
      <x:c r="P613" s="17" t="n">
        <x:f>IF(M613&lt;=O613,1,0)</x:f>
        <x:v>1</x:v>
      </x:c>
      <x:c r="Q613" s="17" t="str">
        <x:v>D-road proxy; B-coordinates</x:v>
      </x:c>
    </x:row>
    <x:row r="614">
      <x:c r="A614" s="17" t="str">
        <x:v>A0610</x:v>
      </x:c>
      <x:c r="B614" s="17" t="str">
        <x:v>C08</x:v>
      </x:c>
      <x:c r="C614" s="17" t="str">
        <x:v>collection</x:v>
      </x:c>
      <x:c r="D614" s="17" t="str">
        <x:v>梅州虚拟回收/检测中心</x:v>
      </x:c>
      <x:c r="E614" s="24" t="n">
        <x:v>116.1171428</x:v>
      </x:c>
      <x:c r="F614" s="24" t="n">
        <x:v>24.2918414</x:v>
      </x:c>
      <x:c r="G614" s="17" t="str">
        <x:v>P01</x:v>
      </x:c>
      <x:c r="H614" s="17" t="str">
        <x:v>recycling</x:v>
      </x:c>
      <x:c r="I614" s="17" t="str">
        <x:v>汕尾比亚迪废旧动力电池回收项目</x:v>
      </x:c>
      <x:c r="J614" s="24" t="n">
        <x:v>115.3492668</x:v>
      </x:c>
      <x:c r="K614" s="24" t="n">
        <x:v>22.838065</x:v>
      </x:c>
      <x:c r="L614" s="21" t="n">
        <x:f>6371*ACOS(MIN(1,COS(F614*PI()/180)*COS(K614*PI()/180)*COS((J614-E614)*PI()/180)+SIN(F614*PI()/180)*SIN(K614*PI()/180)))</x:f>
        <x:v>179.60011110253262</x:v>
      </x:c>
      <x:c r="M614" s="21" t="n">
        <x:f>L614*'情景参数模板'!$D$31</x:f>
        <x:v>215.52013332303915</x:v>
      </x:c>
      <x:c r="N614" s="21" t="n">
        <x:f>IF(C614="source",'情景参数模板'!$D$12,IF(H614="echelon",'情景参数模板'!$D$13,'情景参数模板'!$D$14))</x:f>
        <x:v>0.49</x:v>
      </x:c>
      <x:c r="O614" s="21" t="n">
        <x:f>IF(C614="source",'情景参数模板'!$D$18,IF(H614="echelon",'情景参数模板'!$D$19,'情景参数模板'!$D$20))</x:f>
        <x:v>400</x:v>
      </x:c>
      <x:c r="P614" s="17" t="n">
        <x:f>IF(M614&lt;=O614,1,0)</x:f>
        <x:v>1</x:v>
      </x:c>
      <x:c r="Q614" s="17" t="str">
        <x:v>D-road proxy; B-coordinates</x:v>
      </x:c>
    </x:row>
    <x:row r="615">
      <x:c r="A615" s="17" t="str">
        <x:v>A0611</x:v>
      </x:c>
      <x:c r="B615" s="17" t="str">
        <x:v>C08</x:v>
      </x:c>
      <x:c r="C615" s="17" t="str">
        <x:v>collection</x:v>
      </x:c>
      <x:c r="D615" s="17" t="str">
        <x:v>梅州虚拟回收/检测中心</x:v>
      </x:c>
      <x:c r="E615" s="24" t="n">
        <x:v>116.1171428</x:v>
      </x:c>
      <x:c r="F615" s="24" t="n">
        <x:v>24.2918414</x:v>
      </x:c>
      <x:c r="G615" s="17" t="str">
        <x:v>P02E</x:v>
      </x:c>
      <x:c r="H615" s="17" t="str">
        <x:v>echelon</x:v>
      </x:c>
      <x:c r="I615" s="17" t="str">
        <x:v>广东光华科技股份有限公司（梯次功能）</x:v>
      </x:c>
      <x:c r="J615" s="24" t="n">
        <x:v>116.6775856</x:v>
      </x:c>
      <x:c r="K615" s="24" t="n">
        <x:v>23.3563921</x:v>
      </x:c>
      <x:c r="L615" s="21" t="n">
        <x:f>6371*ACOS(MIN(1,COS(F615*PI()/180)*COS(K615*PI()/180)*COS((J615-E615)*PI()/180)+SIN(F615*PI()/180)*SIN(K615*PI()/180)))</x:f>
        <x:v>118.61450484712725</x:v>
      </x:c>
      <x:c r="M615" s="21" t="n">
        <x:f>L615*'情景参数模板'!$D$31</x:f>
        <x:v>142.3374058165527</x:v>
      </x:c>
      <x:c r="N615" s="21" t="n">
        <x:f>IF(C615="source",'情景参数模板'!$D$12,IF(H615="echelon",'情景参数模板'!$D$13,'情景参数模板'!$D$14))</x:f>
        <x:v>0.49</x:v>
      </x:c>
      <x:c r="O615" s="21" t="n">
        <x:f>IF(C615="source",'情景参数模板'!$D$18,IF(H615="echelon",'情景参数模板'!$D$19,'情景参数模板'!$D$20))</x:f>
        <x:v>300</x:v>
      </x:c>
      <x:c r="P615" s="17" t="n">
        <x:f>IF(M615&lt;=O615,1,0)</x:f>
        <x:v>1</x:v>
      </x:c>
      <x:c r="Q615" s="17" t="str">
        <x:v>D-road proxy; B-coordinates</x:v>
      </x:c>
    </x:row>
    <x:row r="616">
      <x:c r="A616" s="17" t="str">
        <x:v>A0612</x:v>
      </x:c>
      <x:c r="B616" s="17" t="str">
        <x:v>C08</x:v>
      </x:c>
      <x:c r="C616" s="17" t="str">
        <x:v>collection</x:v>
      </x:c>
      <x:c r="D616" s="17" t="str">
        <x:v>梅州虚拟回收/检测中心</x:v>
      </x:c>
      <x:c r="E616" s="24" t="n">
        <x:v>116.1171428</x:v>
      </x:c>
      <x:c r="F616" s="24" t="n">
        <x:v>24.2918414</x:v>
      </x:c>
      <x:c r="G616" s="17" t="str">
        <x:v>P02R</x:v>
      </x:c>
      <x:c r="H616" s="17" t="str">
        <x:v>recycling</x:v>
      </x:c>
      <x:c r="I616" s="17" t="str">
        <x:v>广东光华科技股份有限公司（再生功能）</x:v>
      </x:c>
      <x:c r="J616" s="24" t="n">
        <x:v>116.6775856</x:v>
      </x:c>
      <x:c r="K616" s="24" t="n">
        <x:v>23.3563921</x:v>
      </x:c>
      <x:c r="L616" s="21" t="n">
        <x:f>6371*ACOS(MIN(1,COS(F616*PI()/180)*COS(K616*PI()/180)*COS((J616-E616)*PI()/180)+SIN(F616*PI()/180)*SIN(K616*PI()/180)))</x:f>
        <x:v>118.61450484712725</x:v>
      </x:c>
      <x:c r="M616" s="21" t="n">
        <x:f>L616*'情景参数模板'!$D$31</x:f>
        <x:v>142.3374058165527</x:v>
      </x:c>
      <x:c r="N616" s="21" t="n">
        <x:f>IF(C616="source",'情景参数模板'!$D$12,IF(H616="echelon",'情景参数模板'!$D$13,'情景参数模板'!$D$14))</x:f>
        <x:v>0.49</x:v>
      </x:c>
      <x:c r="O616" s="21" t="n">
        <x:f>IF(C616="source",'情景参数模板'!$D$18,IF(H616="echelon",'情景参数模板'!$D$19,'情景参数模板'!$D$20))</x:f>
        <x:v>400</x:v>
      </x:c>
      <x:c r="P616" s="17" t="n">
        <x:f>IF(M616&lt;=O616,1,0)</x:f>
        <x:v>1</x:v>
      </x:c>
      <x:c r="Q616" s="17" t="str">
        <x:v>D-road proxy; B-coordinates</x:v>
      </x:c>
    </x:row>
    <x:row r="617">
      <x:c r="A617" s="17" t="str">
        <x:v>A0613</x:v>
      </x:c>
      <x:c r="B617" s="17" t="str">
        <x:v>C08</x:v>
      </x:c>
      <x:c r="C617" s="17" t="str">
        <x:v>collection</x:v>
      </x:c>
      <x:c r="D617" s="17" t="str">
        <x:v>梅州虚拟回收/检测中心</x:v>
      </x:c>
      <x:c r="E617" s="24" t="n">
        <x:v>116.1171428</x:v>
      </x:c>
      <x:c r="F617" s="24" t="n">
        <x:v>24.2918414</x:v>
      </x:c>
      <x:c r="G617" s="17" t="str">
        <x:v>P03</x:v>
      </x:c>
      <x:c r="H617" s="17" t="str">
        <x:v>echelon</x:v>
      </x:c>
      <x:c r="I617" s="17" t="str">
        <x:v>深圳深汕特别合作区乾泰技术有限公司</x:v>
      </x:c>
      <x:c r="J617" s="24" t="n">
        <x:v>115.5099937</x:v>
      </x:c>
      <x:c r="K617" s="24" t="n">
        <x:v>23.0123639</x:v>
      </x:c>
      <x:c r="L617" s="21" t="n">
        <x:f>6371*ACOS(MIN(1,COS(F617*PI()/180)*COS(K617*PI()/180)*COS((J617-E617)*PI()/180)+SIN(F617*PI()/180)*SIN(K617*PI()/180)))</x:f>
        <x:v>155.1295576754154</x:v>
      </x:c>
      <x:c r="M617" s="21" t="n">
        <x:f>L617*'情景参数模板'!$D$31</x:f>
        <x:v>186.1554692104985</x:v>
      </x:c>
      <x:c r="N617" s="21" t="n">
        <x:f>IF(C617="source",'情景参数模板'!$D$12,IF(H617="echelon",'情景参数模板'!$D$13,'情景参数模板'!$D$14))</x:f>
        <x:v>0.49</x:v>
      </x:c>
      <x:c r="O617" s="21" t="n">
        <x:f>IF(C617="source",'情景参数模板'!$D$18,IF(H617="echelon",'情景参数模板'!$D$19,'情景参数模板'!$D$20))</x:f>
        <x:v>300</x:v>
      </x:c>
      <x:c r="P617" s="17" t="n">
        <x:f>IF(M617&lt;=O617,1,0)</x:f>
        <x:v>1</x:v>
      </x:c>
      <x:c r="Q617" s="17" t="str">
        <x:v>D-road proxy; B-coordinates</x:v>
      </x:c>
    </x:row>
    <x:row r="618">
      <x:c r="A618" s="17" t="str">
        <x:v>A0614</x:v>
      </x:c>
      <x:c r="B618" s="17" t="str">
        <x:v>C08</x:v>
      </x:c>
      <x:c r="C618" s="17" t="str">
        <x:v>collection</x:v>
      </x:c>
      <x:c r="D618" s="17" t="str">
        <x:v>梅州虚拟回收/检测中心</x:v>
      </x:c>
      <x:c r="E618" s="24" t="n">
        <x:v>116.1171428</x:v>
      </x:c>
      <x:c r="F618" s="24" t="n">
        <x:v>24.2918414</x:v>
      </x:c>
      <x:c r="G618" s="17" t="str">
        <x:v>P04</x:v>
      </x:c>
      <x:c r="H618" s="17" t="str">
        <x:v>echelon</x:v>
      </x:c>
      <x:c r="I618" s="17" t="str">
        <x:v>珠海中力新能源科技有限公司</x:v>
      </x:c>
      <x:c r="J618" s="24" t="n">
        <x:v>113.5721327</x:v>
      </x:c>
      <x:c r="K618" s="24" t="n">
        <x:v>22.273734</x:v>
      </x:c>
      <x:c r="L618" s="21" t="n">
        <x:f>6371*ACOS(MIN(1,COS(F618*PI()/180)*COS(K618*PI()/180)*COS((J618-E618)*PI()/180)+SIN(F618*PI()/180)*SIN(K618*PI()/180)))</x:f>
        <x:v>343.3898243843036</x:v>
      </x:c>
      <x:c r="M618" s="21" t="n">
        <x:f>L618*'情景参数模板'!$D$31</x:f>
        <x:v>412.0677892611643</x:v>
      </x:c>
      <x:c r="N618" s="21" t="n">
        <x:f>IF(C618="source",'情景参数模板'!$D$12,IF(H618="echelon",'情景参数模板'!$D$13,'情景参数模板'!$D$14))</x:f>
        <x:v>0.49</x:v>
      </x:c>
      <x:c r="O618" s="21" t="n">
        <x:f>IF(C618="source",'情景参数模板'!$D$18,IF(H618="echelon",'情景参数模板'!$D$19,'情景参数模板'!$D$20))</x:f>
        <x:v>300</x:v>
      </x:c>
      <x:c r="P618" s="17" t="n">
        <x:f>IF(M618&lt;=O618,1,0)</x:f>
        <x:v>0</x:v>
      </x:c>
      <x:c r="Q618" s="17" t="str">
        <x:v>D-road proxy; B-coordinates</x:v>
      </x:c>
    </x:row>
    <x:row r="619">
      <x:c r="A619" s="17" t="str">
        <x:v>A0615</x:v>
      </x:c>
      <x:c r="B619" s="17" t="str">
        <x:v>C08</x:v>
      </x:c>
      <x:c r="C619" s="17" t="str">
        <x:v>collection</x:v>
      </x:c>
      <x:c r="D619" s="17" t="str">
        <x:v>梅州虚拟回收/检测中心</x:v>
      </x:c>
      <x:c r="E619" s="24" t="n">
        <x:v>116.1171428</x:v>
      </x:c>
      <x:c r="F619" s="24" t="n">
        <x:v>24.2918414</x:v>
      </x:c>
      <x:c r="G619" s="17" t="str">
        <x:v>P05</x:v>
      </x:c>
      <x:c r="H619" s="17" t="str">
        <x:v>echelon</x:v>
      </x:c>
      <x:c r="I619" s="17" t="str">
        <x:v>惠州市恒创睿能环保科技有限公司</x:v>
      </x:c>
      <x:c r="J619" s="24" t="n">
        <x:v>114.4127007</x:v>
      </x:c>
      <x:c r="K619" s="24" t="n">
        <x:v>23.1125153</x:v>
      </x:c>
      <x:c r="L619" s="21" t="n">
        <x:f>6371*ACOS(MIN(1,COS(F619*PI()/180)*COS(K619*PI()/180)*COS((J619-E619)*PI()/180)+SIN(F619*PI()/180)*SIN(K619*PI()/180)))</x:f>
        <x:v>217.50845727097408</x:v>
      </x:c>
      <x:c r="M619" s="21" t="n">
        <x:f>L619*'情景参数模板'!$D$31</x:f>
        <x:v>261.0101487251689</x:v>
      </x:c>
      <x:c r="N619" s="21" t="n">
        <x:f>IF(C619="source",'情景参数模板'!$D$12,IF(H619="echelon",'情景参数模板'!$D$13,'情景参数模板'!$D$14))</x:f>
        <x:v>0.49</x:v>
      </x:c>
      <x:c r="O619" s="21" t="n">
        <x:f>IF(C619="source",'情景参数模板'!$D$18,IF(H619="echelon",'情景参数模板'!$D$19,'情景参数模板'!$D$20))</x:f>
        <x:v>300</x:v>
      </x:c>
      <x:c r="P619" s="17" t="n">
        <x:f>IF(M619&lt;=O619,1,0)</x:f>
        <x:v>1</x:v>
      </x:c>
      <x:c r="Q619" s="17" t="str">
        <x:v>D-road proxy; B-coordinates</x:v>
      </x:c>
    </x:row>
    <x:row r="620">
      <x:c r="A620" s="17" t="str">
        <x:v>A0616</x:v>
      </x:c>
      <x:c r="B620" s="17" t="str">
        <x:v>C08</x:v>
      </x:c>
      <x:c r="C620" s="17" t="str">
        <x:v>collection</x:v>
      </x:c>
      <x:c r="D620" s="17" t="str">
        <x:v>梅州虚拟回收/检测中心</x:v>
      </x:c>
      <x:c r="E620" s="24" t="n">
        <x:v>116.1171428</x:v>
      </x:c>
      <x:c r="F620" s="24" t="n">
        <x:v>24.2918414</x:v>
      </x:c>
      <x:c r="G620" s="17" t="str">
        <x:v>P06</x:v>
      </x:c>
      <x:c r="H620" s="17" t="str">
        <x:v>echelon</x:v>
      </x:c>
      <x:c r="I620" s="17" t="str">
        <x:v>江门市朗达锂电池有限公司</x:v>
      </x:c>
      <x:c r="J620" s="24" t="n">
        <x:v>113.0761073</x:v>
      </x:c>
      <x:c r="K620" s="24" t="n">
        <x:v>22.5816619</x:v>
      </x:c>
      <x:c r="L620" s="21" t="n">
        <x:f>6371*ACOS(MIN(1,COS(F620*PI()/180)*COS(K620*PI()/180)*COS((J620-E620)*PI()/180)+SIN(F620*PI()/180)*SIN(K620*PI()/180)))</x:f>
        <x:v>363.8717509049327</x:v>
      </x:c>
      <x:c r="M620" s="21" t="n">
        <x:f>L620*'情景参数模板'!$D$31</x:f>
        <x:v>436.6461010859192</x:v>
      </x:c>
      <x:c r="N620" s="21" t="n">
        <x:f>IF(C620="source",'情景参数模板'!$D$12,IF(H620="echelon",'情景参数模板'!$D$13,'情景参数模板'!$D$14))</x:f>
        <x:v>0.49</x:v>
      </x:c>
      <x:c r="O620" s="21" t="n">
        <x:f>IF(C620="source",'情景参数模板'!$D$18,IF(H620="echelon",'情景参数模板'!$D$19,'情景参数模板'!$D$20))</x:f>
        <x:v>300</x:v>
      </x:c>
      <x:c r="P620" s="17" t="n">
        <x:f>IF(M620&lt;=O620,1,0)</x:f>
        <x:v>0</x:v>
      </x:c>
      <x:c r="Q620" s="17" t="str">
        <x:v>D-road proxy; B-coordinates</x:v>
      </x:c>
    </x:row>
    <x:row r="621">
      <x:c r="A621" s="17" t="str">
        <x:v>A0617</x:v>
      </x:c>
      <x:c r="B621" s="17" t="str">
        <x:v>C08</x:v>
      </x:c>
      <x:c r="C621" s="17" t="str">
        <x:v>collection</x:v>
      </x:c>
      <x:c r="D621" s="17" t="str">
        <x:v>梅州虚拟回收/检测中心</x:v>
      </x:c>
      <x:c r="E621" s="24" t="n">
        <x:v>116.1171428</x:v>
      </x:c>
      <x:c r="F621" s="24" t="n">
        <x:v>24.2918414</x:v>
      </x:c>
      <x:c r="G621" s="17" t="str">
        <x:v>P07</x:v>
      </x:c>
      <x:c r="H621" s="17" t="str">
        <x:v>echelon</x:v>
      </x:c>
      <x:c r="I621" s="17" t="str">
        <x:v>广东迪度新能源有限公司</x:v>
      </x:c>
      <x:c r="J621" s="24" t="n">
        <x:v>113.7452332</x:v>
      </x:c>
      <x:c r="K621" s="24" t="n">
        <x:v>23.0183568</x:v>
      </x:c>
      <x:c r="L621" s="21" t="n">
        <x:f>6371*ACOS(MIN(1,COS(F621*PI()/180)*COS(K621*PI()/180)*COS((J621-E621)*PI()/180)+SIN(F621*PI()/180)*SIN(K621*PI()/180)))</x:f>
        <x:v>280.0171263652132</x:v>
      </x:c>
      <x:c r="M621" s="21" t="n">
        <x:f>L621*'情景参数模板'!$D$31</x:f>
        <x:v>336.0205516382558</x:v>
      </x:c>
      <x:c r="N621" s="21" t="n">
        <x:f>IF(C621="source",'情景参数模板'!$D$12,IF(H621="echelon",'情景参数模板'!$D$13,'情景参数模板'!$D$14))</x:f>
        <x:v>0.49</x:v>
      </x:c>
      <x:c r="O621" s="21" t="n">
        <x:f>IF(C621="source",'情景参数模板'!$D$18,IF(H621="echelon",'情景参数模板'!$D$19,'情景参数模板'!$D$20))</x:f>
        <x:v>300</x:v>
      </x:c>
      <x:c r="P621" s="17" t="n">
        <x:f>IF(M621&lt;=O621,1,0)</x:f>
        <x:v>0</x:v>
      </x:c>
      <x:c r="Q621" s="17" t="str">
        <x:v>D-road proxy; B-coordinates</x:v>
      </x:c>
    </x:row>
    <x:row r="622">
      <x:c r="A622" s="17" t="str">
        <x:v>A0618</x:v>
      </x:c>
      <x:c r="B622" s="17" t="str">
        <x:v>C08</x:v>
      </x:c>
      <x:c r="C622" s="17" t="str">
        <x:v>collection</x:v>
      </x:c>
      <x:c r="D622" s="17" t="str">
        <x:v>梅州虚拟回收/检测中心</x:v>
      </x:c>
      <x:c r="E622" s="24" t="n">
        <x:v>116.1171428</x:v>
      </x:c>
      <x:c r="F622" s="24" t="n">
        <x:v>24.2918414</x:v>
      </x:c>
      <x:c r="G622" s="17" t="str">
        <x:v>P08</x:v>
      </x:c>
      <x:c r="H622" s="17" t="str">
        <x:v>echelon</x:v>
      </x:c>
      <x:c r="I622" s="17" t="str">
        <x:v>东莞市博森新能源有限公司</x:v>
      </x:c>
      <x:c r="J622" s="24" t="n">
        <x:v>113.7452332</x:v>
      </x:c>
      <x:c r="K622" s="24" t="n">
        <x:v>23.0183568</x:v>
      </x:c>
      <x:c r="L622" s="21" t="n">
        <x:f>6371*ACOS(MIN(1,COS(F622*PI()/180)*COS(K622*PI()/180)*COS((J622-E622)*PI()/180)+SIN(F622*PI()/180)*SIN(K622*PI()/180)))</x:f>
        <x:v>280.0171263652132</x:v>
      </x:c>
      <x:c r="M622" s="21" t="n">
        <x:f>L622*'情景参数模板'!$D$31</x:f>
        <x:v>336.0205516382558</x:v>
      </x:c>
      <x:c r="N622" s="21" t="n">
        <x:f>IF(C622="source",'情景参数模板'!$D$12,IF(H622="echelon",'情景参数模板'!$D$13,'情景参数模板'!$D$14))</x:f>
        <x:v>0.49</x:v>
      </x:c>
      <x:c r="O622" s="21" t="n">
        <x:f>IF(C622="source",'情景参数模板'!$D$18,IF(H622="echelon",'情景参数模板'!$D$19,'情景参数模板'!$D$20))</x:f>
        <x:v>300</x:v>
      </x:c>
      <x:c r="P622" s="17" t="n">
        <x:f>IF(M622&lt;=O622,1,0)</x:f>
        <x:v>0</x:v>
      </x:c>
      <x:c r="Q622" s="17" t="str">
        <x:v>D-road proxy; B-coordinates</x:v>
      </x:c>
    </x:row>
    <x:row r="623">
      <x:c r="A623" s="17" t="str">
        <x:v>A0619</x:v>
      </x:c>
      <x:c r="B623" s="17" t="str">
        <x:v>C08</x:v>
      </x:c>
      <x:c r="C623" s="17" t="str">
        <x:v>collection</x:v>
      </x:c>
      <x:c r="D623" s="17" t="str">
        <x:v>梅州虚拟回收/检测中心</x:v>
      </x:c>
      <x:c r="E623" s="24" t="n">
        <x:v>116.1171428</x:v>
      </x:c>
      <x:c r="F623" s="24" t="n">
        <x:v>24.2918414</x:v>
      </x:c>
      <x:c r="G623" s="17" t="str">
        <x:v>P09</x:v>
      </x:c>
      <x:c r="H623" s="17" t="str">
        <x:v>echelon</x:v>
      </x:c>
      <x:c r="I623" s="17" t="str">
        <x:v>广东宇阳新能源有限公司</x:v>
      </x:c>
      <x:c r="J623" s="24" t="n">
        <x:v>113.7452332</x:v>
      </x:c>
      <x:c r="K623" s="24" t="n">
        <x:v>23.0183568</x:v>
      </x:c>
      <x:c r="L623" s="21" t="n">
        <x:f>6371*ACOS(MIN(1,COS(F623*PI()/180)*COS(K623*PI()/180)*COS((J623-E623)*PI()/180)+SIN(F623*PI()/180)*SIN(K623*PI()/180)))</x:f>
        <x:v>280.0171263652132</x:v>
      </x:c>
      <x:c r="M623" s="21" t="n">
        <x:f>L623*'情景参数模板'!$D$31</x:f>
        <x:v>336.0205516382558</x:v>
      </x:c>
      <x:c r="N623" s="21" t="n">
        <x:f>IF(C623="source",'情景参数模板'!$D$12,IF(H623="echelon",'情景参数模板'!$D$13,'情景参数模板'!$D$14))</x:f>
        <x:v>0.49</x:v>
      </x:c>
      <x:c r="O623" s="21" t="n">
        <x:f>IF(C623="source",'情景参数模板'!$D$18,IF(H623="echelon",'情景参数模板'!$D$19,'情景参数模板'!$D$20))</x:f>
        <x:v>300</x:v>
      </x:c>
      <x:c r="P623" s="17" t="n">
        <x:f>IF(M623&lt;=O623,1,0)</x:f>
        <x:v>0</x:v>
      </x:c>
      <x:c r="Q623" s="17" t="str">
        <x:v>D-road proxy; B-coordinates</x:v>
      </x:c>
    </x:row>
    <x:row r="624">
      <x:c r="A624" s="17" t="str">
        <x:v>A0620</x:v>
      </x:c>
      <x:c r="B624" s="17" t="str">
        <x:v>C08</x:v>
      </x:c>
      <x:c r="C624" s="17" t="str">
        <x:v>collection</x:v>
      </x:c>
      <x:c r="D624" s="17" t="str">
        <x:v>梅州虚拟回收/检测中心</x:v>
      </x:c>
      <x:c r="E624" s="24" t="n">
        <x:v>116.1171428</x:v>
      </x:c>
      <x:c r="F624" s="24" t="n">
        <x:v>24.2918414</x:v>
      </x:c>
      <x:c r="G624" s="17" t="str">
        <x:v>P10</x:v>
      </x:c>
      <x:c r="H624" s="17" t="str">
        <x:v>echelon</x:v>
      </x:c>
      <x:c r="I624" s="17" t="str">
        <x:v>广州广汽商贸再生资源有限公司</x:v>
      </x:c>
      <x:c r="J624" s="24" t="n">
        <x:v>113.2589581</x:v>
      </x:c>
      <x:c r="K624" s="24" t="n">
        <x:v>23.1288429</x:v>
      </x:c>
      <x:c r="L624" s="21" t="n">
        <x:f>6371*ACOS(MIN(1,COS(F624*PI()/180)*COS(K624*PI()/180)*COS((J624-E624)*PI()/180)+SIN(F624*PI()/180)*SIN(K624*PI()/180)))</x:f>
        <x:v>318.4189220790422</x:v>
      </x:c>
      <x:c r="M624" s="21" t="n">
        <x:f>L624*'情景参数模板'!$D$31</x:f>
        <x:v>382.1027064948506</x:v>
      </x:c>
      <x:c r="N624" s="21" t="n">
        <x:f>IF(C624="source",'情景参数模板'!$D$12,IF(H624="echelon",'情景参数模板'!$D$13,'情景参数模板'!$D$14))</x:f>
        <x:v>0.49</x:v>
      </x:c>
      <x:c r="O624" s="21" t="n">
        <x:f>IF(C624="source",'情景参数模板'!$D$18,IF(H624="echelon",'情景参数模板'!$D$19,'情景参数模板'!$D$20))</x:f>
        <x:v>300</x:v>
      </x:c>
      <x:c r="P624" s="17" t="n">
        <x:f>IF(M624&lt;=O624,1,0)</x:f>
        <x:v>0</x:v>
      </x:c>
      <x:c r="Q624" s="17" t="str">
        <x:v>D-road proxy; B-coordinates</x:v>
      </x:c>
    </x:row>
    <x:row r="625">
      <x:c r="A625" s="17" t="str">
        <x:v>A0621</x:v>
      </x:c>
      <x:c r="B625" s="17" t="str">
        <x:v>C08</x:v>
      </x:c>
      <x:c r="C625" s="17" t="str">
        <x:v>collection</x:v>
      </x:c>
      <x:c r="D625" s="17" t="str">
        <x:v>梅州虚拟回收/检测中心</x:v>
      </x:c>
      <x:c r="E625" s="24" t="n">
        <x:v>116.1171428</x:v>
      </x:c>
      <x:c r="F625" s="24" t="n">
        <x:v>24.2918414</x:v>
      </x:c>
      <x:c r="G625" s="17" t="str">
        <x:v>P11</x:v>
      </x:c>
      <x:c r="H625" s="17" t="str">
        <x:v>echelon</x:v>
      </x:c>
      <x:c r="I625" s="17" t="str">
        <x:v>深圳市杰成镍钴新能源科技有限公司</x:v>
      </x:c>
      <x:c r="J625" s="24" t="n">
        <x:v>114.0545429</x:v>
      </x:c>
      <x:c r="K625" s="24" t="n">
        <x:v>22.5445741</x:v>
      </x:c>
      <x:c r="L625" s="21" t="n">
        <x:f>6371*ACOS(MIN(1,COS(F625*PI()/180)*COS(K625*PI()/180)*COS((J625-E625)*PI()/180)+SIN(F625*PI()/180)*SIN(K625*PI()/180)))</x:f>
        <x:v>286.41624544813754</x:v>
      </x:c>
      <x:c r="M625" s="21" t="n">
        <x:f>L625*'情景参数模板'!$D$31</x:f>
        <x:v>343.699494537765</x:v>
      </x:c>
      <x:c r="N625" s="21" t="n">
        <x:f>IF(C625="source",'情景参数模板'!$D$12,IF(H625="echelon",'情景参数模板'!$D$13,'情景参数模板'!$D$14))</x:f>
        <x:v>0.49</x:v>
      </x:c>
      <x:c r="O625" s="21" t="n">
        <x:f>IF(C625="source",'情景参数模板'!$D$18,IF(H625="echelon",'情景参数模板'!$D$19,'情景参数模板'!$D$20))</x:f>
        <x:v>300</x:v>
      </x:c>
      <x:c r="P625" s="17" t="n">
        <x:f>IF(M625&lt;=O625,1,0)</x:f>
        <x:v>0</x:v>
      </x:c>
      <x:c r="Q625" s="17" t="str">
        <x:v>D-road proxy; B-coordinates</x:v>
      </x:c>
    </x:row>
    <x:row r="626">
      <x:c r="A626" s="17" t="str">
        <x:v>A0622</x:v>
      </x:c>
      <x:c r="B626" s="17" t="str">
        <x:v>C08</x:v>
      </x:c>
      <x:c r="C626" s="17" t="str">
        <x:v>collection</x:v>
      </x:c>
      <x:c r="D626" s="17" t="str">
        <x:v>梅州虚拟回收/检测中心</x:v>
      </x:c>
      <x:c r="E626" s="24" t="n">
        <x:v>116.1171428</x:v>
      </x:c>
      <x:c r="F626" s="24" t="n">
        <x:v>24.2918414</x:v>
      </x:c>
      <x:c r="G626" s="17" t="str">
        <x:v>P12</x:v>
      </x:c>
      <x:c r="H626" s="17" t="str">
        <x:v>recycling</x:v>
      </x:c>
      <x:c r="I626" s="17" t="str">
        <x:v>江门市恒创睿能环保科技有限公司</x:v>
      </x:c>
      <x:c r="J626" s="24" t="n">
        <x:v>113.0761073</x:v>
      </x:c>
      <x:c r="K626" s="24" t="n">
        <x:v>22.5816619</x:v>
      </x:c>
      <x:c r="L626" s="21" t="n">
        <x:f>6371*ACOS(MIN(1,COS(F626*PI()/180)*COS(K626*PI()/180)*COS((J626-E626)*PI()/180)+SIN(F626*PI()/180)*SIN(K626*PI()/180)))</x:f>
        <x:v>363.8717509049327</x:v>
      </x:c>
      <x:c r="M626" s="21" t="n">
        <x:f>L626*'情景参数模板'!$D$31</x:f>
        <x:v>436.6461010859192</x:v>
      </x:c>
      <x:c r="N626" s="21" t="n">
        <x:f>IF(C626="source",'情景参数模板'!$D$12,IF(H626="echelon",'情景参数模板'!$D$13,'情景参数模板'!$D$14))</x:f>
        <x:v>0.49</x:v>
      </x:c>
      <x:c r="O626" s="21" t="n">
        <x:f>IF(C626="source",'情景参数模板'!$D$18,IF(H626="echelon",'情景参数模板'!$D$19,'情景参数模板'!$D$20))</x:f>
        <x:v>400</x:v>
      </x:c>
      <x:c r="P626" s="17" t="n">
        <x:f>IF(M626&lt;=O626,1,0)</x:f>
        <x:v>0</x:v>
      </x:c>
      <x:c r="Q626" s="17" t="str">
        <x:v>D-road proxy; B-coordinates</x:v>
      </x:c>
    </x:row>
    <x:row r="627">
      <x:c r="A627" s="17" t="str">
        <x:v>A0623</x:v>
      </x:c>
      <x:c r="B627" s="17" t="str">
        <x:v>C08</x:v>
      </x:c>
      <x:c r="C627" s="17" t="str">
        <x:v>collection</x:v>
      </x:c>
      <x:c r="D627" s="17" t="str">
        <x:v>梅州虚拟回收/检测中心</x:v>
      </x:c>
      <x:c r="E627" s="24" t="n">
        <x:v>116.1171428</x:v>
      </x:c>
      <x:c r="F627" s="24" t="n">
        <x:v>24.2918414</x:v>
      </x:c>
      <x:c r="G627" s="17" t="str">
        <x:v>P13</x:v>
      </x:c>
      <x:c r="H627" s="17" t="str">
        <x:v>recycling</x:v>
      </x:c>
      <x:c r="I627" s="17" t="str">
        <x:v>广东佳纳能源科技有限公司</x:v>
      </x:c>
      <x:c r="J627" s="24" t="n">
        <x:v>113.0505994</x:v>
      </x:c>
      <x:c r="K627" s="24" t="n">
        <x:v>23.6832984</x:v>
      </x:c>
      <x:c r="L627" s="21" t="n">
        <x:f>6371*ACOS(MIN(1,COS(F627*PI()/180)*COS(K627*PI()/180)*COS((J627-E627)*PI()/180)+SIN(F627*PI()/180)*SIN(K627*PI()/180)))</x:f>
        <x:v>318.7903486527325</x:v>
      </x:c>
      <x:c r="M627" s="21" t="n">
        <x:f>L627*'情景参数模板'!$D$31</x:f>
        <x:v>382.548418383279</x:v>
      </x:c>
      <x:c r="N627" s="21" t="n">
        <x:f>IF(C627="source",'情景参数模板'!$D$12,IF(H627="echelon",'情景参数模板'!$D$13,'情景参数模板'!$D$14))</x:f>
        <x:v>0.49</x:v>
      </x:c>
      <x:c r="O627" s="21" t="n">
        <x:f>IF(C627="source",'情景参数模板'!$D$18,IF(H627="echelon",'情景参数模板'!$D$19,'情景参数模板'!$D$20))</x:f>
        <x:v>400</x:v>
      </x:c>
      <x:c r="P627" s="17" t="n">
        <x:f>IF(M627&lt;=O627,1,0)</x:f>
        <x:v>1</x:v>
      </x:c>
      <x:c r="Q627" s="17" t="str">
        <x:v>D-road proxy; B-coordinates</x:v>
      </x:c>
    </x:row>
    <x:row r="628">
      <x:c r="A628" s="17" t="str">
        <x:v>A0624</x:v>
      </x:c>
      <x:c r="B628" s="17" t="str">
        <x:v>C08</x:v>
      </x:c>
      <x:c r="C628" s="17" t="str">
        <x:v>collection</x:v>
      </x:c>
      <x:c r="D628" s="17" t="str">
        <x:v>梅州虚拟回收/检测中心</x:v>
      </x:c>
      <x:c r="E628" s="24" t="n">
        <x:v>116.1171428</x:v>
      </x:c>
      <x:c r="F628" s="24" t="n">
        <x:v>24.2918414</x:v>
      </x:c>
      <x:c r="G628" s="17" t="str">
        <x:v>P14</x:v>
      </x:c>
      <x:c r="H628" s="17" t="str">
        <x:v>echelon</x:v>
      </x:c>
      <x:c r="I628" s="17" t="str">
        <x:v>格林美（深圳）循环科技有限公司</x:v>
      </x:c>
      <x:c r="J628" s="24" t="n">
        <x:v>114.0545429</x:v>
      </x:c>
      <x:c r="K628" s="24" t="n">
        <x:v>22.5445741</x:v>
      </x:c>
      <x:c r="L628" s="21" t="n">
        <x:f>6371*ACOS(MIN(1,COS(F628*PI()/180)*COS(K628*PI()/180)*COS((J628-E628)*PI()/180)+SIN(F628*PI()/180)*SIN(K628*PI()/180)))</x:f>
        <x:v>286.41624544813754</x:v>
      </x:c>
      <x:c r="M628" s="21" t="n">
        <x:f>L628*'情景参数模板'!$D$31</x:f>
        <x:v>343.699494537765</x:v>
      </x:c>
      <x:c r="N628" s="21" t="n">
        <x:f>IF(C628="source",'情景参数模板'!$D$12,IF(H628="echelon",'情景参数模板'!$D$13,'情景参数模板'!$D$14))</x:f>
        <x:v>0.49</x:v>
      </x:c>
      <x:c r="O628" s="21" t="n">
        <x:f>IF(C628="source",'情景参数模板'!$D$18,IF(H628="echelon",'情景参数模板'!$D$19,'情景参数模板'!$D$20))</x:f>
        <x:v>300</x:v>
      </x:c>
      <x:c r="P628" s="17" t="n">
        <x:f>IF(M628&lt;=O628,1,0)</x:f>
        <x:v>0</x:v>
      </x:c>
      <x:c r="Q628" s="17" t="str">
        <x:v>D-road proxy; B-coordinates</x:v>
      </x:c>
    </x:row>
    <x:row r="629">
      <x:c r="A629" s="17" t="str">
        <x:v>A0625</x:v>
      </x:c>
      <x:c r="B629" s="17" t="str">
        <x:v>C08</x:v>
      </x:c>
      <x:c r="C629" s="17" t="str">
        <x:v>collection</x:v>
      </x:c>
      <x:c r="D629" s="17" t="str">
        <x:v>梅州虚拟回收/检测中心</x:v>
      </x:c>
      <x:c r="E629" s="24" t="n">
        <x:v>116.1171428</x:v>
      </x:c>
      <x:c r="F629" s="24" t="n">
        <x:v>24.2918414</x:v>
      </x:c>
      <x:c r="G629" s="17" t="str">
        <x:v>P15</x:v>
      </x:c>
      <x:c r="H629" s="17" t="str">
        <x:v>echelon</x:v>
      </x:c>
      <x:c r="I629" s="17" t="str">
        <x:v>绿循新能源科技（佛山）有限责任公司</x:v>
      </x:c>
      <x:c r="J629" s="24" t="n">
        <x:v>113.1159558</x:v>
      </x:c>
      <x:c r="K629" s="24" t="n">
        <x:v>23.0239788</x:v>
      </x:c>
      <x:c r="L629" s="21" t="n">
        <x:f>6371*ACOS(MIN(1,COS(F629*PI()/180)*COS(K629*PI()/180)*COS((J629-E629)*PI()/180)+SIN(F629*PI()/180)*SIN(K629*PI()/180)))</x:f>
        <x:v>336.6010751478147</x:v>
      </x:c>
      <x:c r="M629" s="21" t="n">
        <x:f>L629*'情景参数模板'!$D$31</x:f>
        <x:v>403.9212901773776</x:v>
      </x:c>
      <x:c r="N629" s="21" t="n">
        <x:f>IF(C629="source",'情景参数模板'!$D$12,IF(H629="echelon",'情景参数模板'!$D$13,'情景参数模板'!$D$14))</x:f>
        <x:v>0.49</x:v>
      </x:c>
      <x:c r="O629" s="21" t="n">
        <x:f>IF(C629="source",'情景参数模板'!$D$18,IF(H629="echelon",'情景参数模板'!$D$19,'情景参数模板'!$D$20))</x:f>
        <x:v>300</x:v>
      </x:c>
      <x:c r="P629" s="17" t="n">
        <x:f>IF(M629&lt;=O629,1,0)</x:f>
        <x:v>0</x:v>
      </x:c>
      <x:c r="Q629" s="17" t="str">
        <x:v>D-road proxy; B-coordinates</x:v>
      </x:c>
    </x:row>
    <x:row r="630">
      <x:c r="A630" s="17" t="str">
        <x:v>A0626</x:v>
      </x:c>
      <x:c r="B630" s="17" t="str">
        <x:v>C08</x:v>
      </x:c>
      <x:c r="C630" s="17" t="str">
        <x:v>collection</x:v>
      </x:c>
      <x:c r="D630" s="17" t="str">
        <x:v>梅州虚拟回收/检测中心</x:v>
      </x:c>
      <x:c r="E630" s="24" t="n">
        <x:v>116.1171428</x:v>
      </x:c>
      <x:c r="F630" s="24" t="n">
        <x:v>24.2918414</x:v>
      </x:c>
      <x:c r="G630" s="17" t="str">
        <x:v>P16</x:v>
      </x:c>
      <x:c r="H630" s="17" t="str">
        <x:v>echelon</x:v>
      </x:c>
      <x:c r="I630" s="17" t="str">
        <x:v>深圳艾云动智慧科技有限公司</x:v>
      </x:c>
      <x:c r="J630" s="24" t="n">
        <x:v>114.0545429</x:v>
      </x:c>
      <x:c r="K630" s="24" t="n">
        <x:v>22.5445741</x:v>
      </x:c>
      <x:c r="L630" s="21" t="n">
        <x:f>6371*ACOS(MIN(1,COS(F630*PI()/180)*COS(K630*PI()/180)*COS((J630-E630)*PI()/180)+SIN(F630*PI()/180)*SIN(K630*PI()/180)))</x:f>
        <x:v>286.41624544813754</x:v>
      </x:c>
      <x:c r="M630" s="21" t="n">
        <x:f>L630*'情景参数模板'!$D$31</x:f>
        <x:v>343.699494537765</x:v>
      </x:c>
      <x:c r="N630" s="21" t="n">
        <x:f>IF(C630="source",'情景参数模板'!$D$12,IF(H630="echelon",'情景参数模板'!$D$13,'情景参数模板'!$D$14))</x:f>
        <x:v>0.49</x:v>
      </x:c>
      <x:c r="O630" s="21" t="n">
        <x:f>IF(C630="source",'情景参数模板'!$D$18,IF(H630="echelon",'情景参数模板'!$D$19,'情景参数模板'!$D$20))</x:f>
        <x:v>300</x:v>
      </x:c>
      <x:c r="P630" s="17" t="n">
        <x:f>IF(M630&lt;=O630,1,0)</x:f>
        <x:v>0</x:v>
      </x:c>
      <x:c r="Q630" s="17" t="str">
        <x:v>D-road proxy; B-coordinates</x:v>
      </x:c>
    </x:row>
    <x:row r="631">
      <x:c r="A631" s="17" t="str">
        <x:v>A0627</x:v>
      </x:c>
      <x:c r="B631" s="17" t="str">
        <x:v>C08</x:v>
      </x:c>
      <x:c r="C631" s="17" t="str">
        <x:v>collection</x:v>
      </x:c>
      <x:c r="D631" s="17" t="str">
        <x:v>梅州虚拟回收/检测中心</x:v>
      </x:c>
      <x:c r="E631" s="24" t="n">
        <x:v>116.1171428</x:v>
      </x:c>
      <x:c r="F631" s="24" t="n">
        <x:v>24.2918414</x:v>
      </x:c>
      <x:c r="G631" s="17" t="str">
        <x:v>P17</x:v>
      </x:c>
      <x:c r="H631" s="17" t="str">
        <x:v>echelon</x:v>
      </x:c>
      <x:c r="I631" s="17" t="str">
        <x:v>深圳市荣高晟新能源科技有限公司</x:v>
      </x:c>
      <x:c r="J631" s="24" t="n">
        <x:v>114.0545429</x:v>
      </x:c>
      <x:c r="K631" s="24" t="n">
        <x:v>22.5445741</x:v>
      </x:c>
      <x:c r="L631" s="21" t="n">
        <x:f>6371*ACOS(MIN(1,COS(F631*PI()/180)*COS(K631*PI()/180)*COS((J631-E631)*PI()/180)+SIN(F631*PI()/180)*SIN(K631*PI()/180)))</x:f>
        <x:v>286.41624544813754</x:v>
      </x:c>
      <x:c r="M631" s="21" t="n">
        <x:f>L631*'情景参数模板'!$D$31</x:f>
        <x:v>343.699494537765</x:v>
      </x:c>
      <x:c r="N631" s="21" t="n">
        <x:f>IF(C631="source",'情景参数模板'!$D$12,IF(H631="echelon",'情景参数模板'!$D$13,'情景参数模板'!$D$14))</x:f>
        <x:v>0.49</x:v>
      </x:c>
      <x:c r="O631" s="21" t="n">
        <x:f>IF(C631="source",'情景参数模板'!$D$18,IF(H631="echelon",'情景参数模板'!$D$19,'情景参数模板'!$D$20))</x:f>
        <x:v>300</x:v>
      </x:c>
      <x:c r="P631" s="17" t="n">
        <x:f>IF(M631&lt;=O631,1,0)</x:f>
        <x:v>0</x:v>
      </x:c>
      <x:c r="Q631" s="17" t="str">
        <x:v>D-road proxy; B-coordinates</x:v>
      </x:c>
    </x:row>
    <x:row r="632">
      <x:c r="A632" s="17" t="str">
        <x:v>A0628</x:v>
      </x:c>
      <x:c r="B632" s="17" t="str">
        <x:v>C08</x:v>
      </x:c>
      <x:c r="C632" s="17" t="str">
        <x:v>collection</x:v>
      </x:c>
      <x:c r="D632" s="17" t="str">
        <x:v>梅州虚拟回收/检测中心</x:v>
      </x:c>
      <x:c r="E632" s="24" t="n">
        <x:v>116.1171428</x:v>
      </x:c>
      <x:c r="F632" s="24" t="n">
        <x:v>24.2918414</x:v>
      </x:c>
      <x:c r="G632" s="17" t="str">
        <x:v>P18</x:v>
      </x:c>
      <x:c r="H632" s="17" t="str">
        <x:v>echelon</x:v>
      </x:c>
      <x:c r="I632" s="17" t="str">
        <x:v>中商锂新能源科技（惠州）有限公司</x:v>
      </x:c>
      <x:c r="J632" s="24" t="n">
        <x:v>114.4127007</x:v>
      </x:c>
      <x:c r="K632" s="24" t="n">
        <x:v>23.1125153</x:v>
      </x:c>
      <x:c r="L632" s="21" t="n">
        <x:f>6371*ACOS(MIN(1,COS(F632*PI()/180)*COS(K632*PI()/180)*COS((J632-E632)*PI()/180)+SIN(F632*PI()/180)*SIN(K632*PI()/180)))</x:f>
        <x:v>217.50845727097408</x:v>
      </x:c>
      <x:c r="M632" s="21" t="n">
        <x:f>L632*'情景参数模板'!$D$31</x:f>
        <x:v>261.0101487251689</x:v>
      </x:c>
      <x:c r="N632" s="21" t="n">
        <x:f>IF(C632="source",'情景参数模板'!$D$12,IF(H632="echelon",'情景参数模板'!$D$13,'情景参数模板'!$D$14))</x:f>
        <x:v>0.49</x:v>
      </x:c>
      <x:c r="O632" s="21" t="n">
        <x:f>IF(C632="source",'情景参数模板'!$D$18,IF(H632="echelon",'情景参数模板'!$D$19,'情景参数模板'!$D$20))</x:f>
        <x:v>300</x:v>
      </x:c>
      <x:c r="P632" s="17" t="n">
        <x:f>IF(M632&lt;=O632,1,0)</x:f>
        <x:v>1</x:v>
      </x:c>
      <x:c r="Q632" s="17" t="str">
        <x:v>D-road proxy; B-coordinates</x:v>
      </x:c>
    </x:row>
    <x:row r="633">
      <x:c r="A633" s="17" t="str">
        <x:v>A0629</x:v>
      </x:c>
      <x:c r="B633" s="17" t="str">
        <x:v>C08</x:v>
      </x:c>
      <x:c r="C633" s="17" t="str">
        <x:v>collection</x:v>
      </x:c>
      <x:c r="D633" s="17" t="str">
        <x:v>梅州虚拟回收/检测中心</x:v>
      </x:c>
      <x:c r="E633" s="24" t="n">
        <x:v>116.1171428</x:v>
      </x:c>
      <x:c r="F633" s="24" t="n">
        <x:v>24.2918414</x:v>
      </x:c>
      <x:c r="G633" s="17" t="str">
        <x:v>P19</x:v>
      </x:c>
      <x:c r="H633" s="17" t="str">
        <x:v>recycling</x:v>
      </x:c>
      <x:c r="I633" s="17" t="str">
        <x:v>广东盛祥新材料科技有限公司</x:v>
      </x:c>
      <x:c r="J633" s="24" t="n">
        <x:v>113.8155263</x:v>
      </x:c>
      <x:c r="K633" s="24" t="n">
        <x:v>24.8309489</x:v>
      </x:c>
      <x:c r="L633" s="21" t="n">
        <x:f>6371*ACOS(MIN(1,COS(F633*PI()/180)*COS(K633*PI()/180)*COS((J633-E633)*PI()/180)+SIN(F633*PI()/180)*SIN(K633*PI()/180)))</x:f>
        <x:v>240.36191880067403</x:v>
      </x:c>
      <x:c r="M633" s="21" t="n">
        <x:f>L633*'情景参数模板'!$D$31</x:f>
        <x:v>288.4343025608088</x:v>
      </x:c>
      <x:c r="N633" s="21" t="n">
        <x:f>IF(C633="source",'情景参数模板'!$D$12,IF(H633="echelon",'情景参数模板'!$D$13,'情景参数模板'!$D$14))</x:f>
        <x:v>0.49</x:v>
      </x:c>
      <x:c r="O633" s="21" t="n">
        <x:f>IF(C633="source",'情景参数模板'!$D$18,IF(H633="echelon",'情景参数模板'!$D$19,'情景参数模板'!$D$20))</x:f>
        <x:v>400</x:v>
      </x:c>
      <x:c r="P633" s="17" t="n">
        <x:f>IF(M633&lt;=O633,1,0)</x:f>
        <x:v>1</x:v>
      </x:c>
      <x:c r="Q633" s="17" t="str">
        <x:v>D-road proxy; B-coordinates</x:v>
      </x:c>
    </x:row>
    <x:row r="634">
      <x:c r="A634" s="17" t="str">
        <x:v>A0630</x:v>
      </x:c>
      <x:c r="B634" s="17" t="str">
        <x:v>C08</x:v>
      </x:c>
      <x:c r="C634" s="17" t="str">
        <x:v>collection</x:v>
      </x:c>
      <x:c r="D634" s="17" t="str">
        <x:v>梅州虚拟回收/检测中心</x:v>
      </x:c>
      <x:c r="E634" s="24" t="n">
        <x:v>116.1171428</x:v>
      </x:c>
      <x:c r="F634" s="24" t="n">
        <x:v>24.2918414</x:v>
      </x:c>
      <x:c r="G634" s="17" t="str">
        <x:v>P20E</x:v>
      </x:c>
      <x:c r="H634" s="17" t="str">
        <x:v>echelon</x:v>
      </x:c>
      <x:c r="I634" s="17" t="str">
        <x:v>广东金晟新能源股份有限公司（梯次功能）</x:v>
      </x:c>
      <x:c r="J634" s="24" t="n">
        <x:v>112.4603629</x:v>
      </x:c>
      <x:c r="K634" s="24" t="n">
        <x:v>23.0501661</x:v>
      </x:c>
      <x:c r="L634" s="21" t="n">
        <x:f>6371*ACOS(MIN(1,COS(F634*PI()/180)*COS(K634*PI()/180)*COS((J634-E634)*PI()/180)+SIN(F634*PI()/180)*SIN(K634*PI()/180)))</x:f>
        <x:v>397.15515814756486</x:v>
      </x:c>
      <x:c r="M634" s="21" t="n">
        <x:f>L634*'情景参数模板'!$D$31</x:f>
        <x:v>476.58618977707783</x:v>
      </x:c>
      <x:c r="N634" s="21" t="n">
        <x:f>IF(C634="source",'情景参数模板'!$D$12,IF(H634="echelon",'情景参数模板'!$D$13,'情景参数模板'!$D$14))</x:f>
        <x:v>0.49</x:v>
      </x:c>
      <x:c r="O634" s="21" t="n">
        <x:f>IF(C634="source",'情景参数模板'!$D$18,IF(H634="echelon",'情景参数模板'!$D$19,'情景参数模板'!$D$20))</x:f>
        <x:v>300</x:v>
      </x:c>
      <x:c r="P634" s="17" t="n">
        <x:f>IF(M634&lt;=O634,1,0)</x:f>
        <x:v>0</x:v>
      </x:c>
      <x:c r="Q634" s="17" t="str">
        <x:v>D-road proxy; B-coordinates</x:v>
      </x:c>
    </x:row>
    <x:row r="635">
      <x:c r="A635" s="17" t="str">
        <x:v>A0631</x:v>
      </x:c>
      <x:c r="B635" s="17" t="str">
        <x:v>C08</x:v>
      </x:c>
      <x:c r="C635" s="17" t="str">
        <x:v>collection</x:v>
      </x:c>
      <x:c r="D635" s="17" t="str">
        <x:v>梅州虚拟回收/检测中心</x:v>
      </x:c>
      <x:c r="E635" s="24" t="n">
        <x:v>116.1171428</x:v>
      </x:c>
      <x:c r="F635" s="24" t="n">
        <x:v>24.2918414</x:v>
      </x:c>
      <x:c r="G635" s="17" t="str">
        <x:v>P20R</x:v>
      </x:c>
      <x:c r="H635" s="17" t="str">
        <x:v>recycling</x:v>
      </x:c>
      <x:c r="I635" s="17" t="str">
        <x:v>广东金晟新能源股份有限公司（再生功能）</x:v>
      </x:c>
      <x:c r="J635" s="24" t="n">
        <x:v>112.4603629</x:v>
      </x:c>
      <x:c r="K635" s="24" t="n">
        <x:v>23.0501661</x:v>
      </x:c>
      <x:c r="L635" s="21" t="n">
        <x:f>6371*ACOS(MIN(1,COS(F635*PI()/180)*COS(K635*PI()/180)*COS((J635-E635)*PI()/180)+SIN(F635*PI()/180)*SIN(K635*PI()/180)))</x:f>
        <x:v>397.15515814756486</x:v>
      </x:c>
      <x:c r="M635" s="21" t="n">
        <x:f>L635*'情景参数模板'!$D$31</x:f>
        <x:v>476.58618977707783</x:v>
      </x:c>
      <x:c r="N635" s="21" t="n">
        <x:f>IF(C635="source",'情景参数模板'!$D$12,IF(H635="echelon",'情景参数模板'!$D$13,'情景参数模板'!$D$14))</x:f>
        <x:v>0.49</x:v>
      </x:c>
      <x:c r="O635" s="21" t="n">
        <x:f>IF(C635="source",'情景参数模板'!$D$18,IF(H635="echelon",'情景参数模板'!$D$19,'情景参数模板'!$D$20))</x:f>
        <x:v>400</x:v>
      </x:c>
      <x:c r="P635" s="17" t="n">
        <x:f>IF(M635&lt;=O635,1,0)</x:f>
        <x:v>0</x:v>
      </x:c>
      <x:c r="Q635" s="17" t="str">
        <x:v>D-road proxy; B-coordinates</x:v>
      </x:c>
    </x:row>
    <x:row r="636">
      <x:c r="A636" s="17" t="str">
        <x:v>A0632</x:v>
      </x:c>
      <x:c r="B636" s="17" t="str">
        <x:v>C08</x:v>
      </x:c>
      <x:c r="C636" s="17" t="str">
        <x:v>collection</x:v>
      </x:c>
      <x:c r="D636" s="17" t="str">
        <x:v>梅州虚拟回收/检测中心</x:v>
      </x:c>
      <x:c r="E636" s="24" t="n">
        <x:v>116.1171428</x:v>
      </x:c>
      <x:c r="F636" s="24" t="n">
        <x:v>24.2918414</x:v>
      </x:c>
      <x:c r="G636" s="17" t="str">
        <x:v>P21E</x:v>
      </x:c>
      <x:c r="H636" s="17" t="str">
        <x:v>echelon</x:v>
      </x:c>
      <x:c r="I636" s="17" t="str">
        <x:v>广东瑞科美电源技术有限公司（梯次功能）</x:v>
      </x:c>
      <x:c r="J636" s="24" t="n">
        <x:v>113.1159558</x:v>
      </x:c>
      <x:c r="K636" s="24" t="n">
        <x:v>23.0239788</x:v>
      </x:c>
      <x:c r="L636" s="21" t="n">
        <x:f>6371*ACOS(MIN(1,COS(F636*PI()/180)*COS(K636*PI()/180)*COS((J636-E636)*PI()/180)+SIN(F636*PI()/180)*SIN(K636*PI()/180)))</x:f>
        <x:v>336.6010751478147</x:v>
      </x:c>
      <x:c r="M636" s="21" t="n">
        <x:f>L636*'情景参数模板'!$D$31</x:f>
        <x:v>403.9212901773776</x:v>
      </x:c>
      <x:c r="N636" s="21" t="n">
        <x:f>IF(C636="source",'情景参数模板'!$D$12,IF(H636="echelon",'情景参数模板'!$D$13,'情景参数模板'!$D$14))</x:f>
        <x:v>0.49</x:v>
      </x:c>
      <x:c r="O636" s="21" t="n">
        <x:f>IF(C636="source",'情景参数模板'!$D$18,IF(H636="echelon",'情景参数模板'!$D$19,'情景参数模板'!$D$20))</x:f>
        <x:v>300</x:v>
      </x:c>
      <x:c r="P636" s="17" t="n">
        <x:f>IF(M636&lt;=O636,1,0)</x:f>
        <x:v>0</x:v>
      </x:c>
      <x:c r="Q636" s="17" t="str">
        <x:v>D-road proxy; B-coordinates</x:v>
      </x:c>
    </x:row>
    <x:row r="637">
      <x:c r="A637" s="17" t="str">
        <x:v>A0633</x:v>
      </x:c>
      <x:c r="B637" s="17" t="str">
        <x:v>C08</x:v>
      </x:c>
      <x:c r="C637" s="17" t="str">
        <x:v>collection</x:v>
      </x:c>
      <x:c r="D637" s="17" t="str">
        <x:v>梅州虚拟回收/检测中心</x:v>
      </x:c>
      <x:c r="E637" s="24" t="n">
        <x:v>116.1171428</x:v>
      </x:c>
      <x:c r="F637" s="24" t="n">
        <x:v>24.2918414</x:v>
      </x:c>
      <x:c r="G637" s="17" t="str">
        <x:v>P21R</x:v>
      </x:c>
      <x:c r="H637" s="17" t="str">
        <x:v>recycling</x:v>
      </x:c>
      <x:c r="I637" s="17" t="str">
        <x:v>广东瑞科美电源技术有限公司（再生功能）</x:v>
      </x:c>
      <x:c r="J637" s="24" t="n">
        <x:v>113.1159558</x:v>
      </x:c>
      <x:c r="K637" s="24" t="n">
        <x:v>23.0239788</x:v>
      </x:c>
      <x:c r="L637" s="21" t="n">
        <x:f>6371*ACOS(MIN(1,COS(F637*PI()/180)*COS(K637*PI()/180)*COS((J637-E637)*PI()/180)+SIN(F637*PI()/180)*SIN(K637*PI()/180)))</x:f>
        <x:v>336.6010751478147</x:v>
      </x:c>
      <x:c r="M637" s="21" t="n">
        <x:f>L637*'情景参数模板'!$D$31</x:f>
        <x:v>403.9212901773776</x:v>
      </x:c>
      <x:c r="N637" s="21" t="n">
        <x:f>IF(C637="source",'情景参数模板'!$D$12,IF(H637="echelon",'情景参数模板'!$D$13,'情景参数模板'!$D$14))</x:f>
        <x:v>0.49</x:v>
      </x:c>
      <x:c r="O637" s="21" t="n">
        <x:f>IF(C637="source",'情景参数模板'!$D$18,IF(H637="echelon",'情景参数模板'!$D$19,'情景参数模板'!$D$20))</x:f>
        <x:v>400</x:v>
      </x:c>
      <x:c r="P637" s="17" t="n">
        <x:f>IF(M637&lt;=O637,1,0)</x:f>
        <x:v>0</x:v>
      </x:c>
      <x:c r="Q637" s="17" t="str">
        <x:v>D-road proxy; B-coordinates</x:v>
      </x:c>
    </x:row>
    <x:row r="638">
      <x:c r="A638" s="17" t="str">
        <x:v>A0634</x:v>
      </x:c>
      <x:c r="B638" s="17" t="str">
        <x:v>C09</x:v>
      </x:c>
      <x:c r="C638" s="17" t="str">
        <x:v>collection</x:v>
      </x:c>
      <x:c r="D638" s="17" t="str">
        <x:v>惠州虚拟回收/检测中心</x:v>
      </x:c>
      <x:c r="E638" s="24" t="n">
        <x:v>114.4127007</x:v>
      </x:c>
      <x:c r="F638" s="24" t="n">
        <x:v>23.1125153</x:v>
      </x:c>
      <x:c r="G638" s="17" t="str">
        <x:v>P01</x:v>
      </x:c>
      <x:c r="H638" s="17" t="str">
        <x:v>recycling</x:v>
      </x:c>
      <x:c r="I638" s="17" t="str">
        <x:v>汕尾比亚迪废旧动力电池回收项目</x:v>
      </x:c>
      <x:c r="J638" s="24" t="n">
        <x:v>115.3492668</x:v>
      </x:c>
      <x:c r="K638" s="24" t="n">
        <x:v>22.838065</x:v>
      </x:c>
      <x:c r="L638" s="21" t="n">
        <x:f>6371*ACOS(MIN(1,COS(F638*PI()/180)*COS(K638*PI()/180)*COS((J638-E638)*PI()/180)+SIN(F638*PI()/180)*SIN(K638*PI()/180)))</x:f>
        <x:v>100.61944008370573</x:v>
      </x:c>
      <x:c r="M638" s="21" t="n">
        <x:f>L638*'情景参数模板'!$D$31</x:f>
        <x:v>120.74332810044686</x:v>
      </x:c>
      <x:c r="N638" s="21" t="n">
        <x:f>IF(C638="source",'情景参数模板'!$D$12,IF(H638="echelon",'情景参数模板'!$D$13,'情景参数模板'!$D$14))</x:f>
        <x:v>0.49</x:v>
      </x:c>
      <x:c r="O638" s="21" t="n">
        <x:f>IF(C638="source",'情景参数模板'!$D$18,IF(H638="echelon",'情景参数模板'!$D$19,'情景参数模板'!$D$20))</x:f>
        <x:v>400</x:v>
      </x:c>
      <x:c r="P638" s="17" t="n">
        <x:f>IF(M638&lt;=O638,1,0)</x:f>
        <x:v>1</x:v>
      </x:c>
      <x:c r="Q638" s="17" t="str">
        <x:v>D-road proxy; B-coordinates</x:v>
      </x:c>
    </x:row>
    <x:row r="639">
      <x:c r="A639" s="17" t="str">
        <x:v>A0635</x:v>
      </x:c>
      <x:c r="B639" s="17" t="str">
        <x:v>C09</x:v>
      </x:c>
      <x:c r="C639" s="17" t="str">
        <x:v>collection</x:v>
      </x:c>
      <x:c r="D639" s="17" t="str">
        <x:v>惠州虚拟回收/检测中心</x:v>
      </x:c>
      <x:c r="E639" s="24" t="n">
        <x:v>114.4127007</x:v>
      </x:c>
      <x:c r="F639" s="24" t="n">
        <x:v>23.1125153</x:v>
      </x:c>
      <x:c r="G639" s="17" t="str">
        <x:v>P02E</x:v>
      </x:c>
      <x:c r="H639" s="17" t="str">
        <x:v>echelon</x:v>
      </x:c>
      <x:c r="I639" s="17" t="str">
        <x:v>广东光华科技股份有限公司（梯次功能）</x:v>
      </x:c>
      <x:c r="J639" s="24" t="n">
        <x:v>116.6775856</x:v>
      </x:c>
      <x:c r="K639" s="24" t="n">
        <x:v>23.3563921</x:v>
      </x:c>
      <x:c r="L639" s="21" t="n">
        <x:f>6371*ACOS(MIN(1,COS(F639*PI()/180)*COS(K639*PI()/180)*COS((J639-E639)*PI()/180)+SIN(F639*PI()/180)*SIN(K639*PI()/180)))</x:f>
        <x:v>232.99958546699187</x:v>
      </x:c>
      <x:c r="M639" s="21" t="n">
        <x:f>L639*'情景参数模板'!$D$31</x:f>
        <x:v>279.59950256039025</x:v>
      </x:c>
      <x:c r="N639" s="21" t="n">
        <x:f>IF(C639="source",'情景参数模板'!$D$12,IF(H639="echelon",'情景参数模板'!$D$13,'情景参数模板'!$D$14))</x:f>
        <x:v>0.49</x:v>
      </x:c>
      <x:c r="O639" s="21" t="n">
        <x:f>IF(C639="source",'情景参数模板'!$D$18,IF(H639="echelon",'情景参数模板'!$D$19,'情景参数模板'!$D$20))</x:f>
        <x:v>300</x:v>
      </x:c>
      <x:c r="P639" s="17" t="n">
        <x:f>IF(M639&lt;=O639,1,0)</x:f>
        <x:v>1</x:v>
      </x:c>
      <x:c r="Q639" s="17" t="str">
        <x:v>D-road proxy; B-coordinates</x:v>
      </x:c>
    </x:row>
    <x:row r="640">
      <x:c r="A640" s="17" t="str">
        <x:v>A0636</x:v>
      </x:c>
      <x:c r="B640" s="17" t="str">
        <x:v>C09</x:v>
      </x:c>
      <x:c r="C640" s="17" t="str">
        <x:v>collection</x:v>
      </x:c>
      <x:c r="D640" s="17" t="str">
        <x:v>惠州虚拟回收/检测中心</x:v>
      </x:c>
      <x:c r="E640" s="24" t="n">
        <x:v>114.4127007</x:v>
      </x:c>
      <x:c r="F640" s="24" t="n">
        <x:v>23.1125153</x:v>
      </x:c>
      <x:c r="G640" s="17" t="str">
        <x:v>P02R</x:v>
      </x:c>
      <x:c r="H640" s="17" t="str">
        <x:v>recycling</x:v>
      </x:c>
      <x:c r="I640" s="17" t="str">
        <x:v>广东光华科技股份有限公司（再生功能）</x:v>
      </x:c>
      <x:c r="J640" s="24" t="n">
        <x:v>116.6775856</x:v>
      </x:c>
      <x:c r="K640" s="24" t="n">
        <x:v>23.3563921</x:v>
      </x:c>
      <x:c r="L640" s="21" t="n">
        <x:f>6371*ACOS(MIN(1,COS(F640*PI()/180)*COS(K640*PI()/180)*COS((J640-E640)*PI()/180)+SIN(F640*PI()/180)*SIN(K640*PI()/180)))</x:f>
        <x:v>232.99958546699187</x:v>
      </x:c>
      <x:c r="M640" s="21" t="n">
        <x:f>L640*'情景参数模板'!$D$31</x:f>
        <x:v>279.59950256039025</x:v>
      </x:c>
      <x:c r="N640" s="21" t="n">
        <x:f>IF(C640="source",'情景参数模板'!$D$12,IF(H640="echelon",'情景参数模板'!$D$13,'情景参数模板'!$D$14))</x:f>
        <x:v>0.49</x:v>
      </x:c>
      <x:c r="O640" s="21" t="n">
        <x:f>IF(C640="source",'情景参数模板'!$D$18,IF(H640="echelon",'情景参数模板'!$D$19,'情景参数模板'!$D$20))</x:f>
        <x:v>400</x:v>
      </x:c>
      <x:c r="P640" s="17" t="n">
        <x:f>IF(M640&lt;=O640,1,0)</x:f>
        <x:v>1</x:v>
      </x:c>
      <x:c r="Q640" s="17" t="str">
        <x:v>D-road proxy; B-coordinates</x:v>
      </x:c>
    </x:row>
    <x:row r="641">
      <x:c r="A641" s="17" t="str">
        <x:v>A0637</x:v>
      </x:c>
      <x:c r="B641" s="17" t="str">
        <x:v>C09</x:v>
      </x:c>
      <x:c r="C641" s="17" t="str">
        <x:v>collection</x:v>
      </x:c>
      <x:c r="D641" s="17" t="str">
        <x:v>惠州虚拟回收/检测中心</x:v>
      </x:c>
      <x:c r="E641" s="24" t="n">
        <x:v>114.4127007</x:v>
      </x:c>
      <x:c r="F641" s="24" t="n">
        <x:v>23.1125153</x:v>
      </x:c>
      <x:c r="G641" s="17" t="str">
        <x:v>P03</x:v>
      </x:c>
      <x:c r="H641" s="17" t="str">
        <x:v>echelon</x:v>
      </x:c>
      <x:c r="I641" s="17" t="str">
        <x:v>深圳深汕特别合作区乾泰技术有限公司</x:v>
      </x:c>
      <x:c r="J641" s="24" t="n">
        <x:v>115.5099937</x:v>
      </x:c>
      <x:c r="K641" s="24" t="n">
        <x:v>23.0123639</x:v>
      </x:c>
      <x:c r="L641" s="21" t="n">
        <x:f>6371*ACOS(MIN(1,COS(F641*PI()/180)*COS(K641*PI()/180)*COS((J641-E641)*PI()/180)+SIN(F641*PI()/180)*SIN(K641*PI()/180)))</x:f>
        <x:v>112.81264213991685</x:v>
      </x:c>
      <x:c r="M641" s="21" t="n">
        <x:f>L641*'情景参数模板'!$D$31</x:f>
        <x:v>135.3751705679002</x:v>
      </x:c>
      <x:c r="N641" s="21" t="n">
        <x:f>IF(C641="source",'情景参数模板'!$D$12,IF(H641="echelon",'情景参数模板'!$D$13,'情景参数模板'!$D$14))</x:f>
        <x:v>0.49</x:v>
      </x:c>
      <x:c r="O641" s="21" t="n">
        <x:f>IF(C641="source",'情景参数模板'!$D$18,IF(H641="echelon",'情景参数模板'!$D$19,'情景参数模板'!$D$20))</x:f>
        <x:v>300</x:v>
      </x:c>
      <x:c r="P641" s="17" t="n">
        <x:f>IF(M641&lt;=O641,1,0)</x:f>
        <x:v>1</x:v>
      </x:c>
      <x:c r="Q641" s="17" t="str">
        <x:v>D-road proxy; B-coordinates</x:v>
      </x:c>
    </x:row>
    <x:row r="642">
      <x:c r="A642" s="17" t="str">
        <x:v>A0638</x:v>
      </x:c>
      <x:c r="B642" s="17" t="str">
        <x:v>C09</x:v>
      </x:c>
      <x:c r="C642" s="17" t="str">
        <x:v>collection</x:v>
      </x:c>
      <x:c r="D642" s="17" t="str">
        <x:v>惠州虚拟回收/检测中心</x:v>
      </x:c>
      <x:c r="E642" s="24" t="n">
        <x:v>114.4127007</x:v>
      </x:c>
      <x:c r="F642" s="24" t="n">
        <x:v>23.1125153</x:v>
      </x:c>
      <x:c r="G642" s="17" t="str">
        <x:v>P04</x:v>
      </x:c>
      <x:c r="H642" s="17" t="str">
        <x:v>echelon</x:v>
      </x:c>
      <x:c r="I642" s="17" t="str">
        <x:v>珠海中力新能源科技有限公司</x:v>
      </x:c>
      <x:c r="J642" s="24" t="n">
        <x:v>113.5721327</x:v>
      </x:c>
      <x:c r="K642" s="24" t="n">
        <x:v>22.273734</x:v>
      </x:c>
      <x:c r="L642" s="21" t="n">
        <x:f>6371*ACOS(MIN(1,COS(F642*PI()/180)*COS(K642*PI()/180)*COS((J642-E642)*PI()/180)+SIN(F642*PI()/180)*SIN(K642*PI()/180)))</x:f>
        <x:v>127.02181764289968</x:v>
      </x:c>
      <x:c r="M642" s="21" t="n">
        <x:f>L642*'情景参数模板'!$D$31</x:f>
        <x:v>152.4261811714796</x:v>
      </x:c>
      <x:c r="N642" s="21" t="n">
        <x:f>IF(C642="source",'情景参数模板'!$D$12,IF(H642="echelon",'情景参数模板'!$D$13,'情景参数模板'!$D$14))</x:f>
        <x:v>0.49</x:v>
      </x:c>
      <x:c r="O642" s="21" t="n">
        <x:f>IF(C642="source",'情景参数模板'!$D$18,IF(H642="echelon",'情景参数模板'!$D$19,'情景参数模板'!$D$20))</x:f>
        <x:v>300</x:v>
      </x:c>
      <x:c r="P642" s="17" t="n">
        <x:f>IF(M642&lt;=O642,1,0)</x:f>
        <x:v>1</x:v>
      </x:c>
      <x:c r="Q642" s="17" t="str">
        <x:v>D-road proxy; B-coordinates</x:v>
      </x:c>
    </x:row>
    <x:row r="643">
      <x:c r="A643" s="17" t="str">
        <x:v>A0639</x:v>
      </x:c>
      <x:c r="B643" s="17" t="str">
        <x:v>C09</x:v>
      </x:c>
      <x:c r="C643" s="17" t="str">
        <x:v>collection</x:v>
      </x:c>
      <x:c r="D643" s="17" t="str">
        <x:v>惠州虚拟回收/检测中心</x:v>
      </x:c>
      <x:c r="E643" s="24" t="n">
        <x:v>114.4127007</x:v>
      </x:c>
      <x:c r="F643" s="24" t="n">
        <x:v>23.1125153</x:v>
      </x:c>
      <x:c r="G643" s="17" t="str">
        <x:v>P05</x:v>
      </x:c>
      <x:c r="H643" s="17" t="str">
        <x:v>echelon</x:v>
      </x:c>
      <x:c r="I643" s="17" t="str">
        <x:v>惠州市恒创睿能环保科技有限公司</x:v>
      </x:c>
      <x:c r="J643" s="24" t="n">
        <x:v>114.4127007</x:v>
      </x:c>
      <x:c r="K643" s="24" t="n">
        <x:v>23.1125153</x:v>
      </x:c>
      <x:c r="L643" s="21" t="n">
        <x:f>6371*ACOS(MIN(1,COS(F643*PI()/180)*COS(K643*PI()/180)*COS((J643-E643)*PI()/180)+SIN(F643*PI()/180)*SIN(K643*PI()/180)))</x:f>
        <x:v>0</x:v>
      </x:c>
      <x:c r="M643" s="21" t="n">
        <x:f>L643*'情景参数模板'!$D$31</x:f>
        <x:v>0</x:v>
      </x:c>
      <x:c r="N643" s="21" t="n">
        <x:f>IF(C643="source",'情景参数模板'!$D$12,IF(H643="echelon",'情景参数模板'!$D$13,'情景参数模板'!$D$14))</x:f>
        <x:v>0.49</x:v>
      </x:c>
      <x:c r="O643" s="21" t="n">
        <x:f>IF(C643="source",'情景参数模板'!$D$18,IF(H643="echelon",'情景参数模板'!$D$19,'情景参数模板'!$D$20))</x:f>
        <x:v>300</x:v>
      </x:c>
      <x:c r="P643" s="17" t="n">
        <x:f>IF(M643&lt;=O643,1,0)</x:f>
        <x:v>1</x:v>
      </x:c>
      <x:c r="Q643" s="17" t="str">
        <x:v>D-road proxy; B-coordinates</x:v>
      </x:c>
    </x:row>
    <x:row r="644">
      <x:c r="A644" s="17" t="str">
        <x:v>A0640</x:v>
      </x:c>
      <x:c r="B644" s="17" t="str">
        <x:v>C09</x:v>
      </x:c>
      <x:c r="C644" s="17" t="str">
        <x:v>collection</x:v>
      </x:c>
      <x:c r="D644" s="17" t="str">
        <x:v>惠州虚拟回收/检测中心</x:v>
      </x:c>
      <x:c r="E644" s="24" t="n">
        <x:v>114.4127007</x:v>
      </x:c>
      <x:c r="F644" s="24" t="n">
        <x:v>23.1125153</x:v>
      </x:c>
      <x:c r="G644" s="17" t="str">
        <x:v>P06</x:v>
      </x:c>
      <x:c r="H644" s="17" t="str">
        <x:v>echelon</x:v>
      </x:c>
      <x:c r="I644" s="17" t="str">
        <x:v>江门市朗达锂电池有限公司</x:v>
      </x:c>
      <x:c r="J644" s="24" t="n">
        <x:v>113.0761073</x:v>
      </x:c>
      <x:c r="K644" s="24" t="n">
        <x:v>22.5816619</x:v>
      </x:c>
      <x:c r="L644" s="21" t="n">
        <x:f>6371*ACOS(MIN(1,COS(F644*PI()/180)*COS(K644*PI()/180)*COS((J644-E644)*PI()/180)+SIN(F644*PI()/180)*SIN(K644*PI()/180)))</x:f>
        <x:v>149.1396078501504</x:v>
      </x:c>
      <x:c r="M644" s="21" t="n">
        <x:f>L644*'情景参数模板'!$D$31</x:f>
        <x:v>178.96752942018048</x:v>
      </x:c>
      <x:c r="N644" s="21" t="n">
        <x:f>IF(C644="source",'情景参数模板'!$D$12,IF(H644="echelon",'情景参数模板'!$D$13,'情景参数模板'!$D$14))</x:f>
        <x:v>0.49</x:v>
      </x:c>
      <x:c r="O644" s="21" t="n">
        <x:f>IF(C644="source",'情景参数模板'!$D$18,IF(H644="echelon",'情景参数模板'!$D$19,'情景参数模板'!$D$20))</x:f>
        <x:v>300</x:v>
      </x:c>
      <x:c r="P644" s="17" t="n">
        <x:f>IF(M644&lt;=O644,1,0)</x:f>
        <x:v>1</x:v>
      </x:c>
      <x:c r="Q644" s="17" t="str">
        <x:v>D-road proxy; B-coordinates</x:v>
      </x:c>
    </x:row>
    <x:row r="645">
      <x:c r="A645" s="17" t="str">
        <x:v>A0641</x:v>
      </x:c>
      <x:c r="B645" s="17" t="str">
        <x:v>C09</x:v>
      </x:c>
      <x:c r="C645" s="17" t="str">
        <x:v>collection</x:v>
      </x:c>
      <x:c r="D645" s="17" t="str">
        <x:v>惠州虚拟回收/检测中心</x:v>
      </x:c>
      <x:c r="E645" s="24" t="n">
        <x:v>114.4127007</x:v>
      </x:c>
      <x:c r="F645" s="24" t="n">
        <x:v>23.1125153</x:v>
      </x:c>
      <x:c r="G645" s="17" t="str">
        <x:v>P07</x:v>
      </x:c>
      <x:c r="H645" s="17" t="str">
        <x:v>echelon</x:v>
      </x:c>
      <x:c r="I645" s="17" t="str">
        <x:v>广东迪度新能源有限公司</x:v>
      </x:c>
      <x:c r="J645" s="24" t="n">
        <x:v>113.7452332</x:v>
      </x:c>
      <x:c r="K645" s="24" t="n">
        <x:v>23.0183568</x:v>
      </x:c>
      <x:c r="L645" s="21" t="n">
        <x:f>6371*ACOS(MIN(1,COS(F645*PI()/180)*COS(K645*PI()/180)*COS((J645-E645)*PI()/180)+SIN(F645*PI()/180)*SIN(K645*PI()/180)))</x:f>
        <x:v>69.08370671447607</x:v>
      </x:c>
      <x:c r="M645" s="21" t="n">
        <x:f>L645*'情景参数模板'!$D$31</x:f>
        <x:v>82.90044805737128</x:v>
      </x:c>
      <x:c r="N645" s="21" t="n">
        <x:f>IF(C645="source",'情景参数模板'!$D$12,IF(H645="echelon",'情景参数模板'!$D$13,'情景参数模板'!$D$14))</x:f>
        <x:v>0.49</x:v>
      </x:c>
      <x:c r="O645" s="21" t="n">
        <x:f>IF(C645="source",'情景参数模板'!$D$18,IF(H645="echelon",'情景参数模板'!$D$19,'情景参数模板'!$D$20))</x:f>
        <x:v>300</x:v>
      </x:c>
      <x:c r="P645" s="17" t="n">
        <x:f>IF(M645&lt;=O645,1,0)</x:f>
        <x:v>1</x:v>
      </x:c>
      <x:c r="Q645" s="17" t="str">
        <x:v>D-road proxy; B-coordinates</x:v>
      </x:c>
    </x:row>
    <x:row r="646">
      <x:c r="A646" s="17" t="str">
        <x:v>A0642</x:v>
      </x:c>
      <x:c r="B646" s="17" t="str">
        <x:v>C09</x:v>
      </x:c>
      <x:c r="C646" s="17" t="str">
        <x:v>collection</x:v>
      </x:c>
      <x:c r="D646" s="17" t="str">
        <x:v>惠州虚拟回收/检测中心</x:v>
      </x:c>
      <x:c r="E646" s="24" t="n">
        <x:v>114.4127007</x:v>
      </x:c>
      <x:c r="F646" s="24" t="n">
        <x:v>23.1125153</x:v>
      </x:c>
      <x:c r="G646" s="17" t="str">
        <x:v>P08</x:v>
      </x:c>
      <x:c r="H646" s="17" t="str">
        <x:v>echelon</x:v>
      </x:c>
      <x:c r="I646" s="17" t="str">
        <x:v>东莞市博森新能源有限公司</x:v>
      </x:c>
      <x:c r="J646" s="24" t="n">
        <x:v>113.7452332</x:v>
      </x:c>
      <x:c r="K646" s="24" t="n">
        <x:v>23.0183568</x:v>
      </x:c>
      <x:c r="L646" s="21" t="n">
        <x:f>6371*ACOS(MIN(1,COS(F646*PI()/180)*COS(K646*PI()/180)*COS((J646-E646)*PI()/180)+SIN(F646*PI()/180)*SIN(K646*PI()/180)))</x:f>
        <x:v>69.08370671447607</x:v>
      </x:c>
      <x:c r="M646" s="21" t="n">
        <x:f>L646*'情景参数模板'!$D$31</x:f>
        <x:v>82.90044805737128</x:v>
      </x:c>
      <x:c r="N646" s="21" t="n">
        <x:f>IF(C646="source",'情景参数模板'!$D$12,IF(H646="echelon",'情景参数模板'!$D$13,'情景参数模板'!$D$14))</x:f>
        <x:v>0.49</x:v>
      </x:c>
      <x:c r="O646" s="21" t="n">
        <x:f>IF(C646="source",'情景参数模板'!$D$18,IF(H646="echelon",'情景参数模板'!$D$19,'情景参数模板'!$D$20))</x:f>
        <x:v>300</x:v>
      </x:c>
      <x:c r="P646" s="17" t="n">
        <x:f>IF(M646&lt;=O646,1,0)</x:f>
        <x:v>1</x:v>
      </x:c>
      <x:c r="Q646" s="17" t="str">
        <x:v>D-road proxy; B-coordinates</x:v>
      </x:c>
    </x:row>
    <x:row r="647">
      <x:c r="A647" s="17" t="str">
        <x:v>A0643</x:v>
      </x:c>
      <x:c r="B647" s="17" t="str">
        <x:v>C09</x:v>
      </x:c>
      <x:c r="C647" s="17" t="str">
        <x:v>collection</x:v>
      </x:c>
      <x:c r="D647" s="17" t="str">
        <x:v>惠州虚拟回收/检测中心</x:v>
      </x:c>
      <x:c r="E647" s="24" t="n">
        <x:v>114.4127007</x:v>
      </x:c>
      <x:c r="F647" s="24" t="n">
        <x:v>23.1125153</x:v>
      </x:c>
      <x:c r="G647" s="17" t="str">
        <x:v>P09</x:v>
      </x:c>
      <x:c r="H647" s="17" t="str">
        <x:v>echelon</x:v>
      </x:c>
      <x:c r="I647" s="17" t="str">
        <x:v>广东宇阳新能源有限公司</x:v>
      </x:c>
      <x:c r="J647" s="24" t="n">
        <x:v>113.7452332</x:v>
      </x:c>
      <x:c r="K647" s="24" t="n">
        <x:v>23.0183568</x:v>
      </x:c>
      <x:c r="L647" s="21" t="n">
        <x:f>6371*ACOS(MIN(1,COS(F647*PI()/180)*COS(K647*PI()/180)*COS((J647-E647)*PI()/180)+SIN(F647*PI()/180)*SIN(K647*PI()/180)))</x:f>
        <x:v>69.08370671447607</x:v>
      </x:c>
      <x:c r="M647" s="21" t="n">
        <x:f>L647*'情景参数模板'!$D$31</x:f>
        <x:v>82.90044805737128</x:v>
      </x:c>
      <x:c r="N647" s="21" t="n">
        <x:f>IF(C647="source",'情景参数模板'!$D$12,IF(H647="echelon",'情景参数模板'!$D$13,'情景参数模板'!$D$14))</x:f>
        <x:v>0.49</x:v>
      </x:c>
      <x:c r="O647" s="21" t="n">
        <x:f>IF(C647="source",'情景参数模板'!$D$18,IF(H647="echelon",'情景参数模板'!$D$19,'情景参数模板'!$D$20))</x:f>
        <x:v>300</x:v>
      </x:c>
      <x:c r="P647" s="17" t="n">
        <x:f>IF(M647&lt;=O647,1,0)</x:f>
        <x:v>1</x:v>
      </x:c>
      <x:c r="Q647" s="17" t="str">
        <x:v>D-road proxy; B-coordinates</x:v>
      </x:c>
    </x:row>
    <x:row r="648">
      <x:c r="A648" s="17" t="str">
        <x:v>A0644</x:v>
      </x:c>
      <x:c r="B648" s="17" t="str">
        <x:v>C09</x:v>
      </x:c>
      <x:c r="C648" s="17" t="str">
        <x:v>collection</x:v>
      </x:c>
      <x:c r="D648" s="17" t="str">
        <x:v>惠州虚拟回收/检测中心</x:v>
      </x:c>
      <x:c r="E648" s="24" t="n">
        <x:v>114.4127007</x:v>
      </x:c>
      <x:c r="F648" s="24" t="n">
        <x:v>23.1125153</x:v>
      </x:c>
      <x:c r="G648" s="17" t="str">
        <x:v>P10</x:v>
      </x:c>
      <x:c r="H648" s="17" t="str">
        <x:v>echelon</x:v>
      </x:c>
      <x:c r="I648" s="17" t="str">
        <x:v>广州广汽商贸再生资源有限公司</x:v>
      </x:c>
      <x:c r="J648" s="24" t="n">
        <x:v>113.2589581</x:v>
      </x:c>
      <x:c r="K648" s="24" t="n">
        <x:v>23.1288429</x:v>
      </x:c>
      <x:c r="L648" s="21" t="n">
        <x:f>6371*ACOS(MIN(1,COS(F648*PI()/180)*COS(K648*PI()/180)*COS((J648-E648)*PI()/180)+SIN(F648*PI()/180)*SIN(K648*PI()/180)))</x:f>
        <x:v>117.99968375716887</x:v>
      </x:c>
      <x:c r="M648" s="21" t="n">
        <x:f>L648*'情景参数模板'!$D$31</x:f>
        <x:v>141.59962050860264</x:v>
      </x:c>
      <x:c r="N648" s="21" t="n">
        <x:f>IF(C648="source",'情景参数模板'!$D$12,IF(H648="echelon",'情景参数模板'!$D$13,'情景参数模板'!$D$14))</x:f>
        <x:v>0.49</x:v>
      </x:c>
      <x:c r="O648" s="21" t="n">
        <x:f>IF(C648="source",'情景参数模板'!$D$18,IF(H648="echelon",'情景参数模板'!$D$19,'情景参数模板'!$D$20))</x:f>
        <x:v>300</x:v>
      </x:c>
      <x:c r="P648" s="17" t="n">
        <x:f>IF(M648&lt;=O648,1,0)</x:f>
        <x:v>1</x:v>
      </x:c>
      <x:c r="Q648" s="17" t="str">
        <x:v>D-road proxy; B-coordinates</x:v>
      </x:c>
    </x:row>
    <x:row r="649">
      <x:c r="A649" s="17" t="str">
        <x:v>A0645</x:v>
      </x:c>
      <x:c r="B649" s="17" t="str">
        <x:v>C09</x:v>
      </x:c>
      <x:c r="C649" s="17" t="str">
        <x:v>collection</x:v>
      </x:c>
      <x:c r="D649" s="17" t="str">
        <x:v>惠州虚拟回收/检测中心</x:v>
      </x:c>
      <x:c r="E649" s="24" t="n">
        <x:v>114.4127007</x:v>
      </x:c>
      <x:c r="F649" s="24" t="n">
        <x:v>23.1125153</x:v>
      </x:c>
      <x:c r="G649" s="17" t="str">
        <x:v>P11</x:v>
      </x:c>
      <x:c r="H649" s="17" t="str">
        <x:v>echelon</x:v>
      </x:c>
      <x:c r="I649" s="17" t="str">
        <x:v>深圳市杰成镍钴新能源科技有限公司</x:v>
      </x:c>
      <x:c r="J649" s="24" t="n">
        <x:v>114.0545429</x:v>
      </x:c>
      <x:c r="K649" s="24" t="n">
        <x:v>22.5445741</x:v>
      </x:c>
      <x:c r="L649" s="21" t="n">
        <x:f>6371*ACOS(MIN(1,COS(F649*PI()/180)*COS(K649*PI()/180)*COS((J649-E649)*PI()/180)+SIN(F649*PI()/180)*SIN(K649*PI()/180)))</x:f>
        <x:v>73.04448557045887</x:v>
      </x:c>
      <x:c r="M649" s="21" t="n">
        <x:f>L649*'情景参数模板'!$D$31</x:f>
        <x:v>87.65338268455065</x:v>
      </x:c>
      <x:c r="N649" s="21" t="n">
        <x:f>IF(C649="source",'情景参数模板'!$D$12,IF(H649="echelon",'情景参数模板'!$D$13,'情景参数模板'!$D$14))</x:f>
        <x:v>0.49</x:v>
      </x:c>
      <x:c r="O649" s="21" t="n">
        <x:f>IF(C649="source",'情景参数模板'!$D$18,IF(H649="echelon",'情景参数模板'!$D$19,'情景参数模板'!$D$20))</x:f>
        <x:v>300</x:v>
      </x:c>
      <x:c r="P649" s="17" t="n">
        <x:f>IF(M649&lt;=O649,1,0)</x:f>
        <x:v>1</x:v>
      </x:c>
      <x:c r="Q649" s="17" t="str">
        <x:v>D-road proxy; B-coordinates</x:v>
      </x:c>
    </x:row>
    <x:row r="650">
      <x:c r="A650" s="17" t="str">
        <x:v>A0646</x:v>
      </x:c>
      <x:c r="B650" s="17" t="str">
        <x:v>C09</x:v>
      </x:c>
      <x:c r="C650" s="17" t="str">
        <x:v>collection</x:v>
      </x:c>
      <x:c r="D650" s="17" t="str">
        <x:v>惠州虚拟回收/检测中心</x:v>
      </x:c>
      <x:c r="E650" s="24" t="n">
        <x:v>114.4127007</x:v>
      </x:c>
      <x:c r="F650" s="24" t="n">
        <x:v>23.1125153</x:v>
      </x:c>
      <x:c r="G650" s="17" t="str">
        <x:v>P12</x:v>
      </x:c>
      <x:c r="H650" s="17" t="str">
        <x:v>recycling</x:v>
      </x:c>
      <x:c r="I650" s="17" t="str">
        <x:v>江门市恒创睿能环保科技有限公司</x:v>
      </x:c>
      <x:c r="J650" s="24" t="n">
        <x:v>113.0761073</x:v>
      </x:c>
      <x:c r="K650" s="24" t="n">
        <x:v>22.5816619</x:v>
      </x:c>
      <x:c r="L650" s="21" t="n">
        <x:f>6371*ACOS(MIN(1,COS(F650*PI()/180)*COS(K650*PI()/180)*COS((J650-E650)*PI()/180)+SIN(F650*PI()/180)*SIN(K650*PI()/180)))</x:f>
        <x:v>149.1396078501504</x:v>
      </x:c>
      <x:c r="M650" s="21" t="n">
        <x:f>L650*'情景参数模板'!$D$31</x:f>
        <x:v>178.96752942018048</x:v>
      </x:c>
      <x:c r="N650" s="21" t="n">
        <x:f>IF(C650="source",'情景参数模板'!$D$12,IF(H650="echelon",'情景参数模板'!$D$13,'情景参数模板'!$D$14))</x:f>
        <x:v>0.49</x:v>
      </x:c>
      <x:c r="O650" s="21" t="n">
        <x:f>IF(C650="source",'情景参数模板'!$D$18,IF(H650="echelon",'情景参数模板'!$D$19,'情景参数模板'!$D$20))</x:f>
        <x:v>400</x:v>
      </x:c>
      <x:c r="P650" s="17" t="n">
        <x:f>IF(M650&lt;=O650,1,0)</x:f>
        <x:v>1</x:v>
      </x:c>
      <x:c r="Q650" s="17" t="str">
        <x:v>D-road proxy; B-coordinates</x:v>
      </x:c>
    </x:row>
    <x:row r="651">
      <x:c r="A651" s="17" t="str">
        <x:v>A0647</x:v>
      </x:c>
      <x:c r="B651" s="17" t="str">
        <x:v>C09</x:v>
      </x:c>
      <x:c r="C651" s="17" t="str">
        <x:v>collection</x:v>
      </x:c>
      <x:c r="D651" s="17" t="str">
        <x:v>惠州虚拟回收/检测中心</x:v>
      </x:c>
      <x:c r="E651" s="24" t="n">
        <x:v>114.4127007</x:v>
      </x:c>
      <x:c r="F651" s="24" t="n">
        <x:v>23.1125153</x:v>
      </x:c>
      <x:c r="G651" s="17" t="str">
        <x:v>P13</x:v>
      </x:c>
      <x:c r="H651" s="17" t="str">
        <x:v>recycling</x:v>
      </x:c>
      <x:c r="I651" s="17" t="str">
        <x:v>广东佳纳能源科技有限公司</x:v>
      </x:c>
      <x:c r="J651" s="24" t="n">
        <x:v>113.0505994</x:v>
      </x:c>
      <x:c r="K651" s="24" t="n">
        <x:v>23.6832984</x:v>
      </x:c>
      <x:c r="L651" s="21" t="n">
        <x:f>6371*ACOS(MIN(1,COS(F651*PI()/180)*COS(K651*PI()/180)*COS((J651-E651)*PI()/180)+SIN(F651*PI()/180)*SIN(K651*PI()/180)))</x:f>
        <x:v>152.80699130297583</x:v>
      </x:c>
      <x:c r="M651" s="21" t="n">
        <x:f>L651*'情景参数模板'!$D$31</x:f>
        <x:v>183.368389563571</x:v>
      </x:c>
      <x:c r="N651" s="21" t="n">
        <x:f>IF(C651="source",'情景参数模板'!$D$12,IF(H651="echelon",'情景参数模板'!$D$13,'情景参数模板'!$D$14))</x:f>
        <x:v>0.49</x:v>
      </x:c>
      <x:c r="O651" s="21" t="n">
        <x:f>IF(C651="source",'情景参数模板'!$D$18,IF(H651="echelon",'情景参数模板'!$D$19,'情景参数模板'!$D$20))</x:f>
        <x:v>400</x:v>
      </x:c>
      <x:c r="P651" s="17" t="n">
        <x:f>IF(M651&lt;=O651,1,0)</x:f>
        <x:v>1</x:v>
      </x:c>
      <x:c r="Q651" s="17" t="str">
        <x:v>D-road proxy; B-coordinates</x:v>
      </x:c>
    </x:row>
    <x:row r="652">
      <x:c r="A652" s="17" t="str">
        <x:v>A0648</x:v>
      </x:c>
      <x:c r="B652" s="17" t="str">
        <x:v>C09</x:v>
      </x:c>
      <x:c r="C652" s="17" t="str">
        <x:v>collection</x:v>
      </x:c>
      <x:c r="D652" s="17" t="str">
        <x:v>惠州虚拟回收/检测中心</x:v>
      </x:c>
      <x:c r="E652" s="24" t="n">
        <x:v>114.4127007</x:v>
      </x:c>
      <x:c r="F652" s="24" t="n">
        <x:v>23.1125153</x:v>
      </x:c>
      <x:c r="G652" s="17" t="str">
        <x:v>P14</x:v>
      </x:c>
      <x:c r="H652" s="17" t="str">
        <x:v>echelon</x:v>
      </x:c>
      <x:c r="I652" s="17" t="str">
        <x:v>格林美（深圳）循环科技有限公司</x:v>
      </x:c>
      <x:c r="J652" s="24" t="n">
        <x:v>114.0545429</x:v>
      </x:c>
      <x:c r="K652" s="24" t="n">
        <x:v>22.5445741</x:v>
      </x:c>
      <x:c r="L652" s="21" t="n">
        <x:f>6371*ACOS(MIN(1,COS(F652*PI()/180)*COS(K652*PI()/180)*COS((J652-E652)*PI()/180)+SIN(F652*PI()/180)*SIN(K652*PI()/180)))</x:f>
        <x:v>73.04448557045887</x:v>
      </x:c>
      <x:c r="M652" s="21" t="n">
        <x:f>L652*'情景参数模板'!$D$31</x:f>
        <x:v>87.65338268455065</x:v>
      </x:c>
      <x:c r="N652" s="21" t="n">
        <x:f>IF(C652="source",'情景参数模板'!$D$12,IF(H652="echelon",'情景参数模板'!$D$13,'情景参数模板'!$D$14))</x:f>
        <x:v>0.49</x:v>
      </x:c>
      <x:c r="O652" s="21" t="n">
        <x:f>IF(C652="source",'情景参数模板'!$D$18,IF(H652="echelon",'情景参数模板'!$D$19,'情景参数模板'!$D$20))</x:f>
        <x:v>300</x:v>
      </x:c>
      <x:c r="P652" s="17" t="n">
        <x:f>IF(M652&lt;=O652,1,0)</x:f>
        <x:v>1</x:v>
      </x:c>
      <x:c r="Q652" s="17" t="str">
        <x:v>D-road proxy; B-coordinates</x:v>
      </x:c>
    </x:row>
    <x:row r="653">
      <x:c r="A653" s="17" t="str">
        <x:v>A0649</x:v>
      </x:c>
      <x:c r="B653" s="17" t="str">
        <x:v>C09</x:v>
      </x:c>
      <x:c r="C653" s="17" t="str">
        <x:v>collection</x:v>
      </x:c>
      <x:c r="D653" s="17" t="str">
        <x:v>惠州虚拟回收/检测中心</x:v>
      </x:c>
      <x:c r="E653" s="24" t="n">
        <x:v>114.4127007</x:v>
      </x:c>
      <x:c r="F653" s="24" t="n">
        <x:v>23.1125153</x:v>
      </x:c>
      <x:c r="G653" s="17" t="str">
        <x:v>P15</x:v>
      </x:c>
      <x:c r="H653" s="17" t="str">
        <x:v>echelon</x:v>
      </x:c>
      <x:c r="I653" s="17" t="str">
        <x:v>绿循新能源科技（佛山）有限责任公司</x:v>
      </x:c>
      <x:c r="J653" s="24" t="n">
        <x:v>113.1159558</x:v>
      </x:c>
      <x:c r="K653" s="24" t="n">
        <x:v>23.0239788</x:v>
      </x:c>
      <x:c r="L653" s="21" t="n">
        <x:f>6371*ACOS(MIN(1,COS(F653*PI()/180)*COS(K653*PI()/180)*COS((J653-E653)*PI()/180)+SIN(F653*PI()/180)*SIN(K653*PI()/180)))</x:f>
        <x:v>133.0260660496842</x:v>
      </x:c>
      <x:c r="M653" s="21" t="n">
        <x:f>L653*'情景参数模板'!$D$31</x:f>
        <x:v>159.63127925962104</x:v>
      </x:c>
      <x:c r="N653" s="21" t="n">
        <x:f>IF(C653="source",'情景参数模板'!$D$12,IF(H653="echelon",'情景参数模板'!$D$13,'情景参数模板'!$D$14))</x:f>
        <x:v>0.49</x:v>
      </x:c>
      <x:c r="O653" s="21" t="n">
        <x:f>IF(C653="source",'情景参数模板'!$D$18,IF(H653="echelon",'情景参数模板'!$D$19,'情景参数模板'!$D$20))</x:f>
        <x:v>300</x:v>
      </x:c>
      <x:c r="P653" s="17" t="n">
        <x:f>IF(M653&lt;=O653,1,0)</x:f>
        <x:v>1</x:v>
      </x:c>
      <x:c r="Q653" s="17" t="str">
        <x:v>D-road proxy; B-coordinates</x:v>
      </x:c>
    </x:row>
    <x:row r="654">
      <x:c r="A654" s="17" t="str">
        <x:v>A0650</x:v>
      </x:c>
      <x:c r="B654" s="17" t="str">
        <x:v>C09</x:v>
      </x:c>
      <x:c r="C654" s="17" t="str">
        <x:v>collection</x:v>
      </x:c>
      <x:c r="D654" s="17" t="str">
        <x:v>惠州虚拟回收/检测中心</x:v>
      </x:c>
      <x:c r="E654" s="24" t="n">
        <x:v>114.4127007</x:v>
      </x:c>
      <x:c r="F654" s="24" t="n">
        <x:v>23.1125153</x:v>
      </x:c>
      <x:c r="G654" s="17" t="str">
        <x:v>P16</x:v>
      </x:c>
      <x:c r="H654" s="17" t="str">
        <x:v>echelon</x:v>
      </x:c>
      <x:c r="I654" s="17" t="str">
        <x:v>深圳艾云动智慧科技有限公司</x:v>
      </x:c>
      <x:c r="J654" s="24" t="n">
        <x:v>114.0545429</x:v>
      </x:c>
      <x:c r="K654" s="24" t="n">
        <x:v>22.5445741</x:v>
      </x:c>
      <x:c r="L654" s="21" t="n">
        <x:f>6371*ACOS(MIN(1,COS(F654*PI()/180)*COS(K654*PI()/180)*COS((J654-E654)*PI()/180)+SIN(F654*PI()/180)*SIN(K654*PI()/180)))</x:f>
        <x:v>73.04448557045887</x:v>
      </x:c>
      <x:c r="M654" s="21" t="n">
        <x:f>L654*'情景参数模板'!$D$31</x:f>
        <x:v>87.65338268455065</x:v>
      </x:c>
      <x:c r="N654" s="21" t="n">
        <x:f>IF(C654="source",'情景参数模板'!$D$12,IF(H654="echelon",'情景参数模板'!$D$13,'情景参数模板'!$D$14))</x:f>
        <x:v>0.49</x:v>
      </x:c>
      <x:c r="O654" s="21" t="n">
        <x:f>IF(C654="source",'情景参数模板'!$D$18,IF(H654="echelon",'情景参数模板'!$D$19,'情景参数模板'!$D$20))</x:f>
        <x:v>300</x:v>
      </x:c>
      <x:c r="P654" s="17" t="n">
        <x:f>IF(M654&lt;=O654,1,0)</x:f>
        <x:v>1</x:v>
      </x:c>
      <x:c r="Q654" s="17" t="str">
        <x:v>D-road proxy; B-coordinates</x:v>
      </x:c>
    </x:row>
    <x:row r="655">
      <x:c r="A655" s="17" t="str">
        <x:v>A0651</x:v>
      </x:c>
      <x:c r="B655" s="17" t="str">
        <x:v>C09</x:v>
      </x:c>
      <x:c r="C655" s="17" t="str">
        <x:v>collection</x:v>
      </x:c>
      <x:c r="D655" s="17" t="str">
        <x:v>惠州虚拟回收/检测中心</x:v>
      </x:c>
      <x:c r="E655" s="24" t="n">
        <x:v>114.4127007</x:v>
      </x:c>
      <x:c r="F655" s="24" t="n">
        <x:v>23.1125153</x:v>
      </x:c>
      <x:c r="G655" s="17" t="str">
        <x:v>P17</x:v>
      </x:c>
      <x:c r="H655" s="17" t="str">
        <x:v>echelon</x:v>
      </x:c>
      <x:c r="I655" s="17" t="str">
        <x:v>深圳市荣高晟新能源科技有限公司</x:v>
      </x:c>
      <x:c r="J655" s="24" t="n">
        <x:v>114.0545429</x:v>
      </x:c>
      <x:c r="K655" s="24" t="n">
        <x:v>22.5445741</x:v>
      </x:c>
      <x:c r="L655" s="21" t="n">
        <x:f>6371*ACOS(MIN(1,COS(F655*PI()/180)*COS(K655*PI()/180)*COS((J655-E655)*PI()/180)+SIN(F655*PI()/180)*SIN(K655*PI()/180)))</x:f>
        <x:v>73.04448557045887</x:v>
      </x:c>
      <x:c r="M655" s="21" t="n">
        <x:f>L655*'情景参数模板'!$D$31</x:f>
        <x:v>87.65338268455065</x:v>
      </x:c>
      <x:c r="N655" s="21" t="n">
        <x:f>IF(C655="source",'情景参数模板'!$D$12,IF(H655="echelon",'情景参数模板'!$D$13,'情景参数模板'!$D$14))</x:f>
        <x:v>0.49</x:v>
      </x:c>
      <x:c r="O655" s="21" t="n">
        <x:f>IF(C655="source",'情景参数模板'!$D$18,IF(H655="echelon",'情景参数模板'!$D$19,'情景参数模板'!$D$20))</x:f>
        <x:v>300</x:v>
      </x:c>
      <x:c r="P655" s="17" t="n">
        <x:f>IF(M655&lt;=O655,1,0)</x:f>
        <x:v>1</x:v>
      </x:c>
      <x:c r="Q655" s="17" t="str">
        <x:v>D-road proxy; B-coordinates</x:v>
      </x:c>
    </x:row>
    <x:row r="656">
      <x:c r="A656" s="17" t="str">
        <x:v>A0652</x:v>
      </x:c>
      <x:c r="B656" s="17" t="str">
        <x:v>C09</x:v>
      </x:c>
      <x:c r="C656" s="17" t="str">
        <x:v>collection</x:v>
      </x:c>
      <x:c r="D656" s="17" t="str">
        <x:v>惠州虚拟回收/检测中心</x:v>
      </x:c>
      <x:c r="E656" s="24" t="n">
        <x:v>114.4127007</x:v>
      </x:c>
      <x:c r="F656" s="24" t="n">
        <x:v>23.1125153</x:v>
      </x:c>
      <x:c r="G656" s="17" t="str">
        <x:v>P18</x:v>
      </x:c>
      <x:c r="H656" s="17" t="str">
        <x:v>echelon</x:v>
      </x:c>
      <x:c r="I656" s="17" t="str">
        <x:v>中商锂新能源科技（惠州）有限公司</x:v>
      </x:c>
      <x:c r="J656" s="24" t="n">
        <x:v>114.4127007</x:v>
      </x:c>
      <x:c r="K656" s="24" t="n">
        <x:v>23.1125153</x:v>
      </x:c>
      <x:c r="L656" s="21" t="n">
        <x:f>6371*ACOS(MIN(1,COS(F656*PI()/180)*COS(K656*PI()/180)*COS((J656-E656)*PI()/180)+SIN(F656*PI()/180)*SIN(K656*PI()/180)))</x:f>
        <x:v>0</x:v>
      </x:c>
      <x:c r="M656" s="21" t="n">
        <x:f>L656*'情景参数模板'!$D$31</x:f>
        <x:v>0</x:v>
      </x:c>
      <x:c r="N656" s="21" t="n">
        <x:f>IF(C656="source",'情景参数模板'!$D$12,IF(H656="echelon",'情景参数模板'!$D$13,'情景参数模板'!$D$14))</x:f>
        <x:v>0.49</x:v>
      </x:c>
      <x:c r="O656" s="21" t="n">
        <x:f>IF(C656="source",'情景参数模板'!$D$18,IF(H656="echelon",'情景参数模板'!$D$19,'情景参数模板'!$D$20))</x:f>
        <x:v>300</x:v>
      </x:c>
      <x:c r="P656" s="17" t="n">
        <x:f>IF(M656&lt;=O656,1,0)</x:f>
        <x:v>1</x:v>
      </x:c>
      <x:c r="Q656" s="17" t="str">
        <x:v>D-road proxy; B-coordinates</x:v>
      </x:c>
    </x:row>
    <x:row r="657">
      <x:c r="A657" s="17" t="str">
        <x:v>A0653</x:v>
      </x:c>
      <x:c r="B657" s="17" t="str">
        <x:v>C09</x:v>
      </x:c>
      <x:c r="C657" s="17" t="str">
        <x:v>collection</x:v>
      </x:c>
      <x:c r="D657" s="17" t="str">
        <x:v>惠州虚拟回收/检测中心</x:v>
      </x:c>
      <x:c r="E657" s="24" t="n">
        <x:v>114.4127007</x:v>
      </x:c>
      <x:c r="F657" s="24" t="n">
        <x:v>23.1125153</x:v>
      </x:c>
      <x:c r="G657" s="17" t="str">
        <x:v>P19</x:v>
      </x:c>
      <x:c r="H657" s="17" t="str">
        <x:v>recycling</x:v>
      </x:c>
      <x:c r="I657" s="17" t="str">
        <x:v>广东盛祥新材料科技有限公司</x:v>
      </x:c>
      <x:c r="J657" s="24" t="n">
        <x:v>113.8155263</x:v>
      </x:c>
      <x:c r="K657" s="24" t="n">
        <x:v>24.8309489</x:v>
      </x:c>
      <x:c r="L657" s="21" t="n">
        <x:f>6371*ACOS(MIN(1,COS(F657*PI()/180)*COS(K657*PI()/180)*COS((J657-E657)*PI()/180)+SIN(F657*PI()/180)*SIN(K657*PI()/180)))</x:f>
        <x:v>200.4819895915133</x:v>
      </x:c>
      <x:c r="M657" s="21" t="n">
        <x:f>L657*'情景参数模板'!$D$31</x:f>
        <x:v>240.57838750981594</x:v>
      </x:c>
      <x:c r="N657" s="21" t="n">
        <x:f>IF(C657="source",'情景参数模板'!$D$12,IF(H657="echelon",'情景参数模板'!$D$13,'情景参数模板'!$D$14))</x:f>
        <x:v>0.49</x:v>
      </x:c>
      <x:c r="O657" s="21" t="n">
        <x:f>IF(C657="source",'情景参数模板'!$D$18,IF(H657="echelon",'情景参数模板'!$D$19,'情景参数模板'!$D$20))</x:f>
        <x:v>400</x:v>
      </x:c>
      <x:c r="P657" s="17" t="n">
        <x:f>IF(M657&lt;=O657,1,0)</x:f>
        <x:v>1</x:v>
      </x:c>
      <x:c r="Q657" s="17" t="str">
        <x:v>D-road proxy; B-coordinates</x:v>
      </x:c>
    </x:row>
    <x:row r="658">
      <x:c r="A658" s="17" t="str">
        <x:v>A0654</x:v>
      </x:c>
      <x:c r="B658" s="17" t="str">
        <x:v>C09</x:v>
      </x:c>
      <x:c r="C658" s="17" t="str">
        <x:v>collection</x:v>
      </x:c>
      <x:c r="D658" s="17" t="str">
        <x:v>惠州虚拟回收/检测中心</x:v>
      </x:c>
      <x:c r="E658" s="24" t="n">
        <x:v>114.4127007</x:v>
      </x:c>
      <x:c r="F658" s="24" t="n">
        <x:v>23.1125153</x:v>
      </x:c>
      <x:c r="G658" s="17" t="str">
        <x:v>P20E</x:v>
      </x:c>
      <x:c r="H658" s="17" t="str">
        <x:v>echelon</x:v>
      </x:c>
      <x:c r="I658" s="17" t="str">
        <x:v>广东金晟新能源股份有限公司（梯次功能）</x:v>
      </x:c>
      <x:c r="J658" s="24" t="n">
        <x:v>112.4603629</x:v>
      </x:c>
      <x:c r="K658" s="24" t="n">
        <x:v>23.0501661</x:v>
      </x:c>
      <x:c r="L658" s="21" t="n">
        <x:f>6371*ACOS(MIN(1,COS(F658*PI()/180)*COS(K658*PI()/180)*COS((J658-E658)*PI()/180)+SIN(F658*PI()/180)*SIN(K658*PI()/180)))</x:f>
        <x:v>199.83063084164635</x:v>
      </x:c>
      <x:c r="M658" s="21" t="n">
        <x:f>L658*'情景参数模板'!$D$31</x:f>
        <x:v>239.7967570099756</x:v>
      </x:c>
      <x:c r="N658" s="21" t="n">
        <x:f>IF(C658="source",'情景参数模板'!$D$12,IF(H658="echelon",'情景参数模板'!$D$13,'情景参数模板'!$D$14))</x:f>
        <x:v>0.49</x:v>
      </x:c>
      <x:c r="O658" s="21" t="n">
        <x:f>IF(C658="source",'情景参数模板'!$D$18,IF(H658="echelon",'情景参数模板'!$D$19,'情景参数模板'!$D$20))</x:f>
        <x:v>300</x:v>
      </x:c>
      <x:c r="P658" s="17" t="n">
        <x:f>IF(M658&lt;=O658,1,0)</x:f>
        <x:v>1</x:v>
      </x:c>
      <x:c r="Q658" s="17" t="str">
        <x:v>D-road proxy; B-coordinates</x:v>
      </x:c>
    </x:row>
    <x:row r="659">
      <x:c r="A659" s="17" t="str">
        <x:v>A0655</x:v>
      </x:c>
      <x:c r="B659" s="17" t="str">
        <x:v>C09</x:v>
      </x:c>
      <x:c r="C659" s="17" t="str">
        <x:v>collection</x:v>
      </x:c>
      <x:c r="D659" s="17" t="str">
        <x:v>惠州虚拟回收/检测中心</x:v>
      </x:c>
      <x:c r="E659" s="24" t="n">
        <x:v>114.4127007</x:v>
      </x:c>
      <x:c r="F659" s="24" t="n">
        <x:v>23.1125153</x:v>
      </x:c>
      <x:c r="G659" s="17" t="str">
        <x:v>P20R</x:v>
      </x:c>
      <x:c r="H659" s="17" t="str">
        <x:v>recycling</x:v>
      </x:c>
      <x:c r="I659" s="17" t="str">
        <x:v>广东金晟新能源股份有限公司（再生功能）</x:v>
      </x:c>
      <x:c r="J659" s="24" t="n">
        <x:v>112.4603629</x:v>
      </x:c>
      <x:c r="K659" s="24" t="n">
        <x:v>23.0501661</x:v>
      </x:c>
      <x:c r="L659" s="21" t="n">
        <x:f>6371*ACOS(MIN(1,COS(F659*PI()/180)*COS(K659*PI()/180)*COS((J659-E659)*PI()/180)+SIN(F659*PI()/180)*SIN(K659*PI()/180)))</x:f>
        <x:v>199.83063084164635</x:v>
      </x:c>
      <x:c r="M659" s="21" t="n">
        <x:f>L659*'情景参数模板'!$D$31</x:f>
        <x:v>239.7967570099756</x:v>
      </x:c>
      <x:c r="N659" s="21" t="n">
        <x:f>IF(C659="source",'情景参数模板'!$D$12,IF(H659="echelon",'情景参数模板'!$D$13,'情景参数模板'!$D$14))</x:f>
        <x:v>0.49</x:v>
      </x:c>
      <x:c r="O659" s="21" t="n">
        <x:f>IF(C659="source",'情景参数模板'!$D$18,IF(H659="echelon",'情景参数模板'!$D$19,'情景参数模板'!$D$20))</x:f>
        <x:v>400</x:v>
      </x:c>
      <x:c r="P659" s="17" t="n">
        <x:f>IF(M659&lt;=O659,1,0)</x:f>
        <x:v>1</x:v>
      </x:c>
      <x:c r="Q659" s="17" t="str">
        <x:v>D-road proxy; B-coordinates</x:v>
      </x:c>
    </x:row>
    <x:row r="660">
      <x:c r="A660" s="17" t="str">
        <x:v>A0656</x:v>
      </x:c>
      <x:c r="B660" s="17" t="str">
        <x:v>C09</x:v>
      </x:c>
      <x:c r="C660" s="17" t="str">
        <x:v>collection</x:v>
      </x:c>
      <x:c r="D660" s="17" t="str">
        <x:v>惠州虚拟回收/检测中心</x:v>
      </x:c>
      <x:c r="E660" s="24" t="n">
        <x:v>114.4127007</x:v>
      </x:c>
      <x:c r="F660" s="24" t="n">
        <x:v>23.1125153</x:v>
      </x:c>
      <x:c r="G660" s="17" t="str">
        <x:v>P21E</x:v>
      </x:c>
      <x:c r="H660" s="17" t="str">
        <x:v>echelon</x:v>
      </x:c>
      <x:c r="I660" s="17" t="str">
        <x:v>广东瑞科美电源技术有限公司（梯次功能）</x:v>
      </x:c>
      <x:c r="J660" s="24" t="n">
        <x:v>113.1159558</x:v>
      </x:c>
      <x:c r="K660" s="24" t="n">
        <x:v>23.0239788</x:v>
      </x:c>
      <x:c r="L660" s="21" t="n">
        <x:f>6371*ACOS(MIN(1,COS(F660*PI()/180)*COS(K660*PI()/180)*COS((J660-E660)*PI()/180)+SIN(F660*PI()/180)*SIN(K660*PI()/180)))</x:f>
        <x:v>133.0260660496842</x:v>
      </x:c>
      <x:c r="M660" s="21" t="n">
        <x:f>L660*'情景参数模板'!$D$31</x:f>
        <x:v>159.63127925962104</x:v>
      </x:c>
      <x:c r="N660" s="21" t="n">
        <x:f>IF(C660="source",'情景参数模板'!$D$12,IF(H660="echelon",'情景参数模板'!$D$13,'情景参数模板'!$D$14))</x:f>
        <x:v>0.49</x:v>
      </x:c>
      <x:c r="O660" s="21" t="n">
        <x:f>IF(C660="source",'情景参数模板'!$D$18,IF(H660="echelon",'情景参数模板'!$D$19,'情景参数模板'!$D$20))</x:f>
        <x:v>300</x:v>
      </x:c>
      <x:c r="P660" s="17" t="n">
        <x:f>IF(M660&lt;=O660,1,0)</x:f>
        <x:v>1</x:v>
      </x:c>
      <x:c r="Q660" s="17" t="str">
        <x:v>D-road proxy; B-coordinates</x:v>
      </x:c>
    </x:row>
    <x:row r="661">
      <x:c r="A661" s="17" t="str">
        <x:v>A0657</x:v>
      </x:c>
      <x:c r="B661" s="17" t="str">
        <x:v>C09</x:v>
      </x:c>
      <x:c r="C661" s="17" t="str">
        <x:v>collection</x:v>
      </x:c>
      <x:c r="D661" s="17" t="str">
        <x:v>惠州虚拟回收/检测中心</x:v>
      </x:c>
      <x:c r="E661" s="24" t="n">
        <x:v>114.4127007</x:v>
      </x:c>
      <x:c r="F661" s="24" t="n">
        <x:v>23.1125153</x:v>
      </x:c>
      <x:c r="G661" s="17" t="str">
        <x:v>P21R</x:v>
      </x:c>
      <x:c r="H661" s="17" t="str">
        <x:v>recycling</x:v>
      </x:c>
      <x:c r="I661" s="17" t="str">
        <x:v>广东瑞科美电源技术有限公司（再生功能）</x:v>
      </x:c>
      <x:c r="J661" s="24" t="n">
        <x:v>113.1159558</x:v>
      </x:c>
      <x:c r="K661" s="24" t="n">
        <x:v>23.0239788</x:v>
      </x:c>
      <x:c r="L661" s="21" t="n">
        <x:f>6371*ACOS(MIN(1,COS(F661*PI()/180)*COS(K661*PI()/180)*COS((J661-E661)*PI()/180)+SIN(F661*PI()/180)*SIN(K661*PI()/180)))</x:f>
        <x:v>133.0260660496842</x:v>
      </x:c>
      <x:c r="M661" s="21" t="n">
        <x:f>L661*'情景参数模板'!$D$31</x:f>
        <x:v>159.63127925962104</x:v>
      </x:c>
      <x:c r="N661" s="21" t="n">
        <x:f>IF(C661="source",'情景参数模板'!$D$12,IF(H661="echelon",'情景参数模板'!$D$13,'情景参数模板'!$D$14))</x:f>
        <x:v>0.49</x:v>
      </x:c>
      <x:c r="O661" s="21" t="n">
        <x:f>IF(C661="source",'情景参数模板'!$D$18,IF(H661="echelon",'情景参数模板'!$D$19,'情景参数模板'!$D$20))</x:f>
        <x:v>400</x:v>
      </x:c>
      <x:c r="P661" s="17" t="n">
        <x:f>IF(M661&lt;=O661,1,0)</x:f>
        <x:v>1</x:v>
      </x:c>
      <x:c r="Q661" s="17" t="str">
        <x:v>D-road proxy; B-coordinates</x:v>
      </x:c>
    </x:row>
    <x:row r="662">
      <x:c r="A662" s="17" t="str">
        <x:v>A0658</x:v>
      </x:c>
      <x:c r="B662" s="17" t="str">
        <x:v>C10</x:v>
      </x:c>
      <x:c r="C662" s="17" t="str">
        <x:v>collection</x:v>
      </x:c>
      <x:c r="D662" s="17" t="str">
        <x:v>汕尾虚拟回收/检测中心</x:v>
      </x:c>
      <x:c r="E662" s="24" t="n">
        <x:v>115.5099937</x:v>
      </x:c>
      <x:c r="F662" s="24" t="n">
        <x:v>23.0123639</x:v>
      </x:c>
      <x:c r="G662" s="17" t="str">
        <x:v>P01</x:v>
      </x:c>
      <x:c r="H662" s="17" t="str">
        <x:v>recycling</x:v>
      </x:c>
      <x:c r="I662" s="17" t="str">
        <x:v>汕尾比亚迪废旧动力电池回收项目</x:v>
      </x:c>
      <x:c r="J662" s="24" t="n">
        <x:v>115.3492668</x:v>
      </x:c>
      <x:c r="K662" s="24" t="n">
        <x:v>22.838065</x:v>
      </x:c>
      <x:c r="L662" s="21" t="n">
        <x:f>6371*ACOS(MIN(1,COS(F662*PI()/180)*COS(K662*PI()/180)*COS((J662-E662)*PI()/180)+SIN(F662*PI()/180)*SIN(K662*PI()/180)))</x:f>
        <x:v>25.427795943356234</x:v>
      </x:c>
      <x:c r="M662" s="21" t="n">
        <x:f>L662*'情景参数模板'!$D$31</x:f>
        <x:v>30.513355132027478</x:v>
      </x:c>
      <x:c r="N662" s="21" t="n">
        <x:f>IF(C662="source",'情景参数模板'!$D$12,IF(H662="echelon",'情景参数模板'!$D$13,'情景参数模板'!$D$14))</x:f>
        <x:v>0.49</x:v>
      </x:c>
      <x:c r="O662" s="21" t="n">
        <x:f>IF(C662="source",'情景参数模板'!$D$18,IF(H662="echelon",'情景参数模板'!$D$19,'情景参数模板'!$D$20))</x:f>
        <x:v>400</x:v>
      </x:c>
      <x:c r="P662" s="17" t="n">
        <x:f>IF(M662&lt;=O662,1,0)</x:f>
        <x:v>1</x:v>
      </x:c>
      <x:c r="Q662" s="17" t="str">
        <x:v>D-road proxy; B-coordinates</x:v>
      </x:c>
    </x:row>
    <x:row r="663">
      <x:c r="A663" s="17" t="str">
        <x:v>A0659</x:v>
      </x:c>
      <x:c r="B663" s="17" t="str">
        <x:v>C10</x:v>
      </x:c>
      <x:c r="C663" s="17" t="str">
        <x:v>collection</x:v>
      </x:c>
      <x:c r="D663" s="17" t="str">
        <x:v>汕尾虚拟回收/检测中心</x:v>
      </x:c>
      <x:c r="E663" s="24" t="n">
        <x:v>115.5099937</x:v>
      </x:c>
      <x:c r="F663" s="24" t="n">
        <x:v>23.0123639</x:v>
      </x:c>
      <x:c r="G663" s="17" t="str">
        <x:v>P02E</x:v>
      </x:c>
      <x:c r="H663" s="17" t="str">
        <x:v>echelon</x:v>
      </x:c>
      <x:c r="I663" s="17" t="str">
        <x:v>广东光华科技股份有限公司（梯次功能）</x:v>
      </x:c>
      <x:c r="J663" s="24" t="n">
        <x:v>116.6775856</x:v>
      </x:c>
      <x:c r="K663" s="24" t="n">
        <x:v>23.3563921</x:v>
      </x:c>
      <x:c r="L663" s="21" t="n">
        <x:f>6371*ACOS(MIN(1,COS(F663*PI()/180)*COS(K663*PI()/180)*COS((J663-E663)*PI()/180)+SIN(F663*PI()/180)*SIN(K663*PI()/180)))</x:f>
        <x:v>125.32598093140014</x:v>
      </x:c>
      <x:c r="M663" s="21" t="n">
        <x:f>L663*'情景参数模板'!$D$31</x:f>
        <x:v>150.39117711768017</x:v>
      </x:c>
      <x:c r="N663" s="21" t="n">
        <x:f>IF(C663="source",'情景参数模板'!$D$12,IF(H663="echelon",'情景参数模板'!$D$13,'情景参数模板'!$D$14))</x:f>
        <x:v>0.49</x:v>
      </x:c>
      <x:c r="O663" s="21" t="n">
        <x:f>IF(C663="source",'情景参数模板'!$D$18,IF(H663="echelon",'情景参数模板'!$D$19,'情景参数模板'!$D$20))</x:f>
        <x:v>300</x:v>
      </x:c>
      <x:c r="P663" s="17" t="n">
        <x:f>IF(M663&lt;=O663,1,0)</x:f>
        <x:v>1</x:v>
      </x:c>
      <x:c r="Q663" s="17" t="str">
        <x:v>D-road proxy; B-coordinates</x:v>
      </x:c>
    </x:row>
    <x:row r="664">
      <x:c r="A664" s="17" t="str">
        <x:v>A0660</x:v>
      </x:c>
      <x:c r="B664" s="17" t="str">
        <x:v>C10</x:v>
      </x:c>
      <x:c r="C664" s="17" t="str">
        <x:v>collection</x:v>
      </x:c>
      <x:c r="D664" s="17" t="str">
        <x:v>汕尾虚拟回收/检测中心</x:v>
      </x:c>
      <x:c r="E664" s="24" t="n">
        <x:v>115.5099937</x:v>
      </x:c>
      <x:c r="F664" s="24" t="n">
        <x:v>23.0123639</x:v>
      </x:c>
      <x:c r="G664" s="17" t="str">
        <x:v>P02R</x:v>
      </x:c>
      <x:c r="H664" s="17" t="str">
        <x:v>recycling</x:v>
      </x:c>
      <x:c r="I664" s="17" t="str">
        <x:v>广东光华科技股份有限公司（再生功能）</x:v>
      </x:c>
      <x:c r="J664" s="24" t="n">
        <x:v>116.6775856</x:v>
      </x:c>
      <x:c r="K664" s="24" t="n">
        <x:v>23.3563921</x:v>
      </x:c>
      <x:c r="L664" s="21" t="n">
        <x:f>6371*ACOS(MIN(1,COS(F664*PI()/180)*COS(K664*PI()/180)*COS((J664-E664)*PI()/180)+SIN(F664*PI()/180)*SIN(K664*PI()/180)))</x:f>
        <x:v>125.32598093140014</x:v>
      </x:c>
      <x:c r="M664" s="21" t="n">
        <x:f>L664*'情景参数模板'!$D$31</x:f>
        <x:v>150.39117711768017</x:v>
      </x:c>
      <x:c r="N664" s="21" t="n">
        <x:f>IF(C664="source",'情景参数模板'!$D$12,IF(H664="echelon",'情景参数模板'!$D$13,'情景参数模板'!$D$14))</x:f>
        <x:v>0.49</x:v>
      </x:c>
      <x:c r="O664" s="21" t="n">
        <x:f>IF(C664="source",'情景参数模板'!$D$18,IF(H664="echelon",'情景参数模板'!$D$19,'情景参数模板'!$D$20))</x:f>
        <x:v>400</x:v>
      </x:c>
      <x:c r="P664" s="17" t="n">
        <x:f>IF(M664&lt;=O664,1,0)</x:f>
        <x:v>1</x:v>
      </x:c>
      <x:c r="Q664" s="17" t="str">
        <x:v>D-road proxy; B-coordinates</x:v>
      </x:c>
    </x:row>
    <x:row r="665">
      <x:c r="A665" s="17" t="str">
        <x:v>A0661</x:v>
      </x:c>
      <x:c r="B665" s="17" t="str">
        <x:v>C10</x:v>
      </x:c>
      <x:c r="C665" s="17" t="str">
        <x:v>collection</x:v>
      </x:c>
      <x:c r="D665" s="17" t="str">
        <x:v>汕尾虚拟回收/检测中心</x:v>
      </x:c>
      <x:c r="E665" s="24" t="n">
        <x:v>115.5099937</x:v>
      </x:c>
      <x:c r="F665" s="24" t="n">
        <x:v>23.0123639</x:v>
      </x:c>
      <x:c r="G665" s="17" t="str">
        <x:v>P03</x:v>
      </x:c>
      <x:c r="H665" s="17" t="str">
        <x:v>echelon</x:v>
      </x:c>
      <x:c r="I665" s="17" t="str">
        <x:v>深圳深汕特别合作区乾泰技术有限公司</x:v>
      </x:c>
      <x:c r="J665" s="24" t="n">
        <x:v>115.5099937</x:v>
      </x:c>
      <x:c r="K665" s="24" t="n">
        <x:v>23.0123639</x:v>
      </x:c>
      <x:c r="L665" s="21" t="n">
        <x:f>6371*ACOS(MIN(1,COS(F665*PI()/180)*COS(K665*PI()/180)*COS((J665-E665)*PI()/180)+SIN(F665*PI()/180)*SIN(K665*PI()/180)))</x:f>
        <x:v>0</x:v>
      </x:c>
      <x:c r="M665" s="21" t="n">
        <x:f>L665*'情景参数模板'!$D$31</x:f>
        <x:v>0</x:v>
      </x:c>
      <x:c r="N665" s="21" t="n">
        <x:f>IF(C665="source",'情景参数模板'!$D$12,IF(H665="echelon",'情景参数模板'!$D$13,'情景参数模板'!$D$14))</x:f>
        <x:v>0.49</x:v>
      </x:c>
      <x:c r="O665" s="21" t="n">
        <x:f>IF(C665="source",'情景参数模板'!$D$18,IF(H665="echelon",'情景参数模板'!$D$19,'情景参数模板'!$D$20))</x:f>
        <x:v>300</x:v>
      </x:c>
      <x:c r="P665" s="17" t="n">
        <x:f>IF(M665&lt;=O665,1,0)</x:f>
        <x:v>1</x:v>
      </x:c>
      <x:c r="Q665" s="17" t="str">
        <x:v>D-road proxy; B-coordinates</x:v>
      </x:c>
    </x:row>
    <x:row r="666">
      <x:c r="A666" s="17" t="str">
        <x:v>A0662</x:v>
      </x:c>
      <x:c r="B666" s="17" t="str">
        <x:v>C10</x:v>
      </x:c>
      <x:c r="C666" s="17" t="str">
        <x:v>collection</x:v>
      </x:c>
      <x:c r="D666" s="17" t="str">
        <x:v>汕尾虚拟回收/检测中心</x:v>
      </x:c>
      <x:c r="E666" s="24" t="n">
        <x:v>115.5099937</x:v>
      </x:c>
      <x:c r="F666" s="24" t="n">
        <x:v>23.0123639</x:v>
      </x:c>
      <x:c r="G666" s="17" t="str">
        <x:v>P04</x:v>
      </x:c>
      <x:c r="H666" s="17" t="str">
        <x:v>echelon</x:v>
      </x:c>
      <x:c r="I666" s="17" t="str">
        <x:v>珠海中力新能源科技有限公司</x:v>
      </x:c>
      <x:c r="J666" s="24" t="n">
        <x:v>113.5721327</x:v>
      </x:c>
      <x:c r="K666" s="24" t="n">
        <x:v>22.273734</x:v>
      </x:c>
      <x:c r="L666" s="21" t="n">
        <x:f>6371*ACOS(MIN(1,COS(F666*PI()/180)*COS(K666*PI()/180)*COS((J666-E666)*PI()/180)+SIN(F666*PI()/180)*SIN(K666*PI()/180)))</x:f>
        <x:v>215.16056931228954</x:v>
      </x:c>
      <x:c r="M666" s="21" t="n">
        <x:f>L666*'情景参数模板'!$D$31</x:f>
        <x:v>258.19268317474746</x:v>
      </x:c>
      <x:c r="N666" s="21" t="n">
        <x:f>IF(C666="source",'情景参数模板'!$D$12,IF(H666="echelon",'情景参数模板'!$D$13,'情景参数模板'!$D$14))</x:f>
        <x:v>0.49</x:v>
      </x:c>
      <x:c r="O666" s="21" t="n">
        <x:f>IF(C666="source",'情景参数模板'!$D$18,IF(H666="echelon",'情景参数模板'!$D$19,'情景参数模板'!$D$20))</x:f>
        <x:v>300</x:v>
      </x:c>
      <x:c r="P666" s="17" t="n">
        <x:f>IF(M666&lt;=O666,1,0)</x:f>
        <x:v>1</x:v>
      </x:c>
      <x:c r="Q666" s="17" t="str">
        <x:v>D-road proxy; B-coordinates</x:v>
      </x:c>
    </x:row>
    <x:row r="667">
      <x:c r="A667" s="17" t="str">
        <x:v>A0663</x:v>
      </x:c>
      <x:c r="B667" s="17" t="str">
        <x:v>C10</x:v>
      </x:c>
      <x:c r="C667" s="17" t="str">
        <x:v>collection</x:v>
      </x:c>
      <x:c r="D667" s="17" t="str">
        <x:v>汕尾虚拟回收/检测中心</x:v>
      </x:c>
      <x:c r="E667" s="24" t="n">
        <x:v>115.5099937</x:v>
      </x:c>
      <x:c r="F667" s="24" t="n">
        <x:v>23.0123639</x:v>
      </x:c>
      <x:c r="G667" s="17" t="str">
        <x:v>P05</x:v>
      </x:c>
      <x:c r="H667" s="17" t="str">
        <x:v>echelon</x:v>
      </x:c>
      <x:c r="I667" s="17" t="str">
        <x:v>惠州市恒创睿能环保科技有限公司</x:v>
      </x:c>
      <x:c r="J667" s="24" t="n">
        <x:v>114.4127007</x:v>
      </x:c>
      <x:c r="K667" s="24" t="n">
        <x:v>23.1125153</x:v>
      </x:c>
      <x:c r="L667" s="21" t="n">
        <x:f>6371*ACOS(MIN(1,COS(F667*PI()/180)*COS(K667*PI()/180)*COS((J667-E667)*PI()/180)+SIN(F667*PI()/180)*SIN(K667*PI()/180)))</x:f>
        <x:v>112.81264213991685</x:v>
      </x:c>
      <x:c r="M667" s="21" t="n">
        <x:f>L667*'情景参数模板'!$D$31</x:f>
        <x:v>135.3751705679002</x:v>
      </x:c>
      <x:c r="N667" s="21" t="n">
        <x:f>IF(C667="source",'情景参数模板'!$D$12,IF(H667="echelon",'情景参数模板'!$D$13,'情景参数模板'!$D$14))</x:f>
        <x:v>0.49</x:v>
      </x:c>
      <x:c r="O667" s="21" t="n">
        <x:f>IF(C667="source",'情景参数模板'!$D$18,IF(H667="echelon",'情景参数模板'!$D$19,'情景参数模板'!$D$20))</x:f>
        <x:v>300</x:v>
      </x:c>
      <x:c r="P667" s="17" t="n">
        <x:f>IF(M667&lt;=O667,1,0)</x:f>
        <x:v>1</x:v>
      </x:c>
      <x:c r="Q667" s="17" t="str">
        <x:v>D-road proxy; B-coordinates</x:v>
      </x:c>
    </x:row>
    <x:row r="668">
      <x:c r="A668" s="17" t="str">
        <x:v>A0664</x:v>
      </x:c>
      <x:c r="B668" s="17" t="str">
        <x:v>C10</x:v>
      </x:c>
      <x:c r="C668" s="17" t="str">
        <x:v>collection</x:v>
      </x:c>
      <x:c r="D668" s="17" t="str">
        <x:v>汕尾虚拟回收/检测中心</x:v>
      </x:c>
      <x:c r="E668" s="24" t="n">
        <x:v>115.5099937</x:v>
      </x:c>
      <x:c r="F668" s="24" t="n">
        <x:v>23.0123639</x:v>
      </x:c>
      <x:c r="G668" s="17" t="str">
        <x:v>P06</x:v>
      </x:c>
      <x:c r="H668" s="17" t="str">
        <x:v>echelon</x:v>
      </x:c>
      <x:c r="I668" s="17" t="str">
        <x:v>江门市朗达锂电池有限公司</x:v>
      </x:c>
      <x:c r="J668" s="24" t="n">
        <x:v>113.0761073</x:v>
      </x:c>
      <x:c r="K668" s="24" t="n">
        <x:v>22.5816619</x:v>
      </x:c>
      <x:c r="L668" s="21" t="n">
        <x:f>6371*ACOS(MIN(1,COS(F668*PI()/180)*COS(K668*PI()/180)*COS((J668-E668)*PI()/180)+SIN(F668*PI()/180)*SIN(K668*PI()/180)))</x:f>
        <x:v>254.0459836486194</x:v>
      </x:c>
      <x:c r="M668" s="21" t="n">
        <x:f>L668*'情景参数模板'!$D$31</x:f>
        <x:v>304.8551803783433</x:v>
      </x:c>
      <x:c r="N668" s="21" t="n">
        <x:f>IF(C668="source",'情景参数模板'!$D$12,IF(H668="echelon",'情景参数模板'!$D$13,'情景参数模板'!$D$14))</x:f>
        <x:v>0.49</x:v>
      </x:c>
      <x:c r="O668" s="21" t="n">
        <x:f>IF(C668="source",'情景参数模板'!$D$18,IF(H668="echelon",'情景参数模板'!$D$19,'情景参数模板'!$D$20))</x:f>
        <x:v>300</x:v>
      </x:c>
      <x:c r="P668" s="17" t="n">
        <x:f>IF(M668&lt;=O668,1,0)</x:f>
        <x:v>0</x:v>
      </x:c>
      <x:c r="Q668" s="17" t="str">
        <x:v>D-road proxy; B-coordinates</x:v>
      </x:c>
    </x:row>
    <x:row r="669">
      <x:c r="A669" s="17" t="str">
        <x:v>A0665</x:v>
      </x:c>
      <x:c r="B669" s="17" t="str">
        <x:v>C10</x:v>
      </x:c>
      <x:c r="C669" s="17" t="str">
        <x:v>collection</x:v>
      </x:c>
      <x:c r="D669" s="17" t="str">
        <x:v>汕尾虚拟回收/检测中心</x:v>
      </x:c>
      <x:c r="E669" s="24" t="n">
        <x:v>115.5099937</x:v>
      </x:c>
      <x:c r="F669" s="24" t="n">
        <x:v>23.0123639</x:v>
      </x:c>
      <x:c r="G669" s="17" t="str">
        <x:v>P07</x:v>
      </x:c>
      <x:c r="H669" s="17" t="str">
        <x:v>echelon</x:v>
      </x:c>
      <x:c r="I669" s="17" t="str">
        <x:v>广东迪度新能源有限公司</x:v>
      </x:c>
      <x:c r="J669" s="24" t="n">
        <x:v>113.7452332</x:v>
      </x:c>
      <x:c r="K669" s="24" t="n">
        <x:v>23.0183568</x:v>
      </x:c>
      <x:c r="L669" s="21" t="n">
        <x:f>6371*ACOS(MIN(1,COS(F669*PI()/180)*COS(K669*PI()/180)*COS((J669-E669)*PI()/180)+SIN(F669*PI()/180)*SIN(K669*PI()/180)))</x:f>
        <x:v>180.61246561279575</x:v>
      </x:c>
      <x:c r="M669" s="21" t="n">
        <x:f>L669*'情景参数模板'!$D$31</x:f>
        <x:v>216.7349587353549</x:v>
      </x:c>
      <x:c r="N669" s="21" t="n">
        <x:f>IF(C669="source",'情景参数模板'!$D$12,IF(H669="echelon",'情景参数模板'!$D$13,'情景参数模板'!$D$14))</x:f>
        <x:v>0.49</x:v>
      </x:c>
      <x:c r="O669" s="21" t="n">
        <x:f>IF(C669="source",'情景参数模板'!$D$18,IF(H669="echelon",'情景参数模板'!$D$19,'情景参数模板'!$D$20))</x:f>
        <x:v>300</x:v>
      </x:c>
      <x:c r="P669" s="17" t="n">
        <x:f>IF(M669&lt;=O669,1,0)</x:f>
        <x:v>1</x:v>
      </x:c>
      <x:c r="Q669" s="17" t="str">
        <x:v>D-road proxy; B-coordinates</x:v>
      </x:c>
    </x:row>
    <x:row r="670">
      <x:c r="A670" s="17" t="str">
        <x:v>A0666</x:v>
      </x:c>
      <x:c r="B670" s="17" t="str">
        <x:v>C10</x:v>
      </x:c>
      <x:c r="C670" s="17" t="str">
        <x:v>collection</x:v>
      </x:c>
      <x:c r="D670" s="17" t="str">
        <x:v>汕尾虚拟回收/检测中心</x:v>
      </x:c>
      <x:c r="E670" s="24" t="n">
        <x:v>115.5099937</x:v>
      </x:c>
      <x:c r="F670" s="24" t="n">
        <x:v>23.0123639</x:v>
      </x:c>
      <x:c r="G670" s="17" t="str">
        <x:v>P08</x:v>
      </x:c>
      <x:c r="H670" s="17" t="str">
        <x:v>echelon</x:v>
      </x:c>
      <x:c r="I670" s="17" t="str">
        <x:v>东莞市博森新能源有限公司</x:v>
      </x:c>
      <x:c r="J670" s="24" t="n">
        <x:v>113.7452332</x:v>
      </x:c>
      <x:c r="K670" s="24" t="n">
        <x:v>23.0183568</x:v>
      </x:c>
      <x:c r="L670" s="21" t="n">
        <x:f>6371*ACOS(MIN(1,COS(F670*PI()/180)*COS(K670*PI()/180)*COS((J670-E670)*PI()/180)+SIN(F670*PI()/180)*SIN(K670*PI()/180)))</x:f>
        <x:v>180.61246561279575</x:v>
      </x:c>
      <x:c r="M670" s="21" t="n">
        <x:f>L670*'情景参数模板'!$D$31</x:f>
        <x:v>216.7349587353549</x:v>
      </x:c>
      <x:c r="N670" s="21" t="n">
        <x:f>IF(C670="source",'情景参数模板'!$D$12,IF(H670="echelon",'情景参数模板'!$D$13,'情景参数模板'!$D$14))</x:f>
        <x:v>0.49</x:v>
      </x:c>
      <x:c r="O670" s="21" t="n">
        <x:f>IF(C670="source",'情景参数模板'!$D$18,IF(H670="echelon",'情景参数模板'!$D$19,'情景参数模板'!$D$20))</x:f>
        <x:v>300</x:v>
      </x:c>
      <x:c r="P670" s="17" t="n">
        <x:f>IF(M670&lt;=O670,1,0)</x:f>
        <x:v>1</x:v>
      </x:c>
      <x:c r="Q670" s="17" t="str">
        <x:v>D-road proxy; B-coordinates</x:v>
      </x:c>
    </x:row>
    <x:row r="671">
      <x:c r="A671" s="17" t="str">
        <x:v>A0667</x:v>
      </x:c>
      <x:c r="B671" s="17" t="str">
        <x:v>C10</x:v>
      </x:c>
      <x:c r="C671" s="17" t="str">
        <x:v>collection</x:v>
      </x:c>
      <x:c r="D671" s="17" t="str">
        <x:v>汕尾虚拟回收/检测中心</x:v>
      </x:c>
      <x:c r="E671" s="24" t="n">
        <x:v>115.5099937</x:v>
      </x:c>
      <x:c r="F671" s="24" t="n">
        <x:v>23.0123639</x:v>
      </x:c>
      <x:c r="G671" s="17" t="str">
        <x:v>P09</x:v>
      </x:c>
      <x:c r="H671" s="17" t="str">
        <x:v>echelon</x:v>
      </x:c>
      <x:c r="I671" s="17" t="str">
        <x:v>广东宇阳新能源有限公司</x:v>
      </x:c>
      <x:c r="J671" s="24" t="n">
        <x:v>113.7452332</x:v>
      </x:c>
      <x:c r="K671" s="24" t="n">
        <x:v>23.0183568</x:v>
      </x:c>
      <x:c r="L671" s="21" t="n">
        <x:f>6371*ACOS(MIN(1,COS(F671*PI()/180)*COS(K671*PI()/180)*COS((J671-E671)*PI()/180)+SIN(F671*PI()/180)*SIN(K671*PI()/180)))</x:f>
        <x:v>180.61246561279575</x:v>
      </x:c>
      <x:c r="M671" s="21" t="n">
        <x:f>L671*'情景参数模板'!$D$31</x:f>
        <x:v>216.7349587353549</x:v>
      </x:c>
      <x:c r="N671" s="21" t="n">
        <x:f>IF(C671="source",'情景参数模板'!$D$12,IF(H671="echelon",'情景参数模板'!$D$13,'情景参数模板'!$D$14))</x:f>
        <x:v>0.49</x:v>
      </x:c>
      <x:c r="O671" s="21" t="n">
        <x:f>IF(C671="source",'情景参数模板'!$D$18,IF(H671="echelon",'情景参数模板'!$D$19,'情景参数模板'!$D$20))</x:f>
        <x:v>300</x:v>
      </x:c>
      <x:c r="P671" s="17" t="n">
        <x:f>IF(M671&lt;=O671,1,0)</x:f>
        <x:v>1</x:v>
      </x:c>
      <x:c r="Q671" s="17" t="str">
        <x:v>D-road proxy; B-coordinates</x:v>
      </x:c>
    </x:row>
    <x:row r="672">
      <x:c r="A672" s="17" t="str">
        <x:v>A0668</x:v>
      </x:c>
      <x:c r="B672" s="17" t="str">
        <x:v>C10</x:v>
      </x:c>
      <x:c r="C672" s="17" t="str">
        <x:v>collection</x:v>
      </x:c>
      <x:c r="D672" s="17" t="str">
        <x:v>汕尾虚拟回收/检测中心</x:v>
      </x:c>
      <x:c r="E672" s="24" t="n">
        <x:v>115.5099937</x:v>
      </x:c>
      <x:c r="F672" s="24" t="n">
        <x:v>23.0123639</x:v>
      </x:c>
      <x:c r="G672" s="17" t="str">
        <x:v>P10</x:v>
      </x:c>
      <x:c r="H672" s="17" t="str">
        <x:v>echelon</x:v>
      </x:c>
      <x:c r="I672" s="17" t="str">
        <x:v>广州广汽商贸再生资源有限公司</x:v>
      </x:c>
      <x:c r="J672" s="24" t="n">
        <x:v>113.2589581</x:v>
      </x:c>
      <x:c r="K672" s="24" t="n">
        <x:v>23.1288429</x:v>
      </x:c>
      <x:c r="L672" s="21" t="n">
        <x:f>6371*ACOS(MIN(1,COS(F672*PI()/180)*COS(K672*PI()/180)*COS((J672-E672)*PI()/180)+SIN(F672*PI()/180)*SIN(K672*PI()/180)))</x:f>
        <x:v>230.6467190844284</x:v>
      </x:c>
      <x:c r="M672" s="21" t="n">
        <x:f>L672*'情景参数模板'!$D$31</x:f>
        <x:v>276.7760629013141</x:v>
      </x:c>
      <x:c r="N672" s="21" t="n">
        <x:f>IF(C672="source",'情景参数模板'!$D$12,IF(H672="echelon",'情景参数模板'!$D$13,'情景参数模板'!$D$14))</x:f>
        <x:v>0.49</x:v>
      </x:c>
      <x:c r="O672" s="21" t="n">
        <x:f>IF(C672="source",'情景参数模板'!$D$18,IF(H672="echelon",'情景参数模板'!$D$19,'情景参数模板'!$D$20))</x:f>
        <x:v>300</x:v>
      </x:c>
      <x:c r="P672" s="17" t="n">
        <x:f>IF(M672&lt;=O672,1,0)</x:f>
        <x:v>1</x:v>
      </x:c>
      <x:c r="Q672" s="17" t="str">
        <x:v>D-road proxy; B-coordinates</x:v>
      </x:c>
    </x:row>
    <x:row r="673">
      <x:c r="A673" s="17" t="str">
        <x:v>A0669</x:v>
      </x:c>
      <x:c r="B673" s="17" t="str">
        <x:v>C10</x:v>
      </x:c>
      <x:c r="C673" s="17" t="str">
        <x:v>collection</x:v>
      </x:c>
      <x:c r="D673" s="17" t="str">
        <x:v>汕尾虚拟回收/检测中心</x:v>
      </x:c>
      <x:c r="E673" s="24" t="n">
        <x:v>115.5099937</x:v>
      </x:c>
      <x:c r="F673" s="24" t="n">
        <x:v>23.0123639</x:v>
      </x:c>
      <x:c r="G673" s="17" t="str">
        <x:v>P11</x:v>
      </x:c>
      <x:c r="H673" s="17" t="str">
        <x:v>echelon</x:v>
      </x:c>
      <x:c r="I673" s="17" t="str">
        <x:v>深圳市杰成镍钴新能源科技有限公司</x:v>
      </x:c>
      <x:c r="J673" s="24" t="n">
        <x:v>114.0545429</x:v>
      </x:c>
      <x:c r="K673" s="24" t="n">
        <x:v>22.5445741</x:v>
      </x:c>
      <x:c r="L673" s="21" t="n">
        <x:f>6371*ACOS(MIN(1,COS(F673*PI()/180)*COS(K673*PI()/180)*COS((J673-E673)*PI()/180)+SIN(F673*PI()/180)*SIN(K673*PI()/180)))</x:f>
        <x:v>158.02187678789332</x:v>
      </x:c>
      <x:c r="M673" s="21" t="n">
        <x:f>L673*'情景参数模板'!$D$31</x:f>
        <x:v>189.62625214547197</x:v>
      </x:c>
      <x:c r="N673" s="21" t="n">
        <x:f>IF(C673="source",'情景参数模板'!$D$12,IF(H673="echelon",'情景参数模板'!$D$13,'情景参数模板'!$D$14))</x:f>
        <x:v>0.49</x:v>
      </x:c>
      <x:c r="O673" s="21" t="n">
        <x:f>IF(C673="source",'情景参数模板'!$D$18,IF(H673="echelon",'情景参数模板'!$D$19,'情景参数模板'!$D$20))</x:f>
        <x:v>300</x:v>
      </x:c>
      <x:c r="P673" s="17" t="n">
        <x:f>IF(M673&lt;=O673,1,0)</x:f>
        <x:v>1</x:v>
      </x:c>
      <x:c r="Q673" s="17" t="str">
        <x:v>D-road proxy; B-coordinates</x:v>
      </x:c>
    </x:row>
    <x:row r="674">
      <x:c r="A674" s="17" t="str">
        <x:v>A0670</x:v>
      </x:c>
      <x:c r="B674" s="17" t="str">
        <x:v>C10</x:v>
      </x:c>
      <x:c r="C674" s="17" t="str">
        <x:v>collection</x:v>
      </x:c>
      <x:c r="D674" s="17" t="str">
        <x:v>汕尾虚拟回收/检测中心</x:v>
      </x:c>
      <x:c r="E674" s="24" t="n">
        <x:v>115.5099937</x:v>
      </x:c>
      <x:c r="F674" s="24" t="n">
        <x:v>23.0123639</x:v>
      </x:c>
      <x:c r="G674" s="17" t="str">
        <x:v>P12</x:v>
      </x:c>
      <x:c r="H674" s="17" t="str">
        <x:v>recycling</x:v>
      </x:c>
      <x:c r="I674" s="17" t="str">
        <x:v>江门市恒创睿能环保科技有限公司</x:v>
      </x:c>
      <x:c r="J674" s="24" t="n">
        <x:v>113.0761073</x:v>
      </x:c>
      <x:c r="K674" s="24" t="n">
        <x:v>22.5816619</x:v>
      </x:c>
      <x:c r="L674" s="21" t="n">
        <x:f>6371*ACOS(MIN(1,COS(F674*PI()/180)*COS(K674*PI()/180)*COS((J674-E674)*PI()/180)+SIN(F674*PI()/180)*SIN(K674*PI()/180)))</x:f>
        <x:v>254.0459836486194</x:v>
      </x:c>
      <x:c r="M674" s="21" t="n">
        <x:f>L674*'情景参数模板'!$D$31</x:f>
        <x:v>304.8551803783433</x:v>
      </x:c>
      <x:c r="N674" s="21" t="n">
        <x:f>IF(C674="source",'情景参数模板'!$D$12,IF(H674="echelon",'情景参数模板'!$D$13,'情景参数模板'!$D$14))</x:f>
        <x:v>0.49</x:v>
      </x:c>
      <x:c r="O674" s="21" t="n">
        <x:f>IF(C674="source",'情景参数模板'!$D$18,IF(H674="echelon",'情景参数模板'!$D$19,'情景参数模板'!$D$20))</x:f>
        <x:v>400</x:v>
      </x:c>
      <x:c r="P674" s="17" t="n">
        <x:f>IF(M674&lt;=O674,1,0)</x:f>
        <x:v>1</x:v>
      </x:c>
      <x:c r="Q674" s="17" t="str">
        <x:v>D-road proxy; B-coordinates</x:v>
      </x:c>
    </x:row>
    <x:row r="675">
      <x:c r="A675" s="17" t="str">
        <x:v>A0671</x:v>
      </x:c>
      <x:c r="B675" s="17" t="str">
        <x:v>C10</x:v>
      </x:c>
      <x:c r="C675" s="17" t="str">
        <x:v>collection</x:v>
      </x:c>
      <x:c r="D675" s="17" t="str">
        <x:v>汕尾虚拟回收/检测中心</x:v>
      </x:c>
      <x:c r="E675" s="24" t="n">
        <x:v>115.5099937</x:v>
      </x:c>
      <x:c r="F675" s="24" t="n">
        <x:v>23.0123639</x:v>
      </x:c>
      <x:c r="G675" s="17" t="str">
        <x:v>P13</x:v>
      </x:c>
      <x:c r="H675" s="17" t="str">
        <x:v>recycling</x:v>
      </x:c>
      <x:c r="I675" s="17" t="str">
        <x:v>广东佳纳能源科技有限公司</x:v>
      </x:c>
      <x:c r="J675" s="24" t="n">
        <x:v>113.0505994</x:v>
      </x:c>
      <x:c r="K675" s="24" t="n">
        <x:v>23.6832984</x:v>
      </x:c>
      <x:c r="L675" s="21" t="n">
        <x:f>6371*ACOS(MIN(1,COS(F675*PI()/180)*COS(K675*PI()/180)*COS((J675-E675)*PI()/180)+SIN(F675*PI()/180)*SIN(K675*PI()/180)))</x:f>
        <x:v>261.9235028063955</x:v>
      </x:c>
      <x:c r="M675" s="21" t="n">
        <x:f>L675*'情景参数模板'!$D$31</x:f>
        <x:v>314.3082033676746</x:v>
      </x:c>
      <x:c r="N675" s="21" t="n">
        <x:f>IF(C675="source",'情景参数模板'!$D$12,IF(H675="echelon",'情景参数模板'!$D$13,'情景参数模板'!$D$14))</x:f>
        <x:v>0.49</x:v>
      </x:c>
      <x:c r="O675" s="21" t="n">
        <x:f>IF(C675="source",'情景参数模板'!$D$18,IF(H675="echelon",'情景参数模板'!$D$19,'情景参数模板'!$D$20))</x:f>
        <x:v>400</x:v>
      </x:c>
      <x:c r="P675" s="17" t="n">
        <x:f>IF(M675&lt;=O675,1,0)</x:f>
        <x:v>1</x:v>
      </x:c>
      <x:c r="Q675" s="17" t="str">
        <x:v>D-road proxy; B-coordinates</x:v>
      </x:c>
    </x:row>
    <x:row r="676">
      <x:c r="A676" s="17" t="str">
        <x:v>A0672</x:v>
      </x:c>
      <x:c r="B676" s="17" t="str">
        <x:v>C10</x:v>
      </x:c>
      <x:c r="C676" s="17" t="str">
        <x:v>collection</x:v>
      </x:c>
      <x:c r="D676" s="17" t="str">
        <x:v>汕尾虚拟回收/检测中心</x:v>
      </x:c>
      <x:c r="E676" s="24" t="n">
        <x:v>115.5099937</x:v>
      </x:c>
      <x:c r="F676" s="24" t="n">
        <x:v>23.0123639</x:v>
      </x:c>
      <x:c r="G676" s="17" t="str">
        <x:v>P14</x:v>
      </x:c>
      <x:c r="H676" s="17" t="str">
        <x:v>echelon</x:v>
      </x:c>
      <x:c r="I676" s="17" t="str">
        <x:v>格林美（深圳）循环科技有限公司</x:v>
      </x:c>
      <x:c r="J676" s="24" t="n">
        <x:v>114.0545429</x:v>
      </x:c>
      <x:c r="K676" s="24" t="n">
        <x:v>22.5445741</x:v>
      </x:c>
      <x:c r="L676" s="21" t="n">
        <x:f>6371*ACOS(MIN(1,COS(F676*PI()/180)*COS(K676*PI()/180)*COS((J676-E676)*PI()/180)+SIN(F676*PI()/180)*SIN(K676*PI()/180)))</x:f>
        <x:v>158.02187678789332</x:v>
      </x:c>
      <x:c r="M676" s="21" t="n">
        <x:f>L676*'情景参数模板'!$D$31</x:f>
        <x:v>189.62625214547197</x:v>
      </x:c>
      <x:c r="N676" s="21" t="n">
        <x:f>IF(C676="source",'情景参数模板'!$D$12,IF(H676="echelon",'情景参数模板'!$D$13,'情景参数模板'!$D$14))</x:f>
        <x:v>0.49</x:v>
      </x:c>
      <x:c r="O676" s="21" t="n">
        <x:f>IF(C676="source",'情景参数模板'!$D$18,IF(H676="echelon",'情景参数模板'!$D$19,'情景参数模板'!$D$20))</x:f>
        <x:v>300</x:v>
      </x:c>
      <x:c r="P676" s="17" t="n">
        <x:f>IF(M676&lt;=O676,1,0)</x:f>
        <x:v>1</x:v>
      </x:c>
      <x:c r="Q676" s="17" t="str">
        <x:v>D-road proxy; B-coordinates</x:v>
      </x:c>
    </x:row>
    <x:row r="677">
      <x:c r="A677" s="17" t="str">
        <x:v>A0673</x:v>
      </x:c>
      <x:c r="B677" s="17" t="str">
        <x:v>C10</x:v>
      </x:c>
      <x:c r="C677" s="17" t="str">
        <x:v>collection</x:v>
      </x:c>
      <x:c r="D677" s="17" t="str">
        <x:v>汕尾虚拟回收/检测中心</x:v>
      </x:c>
      <x:c r="E677" s="24" t="n">
        <x:v>115.5099937</x:v>
      </x:c>
      <x:c r="F677" s="24" t="n">
        <x:v>23.0123639</x:v>
      </x:c>
      <x:c r="G677" s="17" t="str">
        <x:v>P15</x:v>
      </x:c>
      <x:c r="H677" s="17" t="str">
        <x:v>echelon</x:v>
      </x:c>
      <x:c r="I677" s="17" t="str">
        <x:v>绿循新能源科技（佛山）有限责任公司</x:v>
      </x:c>
      <x:c r="J677" s="24" t="n">
        <x:v>113.1159558</x:v>
      </x:c>
      <x:c r="K677" s="24" t="n">
        <x:v>23.0239788</x:v>
      </x:c>
      <x:c r="L677" s="21" t="n">
        <x:f>6371*ACOS(MIN(1,COS(F677*PI()/180)*COS(K677*PI()/180)*COS((J677-E677)*PI()/180)+SIN(F677*PI()/180)*SIN(K677*PI()/180)))</x:f>
        <x:v>245.01055089313536</x:v>
      </x:c>
      <x:c r="M677" s="21" t="n">
        <x:f>L677*'情景参数模板'!$D$31</x:f>
        <x:v>294.0126610717624</x:v>
      </x:c>
      <x:c r="N677" s="21" t="n">
        <x:f>IF(C677="source",'情景参数模板'!$D$12,IF(H677="echelon",'情景参数模板'!$D$13,'情景参数模板'!$D$14))</x:f>
        <x:v>0.49</x:v>
      </x:c>
      <x:c r="O677" s="21" t="n">
        <x:f>IF(C677="source",'情景参数模板'!$D$18,IF(H677="echelon",'情景参数模板'!$D$19,'情景参数模板'!$D$20))</x:f>
        <x:v>300</x:v>
      </x:c>
      <x:c r="P677" s="17" t="n">
        <x:f>IF(M677&lt;=O677,1,0)</x:f>
        <x:v>1</x:v>
      </x:c>
      <x:c r="Q677" s="17" t="str">
        <x:v>D-road proxy; B-coordinates</x:v>
      </x:c>
    </x:row>
    <x:row r="678">
      <x:c r="A678" s="17" t="str">
        <x:v>A0674</x:v>
      </x:c>
      <x:c r="B678" s="17" t="str">
        <x:v>C10</x:v>
      </x:c>
      <x:c r="C678" s="17" t="str">
        <x:v>collection</x:v>
      </x:c>
      <x:c r="D678" s="17" t="str">
        <x:v>汕尾虚拟回收/检测中心</x:v>
      </x:c>
      <x:c r="E678" s="24" t="n">
        <x:v>115.5099937</x:v>
      </x:c>
      <x:c r="F678" s="24" t="n">
        <x:v>23.0123639</x:v>
      </x:c>
      <x:c r="G678" s="17" t="str">
        <x:v>P16</x:v>
      </x:c>
      <x:c r="H678" s="17" t="str">
        <x:v>echelon</x:v>
      </x:c>
      <x:c r="I678" s="17" t="str">
        <x:v>深圳艾云动智慧科技有限公司</x:v>
      </x:c>
      <x:c r="J678" s="24" t="n">
        <x:v>114.0545429</x:v>
      </x:c>
      <x:c r="K678" s="24" t="n">
        <x:v>22.5445741</x:v>
      </x:c>
      <x:c r="L678" s="21" t="n">
        <x:f>6371*ACOS(MIN(1,COS(F678*PI()/180)*COS(K678*PI()/180)*COS((J678-E678)*PI()/180)+SIN(F678*PI()/180)*SIN(K678*PI()/180)))</x:f>
        <x:v>158.02187678789332</x:v>
      </x:c>
      <x:c r="M678" s="21" t="n">
        <x:f>L678*'情景参数模板'!$D$31</x:f>
        <x:v>189.62625214547197</x:v>
      </x:c>
      <x:c r="N678" s="21" t="n">
        <x:f>IF(C678="source",'情景参数模板'!$D$12,IF(H678="echelon",'情景参数模板'!$D$13,'情景参数模板'!$D$14))</x:f>
        <x:v>0.49</x:v>
      </x:c>
      <x:c r="O678" s="21" t="n">
        <x:f>IF(C678="source",'情景参数模板'!$D$18,IF(H678="echelon",'情景参数模板'!$D$19,'情景参数模板'!$D$20))</x:f>
        <x:v>300</x:v>
      </x:c>
      <x:c r="P678" s="17" t="n">
        <x:f>IF(M678&lt;=O678,1,0)</x:f>
        <x:v>1</x:v>
      </x:c>
      <x:c r="Q678" s="17" t="str">
        <x:v>D-road proxy; B-coordinates</x:v>
      </x:c>
    </x:row>
    <x:row r="679">
      <x:c r="A679" s="17" t="str">
        <x:v>A0675</x:v>
      </x:c>
      <x:c r="B679" s="17" t="str">
        <x:v>C10</x:v>
      </x:c>
      <x:c r="C679" s="17" t="str">
        <x:v>collection</x:v>
      </x:c>
      <x:c r="D679" s="17" t="str">
        <x:v>汕尾虚拟回收/检测中心</x:v>
      </x:c>
      <x:c r="E679" s="24" t="n">
        <x:v>115.5099937</x:v>
      </x:c>
      <x:c r="F679" s="24" t="n">
        <x:v>23.0123639</x:v>
      </x:c>
      <x:c r="G679" s="17" t="str">
        <x:v>P17</x:v>
      </x:c>
      <x:c r="H679" s="17" t="str">
        <x:v>echelon</x:v>
      </x:c>
      <x:c r="I679" s="17" t="str">
        <x:v>深圳市荣高晟新能源科技有限公司</x:v>
      </x:c>
      <x:c r="J679" s="24" t="n">
        <x:v>114.0545429</x:v>
      </x:c>
      <x:c r="K679" s="24" t="n">
        <x:v>22.5445741</x:v>
      </x:c>
      <x:c r="L679" s="21" t="n">
        <x:f>6371*ACOS(MIN(1,COS(F679*PI()/180)*COS(K679*PI()/180)*COS((J679-E679)*PI()/180)+SIN(F679*PI()/180)*SIN(K679*PI()/180)))</x:f>
        <x:v>158.02187678789332</x:v>
      </x:c>
      <x:c r="M679" s="21" t="n">
        <x:f>L679*'情景参数模板'!$D$31</x:f>
        <x:v>189.62625214547197</x:v>
      </x:c>
      <x:c r="N679" s="21" t="n">
        <x:f>IF(C679="source",'情景参数模板'!$D$12,IF(H679="echelon",'情景参数模板'!$D$13,'情景参数模板'!$D$14))</x:f>
        <x:v>0.49</x:v>
      </x:c>
      <x:c r="O679" s="21" t="n">
        <x:f>IF(C679="source",'情景参数模板'!$D$18,IF(H679="echelon",'情景参数模板'!$D$19,'情景参数模板'!$D$20))</x:f>
        <x:v>300</x:v>
      </x:c>
      <x:c r="P679" s="17" t="n">
        <x:f>IF(M679&lt;=O679,1,0)</x:f>
        <x:v>1</x:v>
      </x:c>
      <x:c r="Q679" s="17" t="str">
        <x:v>D-road proxy; B-coordinates</x:v>
      </x:c>
    </x:row>
    <x:row r="680">
      <x:c r="A680" s="17" t="str">
        <x:v>A0676</x:v>
      </x:c>
      <x:c r="B680" s="17" t="str">
        <x:v>C10</x:v>
      </x:c>
      <x:c r="C680" s="17" t="str">
        <x:v>collection</x:v>
      </x:c>
      <x:c r="D680" s="17" t="str">
        <x:v>汕尾虚拟回收/检测中心</x:v>
      </x:c>
      <x:c r="E680" s="24" t="n">
        <x:v>115.5099937</x:v>
      </x:c>
      <x:c r="F680" s="24" t="n">
        <x:v>23.0123639</x:v>
      </x:c>
      <x:c r="G680" s="17" t="str">
        <x:v>P18</x:v>
      </x:c>
      <x:c r="H680" s="17" t="str">
        <x:v>echelon</x:v>
      </x:c>
      <x:c r="I680" s="17" t="str">
        <x:v>中商锂新能源科技（惠州）有限公司</x:v>
      </x:c>
      <x:c r="J680" s="24" t="n">
        <x:v>114.4127007</x:v>
      </x:c>
      <x:c r="K680" s="24" t="n">
        <x:v>23.1125153</x:v>
      </x:c>
      <x:c r="L680" s="21" t="n">
        <x:f>6371*ACOS(MIN(1,COS(F680*PI()/180)*COS(K680*PI()/180)*COS((J680-E680)*PI()/180)+SIN(F680*PI()/180)*SIN(K680*PI()/180)))</x:f>
        <x:v>112.81264213991685</x:v>
      </x:c>
      <x:c r="M680" s="21" t="n">
        <x:f>L680*'情景参数模板'!$D$31</x:f>
        <x:v>135.3751705679002</x:v>
      </x:c>
      <x:c r="N680" s="21" t="n">
        <x:f>IF(C680="source",'情景参数模板'!$D$12,IF(H680="echelon",'情景参数模板'!$D$13,'情景参数模板'!$D$14))</x:f>
        <x:v>0.49</x:v>
      </x:c>
      <x:c r="O680" s="21" t="n">
        <x:f>IF(C680="source",'情景参数模板'!$D$18,IF(H680="echelon",'情景参数模板'!$D$19,'情景参数模板'!$D$20))</x:f>
        <x:v>300</x:v>
      </x:c>
      <x:c r="P680" s="17" t="n">
        <x:f>IF(M680&lt;=O680,1,0)</x:f>
        <x:v>1</x:v>
      </x:c>
      <x:c r="Q680" s="17" t="str">
        <x:v>D-road proxy; B-coordinates</x:v>
      </x:c>
    </x:row>
    <x:row r="681">
      <x:c r="A681" s="17" t="str">
        <x:v>A0677</x:v>
      </x:c>
      <x:c r="B681" s="17" t="str">
        <x:v>C10</x:v>
      </x:c>
      <x:c r="C681" s="17" t="str">
        <x:v>collection</x:v>
      </x:c>
      <x:c r="D681" s="17" t="str">
        <x:v>汕尾虚拟回收/检测中心</x:v>
      </x:c>
      <x:c r="E681" s="24" t="n">
        <x:v>115.5099937</x:v>
      </x:c>
      <x:c r="F681" s="24" t="n">
        <x:v>23.0123639</x:v>
      </x:c>
      <x:c r="G681" s="17" t="str">
        <x:v>P19</x:v>
      </x:c>
      <x:c r="H681" s="17" t="str">
        <x:v>recycling</x:v>
      </x:c>
      <x:c r="I681" s="17" t="str">
        <x:v>广东盛祥新材料科技有限公司</x:v>
      </x:c>
      <x:c r="J681" s="24" t="n">
        <x:v>113.8155263</x:v>
      </x:c>
      <x:c r="K681" s="24" t="n">
        <x:v>24.8309489</x:v>
      </x:c>
      <x:c r="L681" s="21" t="n">
        <x:f>6371*ACOS(MIN(1,COS(F681*PI()/180)*COS(K681*PI()/180)*COS((J681-E681)*PI()/180)+SIN(F681*PI()/180)*SIN(K681*PI()/180)))</x:f>
        <x:v>265.61478907353063</x:v>
      </x:c>
      <x:c r="M681" s="21" t="n">
        <x:f>L681*'情景参数模板'!$D$31</x:f>
        <x:v>318.73774688823676</x:v>
      </x:c>
      <x:c r="N681" s="21" t="n">
        <x:f>IF(C681="source",'情景参数模板'!$D$12,IF(H681="echelon",'情景参数模板'!$D$13,'情景参数模板'!$D$14))</x:f>
        <x:v>0.49</x:v>
      </x:c>
      <x:c r="O681" s="21" t="n">
        <x:f>IF(C681="source",'情景参数模板'!$D$18,IF(H681="echelon",'情景参数模板'!$D$19,'情景参数模板'!$D$20))</x:f>
        <x:v>400</x:v>
      </x:c>
      <x:c r="P681" s="17" t="n">
        <x:f>IF(M681&lt;=O681,1,0)</x:f>
        <x:v>1</x:v>
      </x:c>
      <x:c r="Q681" s="17" t="str">
        <x:v>D-road proxy; B-coordinates</x:v>
      </x:c>
    </x:row>
    <x:row r="682">
      <x:c r="A682" s="17" t="str">
        <x:v>A0678</x:v>
      </x:c>
      <x:c r="B682" s="17" t="str">
        <x:v>C10</x:v>
      </x:c>
      <x:c r="C682" s="17" t="str">
        <x:v>collection</x:v>
      </x:c>
      <x:c r="D682" s="17" t="str">
        <x:v>汕尾虚拟回收/检测中心</x:v>
      </x:c>
      <x:c r="E682" s="24" t="n">
        <x:v>115.5099937</x:v>
      </x:c>
      <x:c r="F682" s="24" t="n">
        <x:v>23.0123639</x:v>
      </x:c>
      <x:c r="G682" s="17" t="str">
        <x:v>P20E</x:v>
      </x:c>
      <x:c r="H682" s="17" t="str">
        <x:v>echelon</x:v>
      </x:c>
      <x:c r="I682" s="17" t="str">
        <x:v>广东金晟新能源股份有限公司（梯次功能）</x:v>
      </x:c>
      <x:c r="J682" s="24" t="n">
        <x:v>112.4603629</x:v>
      </x:c>
      <x:c r="K682" s="24" t="n">
        <x:v>23.0501661</x:v>
      </x:c>
      <x:c r="L682" s="21" t="n">
        <x:f>6371*ACOS(MIN(1,COS(F682*PI()/180)*COS(K682*PI()/180)*COS((J682-E682)*PI()/180)+SIN(F682*PI()/180)*SIN(K682*PI()/180)))</x:f>
        <x:v>312.0967041495048</x:v>
      </x:c>
      <x:c r="M682" s="21" t="n">
        <x:f>L682*'情景参数模板'!$D$31</x:f>
        <x:v>374.5160449794057</x:v>
      </x:c>
      <x:c r="N682" s="21" t="n">
        <x:f>IF(C682="source",'情景参数模板'!$D$12,IF(H682="echelon",'情景参数模板'!$D$13,'情景参数模板'!$D$14))</x:f>
        <x:v>0.49</x:v>
      </x:c>
      <x:c r="O682" s="21" t="n">
        <x:f>IF(C682="source",'情景参数模板'!$D$18,IF(H682="echelon",'情景参数模板'!$D$19,'情景参数模板'!$D$20))</x:f>
        <x:v>300</x:v>
      </x:c>
      <x:c r="P682" s="17" t="n">
        <x:f>IF(M682&lt;=O682,1,0)</x:f>
        <x:v>0</x:v>
      </x:c>
      <x:c r="Q682" s="17" t="str">
        <x:v>D-road proxy; B-coordinates</x:v>
      </x:c>
    </x:row>
    <x:row r="683">
      <x:c r="A683" s="17" t="str">
        <x:v>A0679</x:v>
      </x:c>
      <x:c r="B683" s="17" t="str">
        <x:v>C10</x:v>
      </x:c>
      <x:c r="C683" s="17" t="str">
        <x:v>collection</x:v>
      </x:c>
      <x:c r="D683" s="17" t="str">
        <x:v>汕尾虚拟回收/检测中心</x:v>
      </x:c>
      <x:c r="E683" s="24" t="n">
        <x:v>115.5099937</x:v>
      </x:c>
      <x:c r="F683" s="24" t="n">
        <x:v>23.0123639</x:v>
      </x:c>
      <x:c r="G683" s="17" t="str">
        <x:v>P20R</x:v>
      </x:c>
      <x:c r="H683" s="17" t="str">
        <x:v>recycling</x:v>
      </x:c>
      <x:c r="I683" s="17" t="str">
        <x:v>广东金晟新能源股份有限公司（再生功能）</x:v>
      </x:c>
      <x:c r="J683" s="24" t="n">
        <x:v>112.4603629</x:v>
      </x:c>
      <x:c r="K683" s="24" t="n">
        <x:v>23.0501661</x:v>
      </x:c>
      <x:c r="L683" s="21" t="n">
        <x:f>6371*ACOS(MIN(1,COS(F683*PI()/180)*COS(K683*PI()/180)*COS((J683-E683)*PI()/180)+SIN(F683*PI()/180)*SIN(K683*PI()/180)))</x:f>
        <x:v>312.0967041495048</x:v>
      </x:c>
      <x:c r="M683" s="21" t="n">
        <x:f>L683*'情景参数模板'!$D$31</x:f>
        <x:v>374.5160449794057</x:v>
      </x:c>
      <x:c r="N683" s="21" t="n">
        <x:f>IF(C683="source",'情景参数模板'!$D$12,IF(H683="echelon",'情景参数模板'!$D$13,'情景参数模板'!$D$14))</x:f>
        <x:v>0.49</x:v>
      </x:c>
      <x:c r="O683" s="21" t="n">
        <x:f>IF(C683="source",'情景参数模板'!$D$18,IF(H683="echelon",'情景参数模板'!$D$19,'情景参数模板'!$D$20))</x:f>
        <x:v>400</x:v>
      </x:c>
      <x:c r="P683" s="17" t="n">
        <x:f>IF(M683&lt;=O683,1,0)</x:f>
        <x:v>1</x:v>
      </x:c>
      <x:c r="Q683" s="17" t="str">
        <x:v>D-road proxy; B-coordinates</x:v>
      </x:c>
    </x:row>
    <x:row r="684">
      <x:c r="A684" s="17" t="str">
        <x:v>A0680</x:v>
      </x:c>
      <x:c r="B684" s="17" t="str">
        <x:v>C10</x:v>
      </x:c>
      <x:c r="C684" s="17" t="str">
        <x:v>collection</x:v>
      </x:c>
      <x:c r="D684" s="17" t="str">
        <x:v>汕尾虚拟回收/检测中心</x:v>
      </x:c>
      <x:c r="E684" s="24" t="n">
        <x:v>115.5099937</x:v>
      </x:c>
      <x:c r="F684" s="24" t="n">
        <x:v>23.0123639</x:v>
      </x:c>
      <x:c r="G684" s="17" t="str">
        <x:v>P21E</x:v>
      </x:c>
      <x:c r="H684" s="17" t="str">
        <x:v>echelon</x:v>
      </x:c>
      <x:c r="I684" s="17" t="str">
        <x:v>广东瑞科美电源技术有限公司（梯次功能）</x:v>
      </x:c>
      <x:c r="J684" s="24" t="n">
        <x:v>113.1159558</x:v>
      </x:c>
      <x:c r="K684" s="24" t="n">
        <x:v>23.0239788</x:v>
      </x:c>
      <x:c r="L684" s="21" t="n">
        <x:f>6371*ACOS(MIN(1,COS(F684*PI()/180)*COS(K684*PI()/180)*COS((J684-E684)*PI()/180)+SIN(F684*PI()/180)*SIN(K684*PI()/180)))</x:f>
        <x:v>245.01055089313536</x:v>
      </x:c>
      <x:c r="M684" s="21" t="n">
        <x:f>L684*'情景参数模板'!$D$31</x:f>
        <x:v>294.0126610717624</x:v>
      </x:c>
      <x:c r="N684" s="21" t="n">
        <x:f>IF(C684="source",'情景参数模板'!$D$12,IF(H684="echelon",'情景参数模板'!$D$13,'情景参数模板'!$D$14))</x:f>
        <x:v>0.49</x:v>
      </x:c>
      <x:c r="O684" s="21" t="n">
        <x:f>IF(C684="source",'情景参数模板'!$D$18,IF(H684="echelon",'情景参数模板'!$D$19,'情景参数模板'!$D$20))</x:f>
        <x:v>300</x:v>
      </x:c>
      <x:c r="P684" s="17" t="n">
        <x:f>IF(M684&lt;=O684,1,0)</x:f>
        <x:v>1</x:v>
      </x:c>
      <x:c r="Q684" s="17" t="str">
        <x:v>D-road proxy; B-coordinates</x:v>
      </x:c>
    </x:row>
    <x:row r="685">
      <x:c r="A685" s="17" t="str">
        <x:v>A0681</x:v>
      </x:c>
      <x:c r="B685" s="17" t="str">
        <x:v>C10</x:v>
      </x:c>
      <x:c r="C685" s="17" t="str">
        <x:v>collection</x:v>
      </x:c>
      <x:c r="D685" s="17" t="str">
        <x:v>汕尾虚拟回收/检测中心</x:v>
      </x:c>
      <x:c r="E685" s="24" t="n">
        <x:v>115.5099937</x:v>
      </x:c>
      <x:c r="F685" s="24" t="n">
        <x:v>23.0123639</x:v>
      </x:c>
      <x:c r="G685" s="17" t="str">
        <x:v>P21R</x:v>
      </x:c>
      <x:c r="H685" s="17" t="str">
        <x:v>recycling</x:v>
      </x:c>
      <x:c r="I685" s="17" t="str">
        <x:v>广东瑞科美电源技术有限公司（再生功能）</x:v>
      </x:c>
      <x:c r="J685" s="24" t="n">
        <x:v>113.1159558</x:v>
      </x:c>
      <x:c r="K685" s="24" t="n">
        <x:v>23.0239788</x:v>
      </x:c>
      <x:c r="L685" s="21" t="n">
        <x:f>6371*ACOS(MIN(1,COS(F685*PI()/180)*COS(K685*PI()/180)*COS((J685-E685)*PI()/180)+SIN(F685*PI()/180)*SIN(K685*PI()/180)))</x:f>
        <x:v>245.01055089313536</x:v>
      </x:c>
      <x:c r="M685" s="21" t="n">
        <x:f>L685*'情景参数模板'!$D$31</x:f>
        <x:v>294.0126610717624</x:v>
      </x:c>
      <x:c r="N685" s="21" t="n">
        <x:f>IF(C685="source",'情景参数模板'!$D$12,IF(H685="echelon",'情景参数模板'!$D$13,'情景参数模板'!$D$14))</x:f>
        <x:v>0.49</x:v>
      </x:c>
      <x:c r="O685" s="21" t="n">
        <x:f>IF(C685="source",'情景参数模板'!$D$18,IF(H685="echelon",'情景参数模板'!$D$19,'情景参数模板'!$D$20))</x:f>
        <x:v>400</x:v>
      </x:c>
      <x:c r="P685" s="17" t="n">
        <x:f>IF(M685&lt;=O685,1,0)</x:f>
        <x:v>1</x:v>
      </x:c>
      <x:c r="Q685" s="17" t="str">
        <x:v>D-road proxy; B-coordinates</x:v>
      </x:c>
    </x:row>
    <x:row r="686">
      <x:c r="A686" s="17" t="str">
        <x:v>A0682</x:v>
      </x:c>
      <x:c r="B686" s="17" t="str">
        <x:v>C11</x:v>
      </x:c>
      <x:c r="C686" s="17" t="str">
        <x:v>collection</x:v>
      </x:c>
      <x:c r="D686" s="17" t="str">
        <x:v>东莞虚拟回收/检测中心</x:v>
      </x:c>
      <x:c r="E686" s="24" t="n">
        <x:v>113.7452332</x:v>
      </x:c>
      <x:c r="F686" s="24" t="n">
        <x:v>23.0183568</x:v>
      </x:c>
      <x:c r="G686" s="17" t="str">
        <x:v>P01</x:v>
      </x:c>
      <x:c r="H686" s="17" t="str">
        <x:v>recycling</x:v>
      </x:c>
      <x:c r="I686" s="17" t="str">
        <x:v>汕尾比亚迪废旧动力电池回收项目</x:v>
      </x:c>
      <x:c r="J686" s="24" t="n">
        <x:v>115.3492668</x:v>
      </x:c>
      <x:c r="K686" s="24" t="n">
        <x:v>22.838065</x:v>
      </x:c>
      <x:c r="L686" s="21" t="n">
        <x:f>6371*ACOS(MIN(1,COS(F686*PI()/180)*COS(K686*PI()/180)*COS((J686-E686)*PI()/180)+SIN(F686*PI()/180)*SIN(K686*PI()/180)))</x:f>
        <x:v>165.48668107845458</x:v>
      </x:c>
      <x:c r="M686" s="21" t="n">
        <x:f>L686*'情景参数模板'!$D$31</x:f>
        <x:v>198.5840172941455</x:v>
      </x:c>
      <x:c r="N686" s="21" t="n">
        <x:f>IF(C686="source",'情景参数模板'!$D$12,IF(H686="echelon",'情景参数模板'!$D$13,'情景参数模板'!$D$14))</x:f>
        <x:v>0.49</x:v>
      </x:c>
      <x:c r="O686" s="21" t="n">
        <x:f>IF(C686="source",'情景参数模板'!$D$18,IF(H686="echelon",'情景参数模板'!$D$19,'情景参数模板'!$D$20))</x:f>
        <x:v>400</x:v>
      </x:c>
      <x:c r="P686" s="17" t="n">
        <x:f>IF(M686&lt;=O686,1,0)</x:f>
        <x:v>1</x:v>
      </x:c>
      <x:c r="Q686" s="17" t="str">
        <x:v>D-road proxy; B-coordinates</x:v>
      </x:c>
    </x:row>
    <x:row r="687">
      <x:c r="A687" s="17" t="str">
        <x:v>A0683</x:v>
      </x:c>
      <x:c r="B687" s="17" t="str">
        <x:v>C11</x:v>
      </x:c>
      <x:c r="C687" s="17" t="str">
        <x:v>collection</x:v>
      </x:c>
      <x:c r="D687" s="17" t="str">
        <x:v>东莞虚拟回收/检测中心</x:v>
      </x:c>
      <x:c r="E687" s="24" t="n">
        <x:v>113.7452332</x:v>
      </x:c>
      <x:c r="F687" s="24" t="n">
        <x:v>23.0183568</x:v>
      </x:c>
      <x:c r="G687" s="17" t="str">
        <x:v>P02E</x:v>
      </x:c>
      <x:c r="H687" s="17" t="str">
        <x:v>echelon</x:v>
      </x:c>
      <x:c r="I687" s="17" t="str">
        <x:v>广东光华科技股份有限公司（梯次功能）</x:v>
      </x:c>
      <x:c r="J687" s="24" t="n">
        <x:v>116.6775856</x:v>
      </x:c>
      <x:c r="K687" s="24" t="n">
        <x:v>23.3563921</x:v>
      </x:c>
      <x:c r="L687" s="21" t="n">
        <x:f>6371*ACOS(MIN(1,COS(F687*PI()/180)*COS(K687*PI()/180)*COS((J687-E687)*PI()/180)+SIN(F687*PI()/180)*SIN(K687*PI()/180)))</x:f>
        <x:v>302.0660678063366</x:v>
      </x:c>
      <x:c r="M687" s="21" t="n">
        <x:f>L687*'情景参数模板'!$D$31</x:f>
        <x:v>362.4792813676039</x:v>
      </x:c>
      <x:c r="N687" s="21" t="n">
        <x:f>IF(C687="source",'情景参数模板'!$D$12,IF(H687="echelon",'情景参数模板'!$D$13,'情景参数模板'!$D$14))</x:f>
        <x:v>0.49</x:v>
      </x:c>
      <x:c r="O687" s="21" t="n">
        <x:f>IF(C687="source",'情景参数模板'!$D$18,IF(H687="echelon",'情景参数模板'!$D$19,'情景参数模板'!$D$20))</x:f>
        <x:v>300</x:v>
      </x:c>
      <x:c r="P687" s="17" t="n">
        <x:f>IF(M687&lt;=O687,1,0)</x:f>
        <x:v>0</x:v>
      </x:c>
      <x:c r="Q687" s="17" t="str">
        <x:v>D-road proxy; B-coordinates</x:v>
      </x:c>
    </x:row>
    <x:row r="688">
      <x:c r="A688" s="17" t="str">
        <x:v>A0684</x:v>
      </x:c>
      <x:c r="B688" s="17" t="str">
        <x:v>C11</x:v>
      </x:c>
      <x:c r="C688" s="17" t="str">
        <x:v>collection</x:v>
      </x:c>
      <x:c r="D688" s="17" t="str">
        <x:v>东莞虚拟回收/检测中心</x:v>
      </x:c>
      <x:c r="E688" s="24" t="n">
        <x:v>113.7452332</x:v>
      </x:c>
      <x:c r="F688" s="24" t="n">
        <x:v>23.0183568</x:v>
      </x:c>
      <x:c r="G688" s="17" t="str">
        <x:v>P02R</x:v>
      </x:c>
      <x:c r="H688" s="17" t="str">
        <x:v>recycling</x:v>
      </x:c>
      <x:c r="I688" s="17" t="str">
        <x:v>广东光华科技股份有限公司（再生功能）</x:v>
      </x:c>
      <x:c r="J688" s="24" t="n">
        <x:v>116.6775856</x:v>
      </x:c>
      <x:c r="K688" s="24" t="n">
        <x:v>23.3563921</x:v>
      </x:c>
      <x:c r="L688" s="21" t="n">
        <x:f>6371*ACOS(MIN(1,COS(F688*PI()/180)*COS(K688*PI()/180)*COS((J688-E688)*PI()/180)+SIN(F688*PI()/180)*SIN(K688*PI()/180)))</x:f>
        <x:v>302.0660678063366</x:v>
      </x:c>
      <x:c r="M688" s="21" t="n">
        <x:f>L688*'情景参数模板'!$D$31</x:f>
        <x:v>362.4792813676039</x:v>
      </x:c>
      <x:c r="N688" s="21" t="n">
        <x:f>IF(C688="source",'情景参数模板'!$D$12,IF(H688="echelon",'情景参数模板'!$D$13,'情景参数模板'!$D$14))</x:f>
        <x:v>0.49</x:v>
      </x:c>
      <x:c r="O688" s="21" t="n">
        <x:f>IF(C688="source",'情景参数模板'!$D$18,IF(H688="echelon",'情景参数模板'!$D$19,'情景参数模板'!$D$20))</x:f>
        <x:v>400</x:v>
      </x:c>
      <x:c r="P688" s="17" t="n">
        <x:f>IF(M688&lt;=O688,1,0)</x:f>
        <x:v>1</x:v>
      </x:c>
      <x:c r="Q688" s="17" t="str">
        <x:v>D-road proxy; B-coordinates</x:v>
      </x:c>
    </x:row>
    <x:row r="689">
      <x:c r="A689" s="17" t="str">
        <x:v>A0685</x:v>
      </x:c>
      <x:c r="B689" s="17" t="str">
        <x:v>C11</x:v>
      </x:c>
      <x:c r="C689" s="17" t="str">
        <x:v>collection</x:v>
      </x:c>
      <x:c r="D689" s="17" t="str">
        <x:v>东莞虚拟回收/检测中心</x:v>
      </x:c>
      <x:c r="E689" s="24" t="n">
        <x:v>113.7452332</x:v>
      </x:c>
      <x:c r="F689" s="24" t="n">
        <x:v>23.0183568</x:v>
      </x:c>
      <x:c r="G689" s="17" t="str">
        <x:v>P03</x:v>
      </x:c>
      <x:c r="H689" s="17" t="str">
        <x:v>echelon</x:v>
      </x:c>
      <x:c r="I689" s="17" t="str">
        <x:v>深圳深汕特别合作区乾泰技术有限公司</x:v>
      </x:c>
      <x:c r="J689" s="24" t="n">
        <x:v>115.5099937</x:v>
      </x:c>
      <x:c r="K689" s="24" t="n">
        <x:v>23.0123639</x:v>
      </x:c>
      <x:c r="L689" s="21" t="n">
        <x:f>6371*ACOS(MIN(1,COS(F689*PI()/180)*COS(K689*PI()/180)*COS((J689-E689)*PI()/180)+SIN(F689*PI()/180)*SIN(K689*PI()/180)))</x:f>
        <x:v>180.61246561279575</x:v>
      </x:c>
      <x:c r="M689" s="21" t="n">
        <x:f>L689*'情景参数模板'!$D$31</x:f>
        <x:v>216.7349587353549</x:v>
      </x:c>
      <x:c r="N689" s="21" t="n">
        <x:f>IF(C689="source",'情景参数模板'!$D$12,IF(H689="echelon",'情景参数模板'!$D$13,'情景参数模板'!$D$14))</x:f>
        <x:v>0.49</x:v>
      </x:c>
      <x:c r="O689" s="21" t="n">
        <x:f>IF(C689="source",'情景参数模板'!$D$18,IF(H689="echelon",'情景参数模板'!$D$19,'情景参数模板'!$D$20))</x:f>
        <x:v>300</x:v>
      </x:c>
      <x:c r="P689" s="17" t="n">
        <x:f>IF(M689&lt;=O689,1,0)</x:f>
        <x:v>1</x:v>
      </x:c>
      <x:c r="Q689" s="17" t="str">
        <x:v>D-road proxy; B-coordinates</x:v>
      </x:c>
    </x:row>
    <x:row r="690">
      <x:c r="A690" s="17" t="str">
        <x:v>A0686</x:v>
      </x:c>
      <x:c r="B690" s="17" t="str">
        <x:v>C11</x:v>
      </x:c>
      <x:c r="C690" s="17" t="str">
        <x:v>collection</x:v>
      </x:c>
      <x:c r="D690" s="17" t="str">
        <x:v>东莞虚拟回收/检测中心</x:v>
      </x:c>
      <x:c r="E690" s="24" t="n">
        <x:v>113.7452332</x:v>
      </x:c>
      <x:c r="F690" s="24" t="n">
        <x:v>23.0183568</x:v>
      </x:c>
      <x:c r="G690" s="17" t="str">
        <x:v>P04</x:v>
      </x:c>
      <x:c r="H690" s="17" t="str">
        <x:v>echelon</x:v>
      </x:c>
      <x:c r="I690" s="17" t="str">
        <x:v>珠海中力新能源科技有限公司</x:v>
      </x:c>
      <x:c r="J690" s="24" t="n">
        <x:v>113.5721327</x:v>
      </x:c>
      <x:c r="K690" s="24" t="n">
        <x:v>22.273734</x:v>
      </x:c>
      <x:c r="L690" s="21" t="n">
        <x:f>6371*ACOS(MIN(1,COS(F690*PI()/180)*COS(K690*PI()/180)*COS((J690-E690)*PI()/180)+SIN(F690*PI()/180)*SIN(K690*PI()/180)))</x:f>
        <x:v>84.68237310278309</x:v>
      </x:c>
      <x:c r="M690" s="21" t="n">
        <x:f>L690*'情景参数模板'!$D$31</x:f>
        <x:v>101.6188477233397</x:v>
      </x:c>
      <x:c r="N690" s="21" t="n">
        <x:f>IF(C690="source",'情景参数模板'!$D$12,IF(H690="echelon",'情景参数模板'!$D$13,'情景参数模板'!$D$14))</x:f>
        <x:v>0.49</x:v>
      </x:c>
      <x:c r="O690" s="21" t="n">
        <x:f>IF(C690="source",'情景参数模板'!$D$18,IF(H690="echelon",'情景参数模板'!$D$19,'情景参数模板'!$D$20))</x:f>
        <x:v>300</x:v>
      </x:c>
      <x:c r="P690" s="17" t="n">
        <x:f>IF(M690&lt;=O690,1,0)</x:f>
        <x:v>1</x:v>
      </x:c>
      <x:c r="Q690" s="17" t="str">
        <x:v>D-road proxy; B-coordinates</x:v>
      </x:c>
    </x:row>
    <x:row r="691">
      <x:c r="A691" s="17" t="str">
        <x:v>A0687</x:v>
      </x:c>
      <x:c r="B691" s="17" t="str">
        <x:v>C11</x:v>
      </x:c>
      <x:c r="C691" s="17" t="str">
        <x:v>collection</x:v>
      </x:c>
      <x:c r="D691" s="17" t="str">
        <x:v>东莞虚拟回收/检测中心</x:v>
      </x:c>
      <x:c r="E691" s="24" t="n">
        <x:v>113.7452332</x:v>
      </x:c>
      <x:c r="F691" s="24" t="n">
        <x:v>23.0183568</x:v>
      </x:c>
      <x:c r="G691" s="17" t="str">
        <x:v>P05</x:v>
      </x:c>
      <x:c r="H691" s="17" t="str">
        <x:v>echelon</x:v>
      </x:c>
      <x:c r="I691" s="17" t="str">
        <x:v>惠州市恒创睿能环保科技有限公司</x:v>
      </x:c>
      <x:c r="J691" s="24" t="n">
        <x:v>114.4127007</x:v>
      </x:c>
      <x:c r="K691" s="24" t="n">
        <x:v>23.1125153</x:v>
      </x:c>
      <x:c r="L691" s="21" t="n">
        <x:f>6371*ACOS(MIN(1,COS(F691*PI()/180)*COS(K691*PI()/180)*COS((J691-E691)*PI()/180)+SIN(F691*PI()/180)*SIN(K691*PI()/180)))</x:f>
        <x:v>69.08370671447607</x:v>
      </x:c>
      <x:c r="M691" s="21" t="n">
        <x:f>L691*'情景参数模板'!$D$31</x:f>
        <x:v>82.90044805737128</x:v>
      </x:c>
      <x:c r="N691" s="21" t="n">
        <x:f>IF(C691="source",'情景参数模板'!$D$12,IF(H691="echelon",'情景参数模板'!$D$13,'情景参数模板'!$D$14))</x:f>
        <x:v>0.49</x:v>
      </x:c>
      <x:c r="O691" s="21" t="n">
        <x:f>IF(C691="source",'情景参数模板'!$D$18,IF(H691="echelon",'情景参数模板'!$D$19,'情景参数模板'!$D$20))</x:f>
        <x:v>300</x:v>
      </x:c>
      <x:c r="P691" s="17" t="n">
        <x:f>IF(M691&lt;=O691,1,0)</x:f>
        <x:v>1</x:v>
      </x:c>
      <x:c r="Q691" s="17" t="str">
        <x:v>D-road proxy; B-coordinates</x:v>
      </x:c>
    </x:row>
    <x:row r="692">
      <x:c r="A692" s="17" t="str">
        <x:v>A0688</x:v>
      </x:c>
      <x:c r="B692" s="17" t="str">
        <x:v>C11</x:v>
      </x:c>
      <x:c r="C692" s="17" t="str">
        <x:v>collection</x:v>
      </x:c>
      <x:c r="D692" s="17" t="str">
        <x:v>东莞虚拟回收/检测中心</x:v>
      </x:c>
      <x:c r="E692" s="24" t="n">
        <x:v>113.7452332</x:v>
      </x:c>
      <x:c r="F692" s="24" t="n">
        <x:v>23.0183568</x:v>
      </x:c>
      <x:c r="G692" s="17" t="str">
        <x:v>P06</x:v>
      </x:c>
      <x:c r="H692" s="17" t="str">
        <x:v>echelon</x:v>
      </x:c>
      <x:c r="I692" s="17" t="str">
        <x:v>江门市朗达锂电池有限公司</x:v>
      </x:c>
      <x:c r="J692" s="24" t="n">
        <x:v>113.0761073</x:v>
      </x:c>
      <x:c r="K692" s="24" t="n">
        <x:v>22.5816619</x:v>
      </x:c>
      <x:c r="L692" s="21" t="n">
        <x:f>6371*ACOS(MIN(1,COS(F692*PI()/180)*COS(K692*PI()/180)*COS((J692-E692)*PI()/180)+SIN(F692*PI()/180)*SIN(K692*PI()/180)))</x:f>
        <x:v>84.0381800487033</x:v>
      </x:c>
      <x:c r="M692" s="21" t="n">
        <x:f>L692*'情景参数模板'!$D$31</x:f>
        <x:v>100.84581605844396</x:v>
      </x:c>
      <x:c r="N692" s="21" t="n">
        <x:f>IF(C692="source",'情景参数模板'!$D$12,IF(H692="echelon",'情景参数模板'!$D$13,'情景参数模板'!$D$14))</x:f>
        <x:v>0.49</x:v>
      </x:c>
      <x:c r="O692" s="21" t="n">
        <x:f>IF(C692="source",'情景参数模板'!$D$18,IF(H692="echelon",'情景参数模板'!$D$19,'情景参数模板'!$D$20))</x:f>
        <x:v>300</x:v>
      </x:c>
      <x:c r="P692" s="17" t="n">
        <x:f>IF(M692&lt;=O692,1,0)</x:f>
        <x:v>1</x:v>
      </x:c>
      <x:c r="Q692" s="17" t="str">
        <x:v>D-road proxy; B-coordinates</x:v>
      </x:c>
    </x:row>
    <x:row r="693">
      <x:c r="A693" s="17" t="str">
        <x:v>A0689</x:v>
      </x:c>
      <x:c r="B693" s="17" t="str">
        <x:v>C11</x:v>
      </x:c>
      <x:c r="C693" s="17" t="str">
        <x:v>collection</x:v>
      </x:c>
      <x:c r="D693" s="17" t="str">
        <x:v>东莞虚拟回收/检测中心</x:v>
      </x:c>
      <x:c r="E693" s="24" t="n">
        <x:v>113.7452332</x:v>
      </x:c>
      <x:c r="F693" s="24" t="n">
        <x:v>23.0183568</x:v>
      </x:c>
      <x:c r="G693" s="17" t="str">
        <x:v>P07</x:v>
      </x:c>
      <x:c r="H693" s="17" t="str">
        <x:v>echelon</x:v>
      </x:c>
      <x:c r="I693" s="17" t="str">
        <x:v>广东迪度新能源有限公司</x:v>
      </x:c>
      <x:c r="J693" s="24" t="n">
        <x:v>113.7452332</x:v>
      </x:c>
      <x:c r="K693" s="24" t="n">
        <x:v>23.0183568</x:v>
      </x:c>
      <x:c r="L693" s="21" t="n">
        <x:f>6371*ACOS(MIN(1,COS(F693*PI()/180)*COS(K693*PI()/180)*COS((J693-E693)*PI()/180)+SIN(F693*PI()/180)*SIN(K693*PI()/180)))</x:f>
        <x:v>0</x:v>
      </x:c>
      <x:c r="M693" s="21" t="n">
        <x:f>L693*'情景参数模板'!$D$31</x:f>
        <x:v>0</x:v>
      </x:c>
      <x:c r="N693" s="21" t="n">
        <x:f>IF(C693="source",'情景参数模板'!$D$12,IF(H693="echelon",'情景参数模板'!$D$13,'情景参数模板'!$D$14))</x:f>
        <x:v>0.49</x:v>
      </x:c>
      <x:c r="O693" s="21" t="n">
        <x:f>IF(C693="source",'情景参数模板'!$D$18,IF(H693="echelon",'情景参数模板'!$D$19,'情景参数模板'!$D$20))</x:f>
        <x:v>300</x:v>
      </x:c>
      <x:c r="P693" s="17" t="n">
        <x:f>IF(M693&lt;=O693,1,0)</x:f>
        <x:v>1</x:v>
      </x:c>
      <x:c r="Q693" s="17" t="str">
        <x:v>D-road proxy; B-coordinates</x:v>
      </x:c>
    </x:row>
    <x:row r="694">
      <x:c r="A694" s="17" t="str">
        <x:v>A0690</x:v>
      </x:c>
      <x:c r="B694" s="17" t="str">
        <x:v>C11</x:v>
      </x:c>
      <x:c r="C694" s="17" t="str">
        <x:v>collection</x:v>
      </x:c>
      <x:c r="D694" s="17" t="str">
        <x:v>东莞虚拟回收/检测中心</x:v>
      </x:c>
      <x:c r="E694" s="24" t="n">
        <x:v>113.7452332</x:v>
      </x:c>
      <x:c r="F694" s="24" t="n">
        <x:v>23.0183568</x:v>
      </x:c>
      <x:c r="G694" s="17" t="str">
        <x:v>P08</x:v>
      </x:c>
      <x:c r="H694" s="17" t="str">
        <x:v>echelon</x:v>
      </x:c>
      <x:c r="I694" s="17" t="str">
        <x:v>东莞市博森新能源有限公司</x:v>
      </x:c>
      <x:c r="J694" s="24" t="n">
        <x:v>113.7452332</x:v>
      </x:c>
      <x:c r="K694" s="24" t="n">
        <x:v>23.0183568</x:v>
      </x:c>
      <x:c r="L694" s="21" t="n">
        <x:f>6371*ACOS(MIN(1,COS(F694*PI()/180)*COS(K694*PI()/180)*COS((J694-E694)*PI()/180)+SIN(F694*PI()/180)*SIN(K694*PI()/180)))</x:f>
        <x:v>0</x:v>
      </x:c>
      <x:c r="M694" s="21" t="n">
        <x:f>L694*'情景参数模板'!$D$31</x:f>
        <x:v>0</x:v>
      </x:c>
      <x:c r="N694" s="21" t="n">
        <x:f>IF(C694="source",'情景参数模板'!$D$12,IF(H694="echelon",'情景参数模板'!$D$13,'情景参数模板'!$D$14))</x:f>
        <x:v>0.49</x:v>
      </x:c>
      <x:c r="O694" s="21" t="n">
        <x:f>IF(C694="source",'情景参数模板'!$D$18,IF(H694="echelon",'情景参数模板'!$D$19,'情景参数模板'!$D$20))</x:f>
        <x:v>300</x:v>
      </x:c>
      <x:c r="P694" s="17" t="n">
        <x:f>IF(M694&lt;=O694,1,0)</x:f>
        <x:v>1</x:v>
      </x:c>
      <x:c r="Q694" s="17" t="str">
        <x:v>D-road proxy; B-coordinates</x:v>
      </x:c>
    </x:row>
    <x:row r="695">
      <x:c r="A695" s="17" t="str">
        <x:v>A0691</x:v>
      </x:c>
      <x:c r="B695" s="17" t="str">
        <x:v>C11</x:v>
      </x:c>
      <x:c r="C695" s="17" t="str">
        <x:v>collection</x:v>
      </x:c>
      <x:c r="D695" s="17" t="str">
        <x:v>东莞虚拟回收/检测中心</x:v>
      </x:c>
      <x:c r="E695" s="24" t="n">
        <x:v>113.7452332</x:v>
      </x:c>
      <x:c r="F695" s="24" t="n">
        <x:v>23.0183568</x:v>
      </x:c>
      <x:c r="G695" s="17" t="str">
        <x:v>P09</x:v>
      </x:c>
      <x:c r="H695" s="17" t="str">
        <x:v>echelon</x:v>
      </x:c>
      <x:c r="I695" s="17" t="str">
        <x:v>广东宇阳新能源有限公司</x:v>
      </x:c>
      <x:c r="J695" s="24" t="n">
        <x:v>113.7452332</x:v>
      </x:c>
      <x:c r="K695" s="24" t="n">
        <x:v>23.0183568</x:v>
      </x:c>
      <x:c r="L695" s="21" t="n">
        <x:f>6371*ACOS(MIN(1,COS(F695*PI()/180)*COS(K695*PI()/180)*COS((J695-E695)*PI()/180)+SIN(F695*PI()/180)*SIN(K695*PI()/180)))</x:f>
        <x:v>0</x:v>
      </x:c>
      <x:c r="M695" s="21" t="n">
        <x:f>L695*'情景参数模板'!$D$31</x:f>
        <x:v>0</x:v>
      </x:c>
      <x:c r="N695" s="21" t="n">
        <x:f>IF(C695="source",'情景参数模板'!$D$12,IF(H695="echelon",'情景参数模板'!$D$13,'情景参数模板'!$D$14))</x:f>
        <x:v>0.49</x:v>
      </x:c>
      <x:c r="O695" s="21" t="n">
        <x:f>IF(C695="source",'情景参数模板'!$D$18,IF(H695="echelon",'情景参数模板'!$D$19,'情景参数模板'!$D$20))</x:f>
        <x:v>300</x:v>
      </x:c>
      <x:c r="P695" s="17" t="n">
        <x:f>IF(M695&lt;=O695,1,0)</x:f>
        <x:v>1</x:v>
      </x:c>
      <x:c r="Q695" s="17" t="str">
        <x:v>D-road proxy; B-coordinates</x:v>
      </x:c>
    </x:row>
    <x:row r="696">
      <x:c r="A696" s="17" t="str">
        <x:v>A0692</x:v>
      </x:c>
      <x:c r="B696" s="17" t="str">
        <x:v>C11</x:v>
      </x:c>
      <x:c r="C696" s="17" t="str">
        <x:v>collection</x:v>
      </x:c>
      <x:c r="D696" s="17" t="str">
        <x:v>东莞虚拟回收/检测中心</x:v>
      </x:c>
      <x:c r="E696" s="24" t="n">
        <x:v>113.7452332</x:v>
      </x:c>
      <x:c r="F696" s="24" t="n">
        <x:v>23.0183568</x:v>
      </x:c>
      <x:c r="G696" s="17" t="str">
        <x:v>P10</x:v>
      </x:c>
      <x:c r="H696" s="17" t="str">
        <x:v>echelon</x:v>
      </x:c>
      <x:c r="I696" s="17" t="str">
        <x:v>广州广汽商贸再生资源有限公司</x:v>
      </x:c>
      <x:c r="J696" s="24" t="n">
        <x:v>113.2589581</x:v>
      </x:c>
      <x:c r="K696" s="24" t="n">
        <x:v>23.1288429</x:v>
      </x:c>
      <x:c r="L696" s="21" t="n">
        <x:f>6371*ACOS(MIN(1,COS(F696*PI()/180)*COS(K696*PI()/180)*COS((J696-E696)*PI()/180)+SIN(F696*PI()/180)*SIN(K696*PI()/180)))</x:f>
        <x:v>51.240297874016186</x:v>
      </x:c>
      <x:c r="M696" s="21" t="n">
        <x:f>L696*'情景参数模板'!$D$31</x:f>
        <x:v>61.48835744881942</x:v>
      </x:c>
      <x:c r="N696" s="21" t="n">
        <x:f>IF(C696="source",'情景参数模板'!$D$12,IF(H696="echelon",'情景参数模板'!$D$13,'情景参数模板'!$D$14))</x:f>
        <x:v>0.49</x:v>
      </x:c>
      <x:c r="O696" s="21" t="n">
        <x:f>IF(C696="source",'情景参数模板'!$D$18,IF(H696="echelon",'情景参数模板'!$D$19,'情景参数模板'!$D$20))</x:f>
        <x:v>300</x:v>
      </x:c>
      <x:c r="P696" s="17" t="n">
        <x:f>IF(M696&lt;=O696,1,0)</x:f>
        <x:v>1</x:v>
      </x:c>
      <x:c r="Q696" s="17" t="str">
        <x:v>D-road proxy; B-coordinates</x:v>
      </x:c>
    </x:row>
    <x:row r="697">
      <x:c r="A697" s="17" t="str">
        <x:v>A0693</x:v>
      </x:c>
      <x:c r="B697" s="17" t="str">
        <x:v>C11</x:v>
      </x:c>
      <x:c r="C697" s="17" t="str">
        <x:v>collection</x:v>
      </x:c>
      <x:c r="D697" s="17" t="str">
        <x:v>东莞虚拟回收/检测中心</x:v>
      </x:c>
      <x:c r="E697" s="24" t="n">
        <x:v>113.7452332</x:v>
      </x:c>
      <x:c r="F697" s="24" t="n">
        <x:v>23.0183568</x:v>
      </x:c>
      <x:c r="G697" s="17" t="str">
        <x:v>P11</x:v>
      </x:c>
      <x:c r="H697" s="17" t="str">
        <x:v>echelon</x:v>
      </x:c>
      <x:c r="I697" s="17" t="str">
        <x:v>深圳市杰成镍钴新能源科技有限公司</x:v>
      </x:c>
      <x:c r="J697" s="24" t="n">
        <x:v>114.0545429</x:v>
      </x:c>
      <x:c r="K697" s="24" t="n">
        <x:v>22.5445741</x:v>
      </x:c>
      <x:c r="L697" s="21" t="n">
        <x:f>6371*ACOS(MIN(1,COS(F697*PI()/180)*COS(K697*PI()/180)*COS((J697-E697)*PI()/180)+SIN(F697*PI()/180)*SIN(K697*PI()/180)))</x:f>
        <x:v>61.48958054626042</x:v>
      </x:c>
      <x:c r="M697" s="21" t="n">
        <x:f>L697*'情景参数模板'!$D$31</x:f>
        <x:v>73.7874966555125</x:v>
      </x:c>
      <x:c r="N697" s="21" t="n">
        <x:f>IF(C697="source",'情景参数模板'!$D$12,IF(H697="echelon",'情景参数模板'!$D$13,'情景参数模板'!$D$14))</x:f>
        <x:v>0.49</x:v>
      </x:c>
      <x:c r="O697" s="21" t="n">
        <x:f>IF(C697="source",'情景参数模板'!$D$18,IF(H697="echelon",'情景参数模板'!$D$19,'情景参数模板'!$D$20))</x:f>
        <x:v>300</x:v>
      </x:c>
      <x:c r="P697" s="17" t="n">
        <x:f>IF(M697&lt;=O697,1,0)</x:f>
        <x:v>1</x:v>
      </x:c>
      <x:c r="Q697" s="17" t="str">
        <x:v>D-road proxy; B-coordinates</x:v>
      </x:c>
    </x:row>
    <x:row r="698">
      <x:c r="A698" s="17" t="str">
        <x:v>A0694</x:v>
      </x:c>
      <x:c r="B698" s="17" t="str">
        <x:v>C11</x:v>
      </x:c>
      <x:c r="C698" s="17" t="str">
        <x:v>collection</x:v>
      </x:c>
      <x:c r="D698" s="17" t="str">
        <x:v>东莞虚拟回收/检测中心</x:v>
      </x:c>
      <x:c r="E698" s="24" t="n">
        <x:v>113.7452332</x:v>
      </x:c>
      <x:c r="F698" s="24" t="n">
        <x:v>23.0183568</x:v>
      </x:c>
      <x:c r="G698" s="17" t="str">
        <x:v>P12</x:v>
      </x:c>
      <x:c r="H698" s="17" t="str">
        <x:v>recycling</x:v>
      </x:c>
      <x:c r="I698" s="17" t="str">
        <x:v>江门市恒创睿能环保科技有限公司</x:v>
      </x:c>
      <x:c r="J698" s="24" t="n">
        <x:v>113.0761073</x:v>
      </x:c>
      <x:c r="K698" s="24" t="n">
        <x:v>22.5816619</x:v>
      </x:c>
      <x:c r="L698" s="21" t="n">
        <x:f>6371*ACOS(MIN(1,COS(F698*PI()/180)*COS(K698*PI()/180)*COS((J698-E698)*PI()/180)+SIN(F698*PI()/180)*SIN(K698*PI()/180)))</x:f>
        <x:v>84.0381800487033</x:v>
      </x:c>
      <x:c r="M698" s="21" t="n">
        <x:f>L698*'情景参数模板'!$D$31</x:f>
        <x:v>100.84581605844396</x:v>
      </x:c>
      <x:c r="N698" s="21" t="n">
        <x:f>IF(C698="source",'情景参数模板'!$D$12,IF(H698="echelon",'情景参数模板'!$D$13,'情景参数模板'!$D$14))</x:f>
        <x:v>0.49</x:v>
      </x:c>
      <x:c r="O698" s="21" t="n">
        <x:f>IF(C698="source",'情景参数模板'!$D$18,IF(H698="echelon",'情景参数模板'!$D$19,'情景参数模板'!$D$20))</x:f>
        <x:v>400</x:v>
      </x:c>
      <x:c r="P698" s="17" t="n">
        <x:f>IF(M698&lt;=O698,1,0)</x:f>
        <x:v>1</x:v>
      </x:c>
      <x:c r="Q698" s="17" t="str">
        <x:v>D-road proxy; B-coordinates</x:v>
      </x:c>
    </x:row>
    <x:row r="699">
      <x:c r="A699" s="17" t="str">
        <x:v>A0695</x:v>
      </x:c>
      <x:c r="B699" s="17" t="str">
        <x:v>C11</x:v>
      </x:c>
      <x:c r="C699" s="17" t="str">
        <x:v>collection</x:v>
      </x:c>
      <x:c r="D699" s="17" t="str">
        <x:v>东莞虚拟回收/检测中心</x:v>
      </x:c>
      <x:c r="E699" s="24" t="n">
        <x:v>113.7452332</x:v>
      </x:c>
      <x:c r="F699" s="24" t="n">
        <x:v>23.0183568</x:v>
      </x:c>
      <x:c r="G699" s="17" t="str">
        <x:v>P13</x:v>
      </x:c>
      <x:c r="H699" s="17" t="str">
        <x:v>recycling</x:v>
      </x:c>
      <x:c r="I699" s="17" t="str">
        <x:v>广东佳纳能源科技有限公司</x:v>
      </x:c>
      <x:c r="J699" s="24" t="n">
        <x:v>113.0505994</x:v>
      </x:c>
      <x:c r="K699" s="24" t="n">
        <x:v>23.6832984</x:v>
      </x:c>
      <x:c r="L699" s="21" t="n">
        <x:f>6371*ACOS(MIN(1,COS(F699*PI()/180)*COS(K699*PI()/180)*COS((J699-E699)*PI()/180)+SIN(F699*PI()/180)*SIN(K699*PI()/180)))</x:f>
        <x:v>102.44738181217072</x:v>
      </x:c>
      <x:c r="M699" s="21" t="n">
        <x:f>L699*'情景参数模板'!$D$31</x:f>
        <x:v>122.93685817460485</x:v>
      </x:c>
      <x:c r="N699" s="21" t="n">
        <x:f>IF(C699="source",'情景参数模板'!$D$12,IF(H699="echelon",'情景参数模板'!$D$13,'情景参数模板'!$D$14))</x:f>
        <x:v>0.49</x:v>
      </x:c>
      <x:c r="O699" s="21" t="n">
        <x:f>IF(C699="source",'情景参数模板'!$D$18,IF(H699="echelon",'情景参数模板'!$D$19,'情景参数模板'!$D$20))</x:f>
        <x:v>400</x:v>
      </x:c>
      <x:c r="P699" s="17" t="n">
        <x:f>IF(M699&lt;=O699,1,0)</x:f>
        <x:v>1</x:v>
      </x:c>
      <x:c r="Q699" s="17" t="str">
        <x:v>D-road proxy; B-coordinates</x:v>
      </x:c>
    </x:row>
    <x:row r="700">
      <x:c r="A700" s="17" t="str">
        <x:v>A0696</x:v>
      </x:c>
      <x:c r="B700" s="17" t="str">
        <x:v>C11</x:v>
      </x:c>
      <x:c r="C700" s="17" t="str">
        <x:v>collection</x:v>
      </x:c>
      <x:c r="D700" s="17" t="str">
        <x:v>东莞虚拟回收/检测中心</x:v>
      </x:c>
      <x:c r="E700" s="24" t="n">
        <x:v>113.7452332</x:v>
      </x:c>
      <x:c r="F700" s="24" t="n">
        <x:v>23.0183568</x:v>
      </x:c>
      <x:c r="G700" s="17" t="str">
        <x:v>P14</x:v>
      </x:c>
      <x:c r="H700" s="17" t="str">
        <x:v>echelon</x:v>
      </x:c>
      <x:c r="I700" s="17" t="str">
        <x:v>格林美（深圳）循环科技有限公司</x:v>
      </x:c>
      <x:c r="J700" s="24" t="n">
        <x:v>114.0545429</x:v>
      </x:c>
      <x:c r="K700" s="24" t="n">
        <x:v>22.5445741</x:v>
      </x:c>
      <x:c r="L700" s="21" t="n">
        <x:f>6371*ACOS(MIN(1,COS(F700*PI()/180)*COS(K700*PI()/180)*COS((J700-E700)*PI()/180)+SIN(F700*PI()/180)*SIN(K700*PI()/180)))</x:f>
        <x:v>61.48958054626042</x:v>
      </x:c>
      <x:c r="M700" s="21" t="n">
        <x:f>L700*'情景参数模板'!$D$31</x:f>
        <x:v>73.7874966555125</x:v>
      </x:c>
      <x:c r="N700" s="21" t="n">
        <x:f>IF(C700="source",'情景参数模板'!$D$12,IF(H700="echelon",'情景参数模板'!$D$13,'情景参数模板'!$D$14))</x:f>
        <x:v>0.49</x:v>
      </x:c>
      <x:c r="O700" s="21" t="n">
        <x:f>IF(C700="source",'情景参数模板'!$D$18,IF(H700="echelon",'情景参数模板'!$D$19,'情景参数模板'!$D$20))</x:f>
        <x:v>300</x:v>
      </x:c>
      <x:c r="P700" s="17" t="n">
        <x:f>IF(M700&lt;=O700,1,0)</x:f>
        <x:v>1</x:v>
      </x:c>
      <x:c r="Q700" s="17" t="str">
        <x:v>D-road proxy; B-coordinates</x:v>
      </x:c>
    </x:row>
    <x:row r="701">
      <x:c r="A701" s="17" t="str">
        <x:v>A0697</x:v>
      </x:c>
      <x:c r="B701" s="17" t="str">
        <x:v>C11</x:v>
      </x:c>
      <x:c r="C701" s="17" t="str">
        <x:v>collection</x:v>
      </x:c>
      <x:c r="D701" s="17" t="str">
        <x:v>东莞虚拟回收/检测中心</x:v>
      </x:c>
      <x:c r="E701" s="24" t="n">
        <x:v>113.7452332</x:v>
      </x:c>
      <x:c r="F701" s="24" t="n">
        <x:v>23.0183568</x:v>
      </x:c>
      <x:c r="G701" s="17" t="str">
        <x:v>P15</x:v>
      </x:c>
      <x:c r="H701" s="17" t="str">
        <x:v>echelon</x:v>
      </x:c>
      <x:c r="I701" s="17" t="str">
        <x:v>绿循新能源科技（佛山）有限责任公司</x:v>
      </x:c>
      <x:c r="J701" s="24" t="n">
        <x:v>113.1159558</x:v>
      </x:c>
      <x:c r="K701" s="24" t="n">
        <x:v>23.0239788</x:v>
      </x:c>
      <x:c r="L701" s="21" t="n">
        <x:f>6371*ACOS(MIN(1,COS(F701*PI()/180)*COS(K701*PI()/180)*COS((J701-E701)*PI()/180)+SIN(F701*PI()/180)*SIN(K701*PI()/180)))</x:f>
        <x:v>64.40286310353615</x:v>
      </x:c>
      <x:c r="M701" s="21" t="n">
        <x:f>L701*'情景参数模板'!$D$31</x:f>
        <x:v>77.28343572424338</x:v>
      </x:c>
      <x:c r="N701" s="21" t="n">
        <x:f>IF(C701="source",'情景参数模板'!$D$12,IF(H701="echelon",'情景参数模板'!$D$13,'情景参数模板'!$D$14))</x:f>
        <x:v>0.49</x:v>
      </x:c>
      <x:c r="O701" s="21" t="n">
        <x:f>IF(C701="source",'情景参数模板'!$D$18,IF(H701="echelon",'情景参数模板'!$D$19,'情景参数模板'!$D$20))</x:f>
        <x:v>300</x:v>
      </x:c>
      <x:c r="P701" s="17" t="n">
        <x:f>IF(M701&lt;=O701,1,0)</x:f>
        <x:v>1</x:v>
      </x:c>
      <x:c r="Q701" s="17" t="str">
        <x:v>D-road proxy; B-coordinates</x:v>
      </x:c>
    </x:row>
    <x:row r="702">
      <x:c r="A702" s="17" t="str">
        <x:v>A0698</x:v>
      </x:c>
      <x:c r="B702" s="17" t="str">
        <x:v>C11</x:v>
      </x:c>
      <x:c r="C702" s="17" t="str">
        <x:v>collection</x:v>
      </x:c>
      <x:c r="D702" s="17" t="str">
        <x:v>东莞虚拟回收/检测中心</x:v>
      </x:c>
      <x:c r="E702" s="24" t="n">
        <x:v>113.7452332</x:v>
      </x:c>
      <x:c r="F702" s="24" t="n">
        <x:v>23.0183568</x:v>
      </x:c>
      <x:c r="G702" s="17" t="str">
        <x:v>P16</x:v>
      </x:c>
      <x:c r="H702" s="17" t="str">
        <x:v>echelon</x:v>
      </x:c>
      <x:c r="I702" s="17" t="str">
        <x:v>深圳艾云动智慧科技有限公司</x:v>
      </x:c>
      <x:c r="J702" s="24" t="n">
        <x:v>114.0545429</x:v>
      </x:c>
      <x:c r="K702" s="24" t="n">
        <x:v>22.5445741</x:v>
      </x:c>
      <x:c r="L702" s="21" t="n">
        <x:f>6371*ACOS(MIN(1,COS(F702*PI()/180)*COS(K702*PI()/180)*COS((J702-E702)*PI()/180)+SIN(F702*PI()/180)*SIN(K702*PI()/180)))</x:f>
        <x:v>61.48958054626042</x:v>
      </x:c>
      <x:c r="M702" s="21" t="n">
        <x:f>L702*'情景参数模板'!$D$31</x:f>
        <x:v>73.7874966555125</x:v>
      </x:c>
      <x:c r="N702" s="21" t="n">
        <x:f>IF(C702="source",'情景参数模板'!$D$12,IF(H702="echelon",'情景参数模板'!$D$13,'情景参数模板'!$D$14))</x:f>
        <x:v>0.49</x:v>
      </x:c>
      <x:c r="O702" s="21" t="n">
        <x:f>IF(C702="source",'情景参数模板'!$D$18,IF(H702="echelon",'情景参数模板'!$D$19,'情景参数模板'!$D$20))</x:f>
        <x:v>300</x:v>
      </x:c>
      <x:c r="P702" s="17" t="n">
        <x:f>IF(M702&lt;=O702,1,0)</x:f>
        <x:v>1</x:v>
      </x:c>
      <x:c r="Q702" s="17" t="str">
        <x:v>D-road proxy; B-coordinates</x:v>
      </x:c>
    </x:row>
    <x:row r="703">
      <x:c r="A703" s="17" t="str">
        <x:v>A0699</x:v>
      </x:c>
      <x:c r="B703" s="17" t="str">
        <x:v>C11</x:v>
      </x:c>
      <x:c r="C703" s="17" t="str">
        <x:v>collection</x:v>
      </x:c>
      <x:c r="D703" s="17" t="str">
        <x:v>东莞虚拟回收/检测中心</x:v>
      </x:c>
      <x:c r="E703" s="24" t="n">
        <x:v>113.7452332</x:v>
      </x:c>
      <x:c r="F703" s="24" t="n">
        <x:v>23.0183568</x:v>
      </x:c>
      <x:c r="G703" s="17" t="str">
        <x:v>P17</x:v>
      </x:c>
      <x:c r="H703" s="17" t="str">
        <x:v>echelon</x:v>
      </x:c>
      <x:c r="I703" s="17" t="str">
        <x:v>深圳市荣高晟新能源科技有限公司</x:v>
      </x:c>
      <x:c r="J703" s="24" t="n">
        <x:v>114.0545429</x:v>
      </x:c>
      <x:c r="K703" s="24" t="n">
        <x:v>22.5445741</x:v>
      </x:c>
      <x:c r="L703" s="21" t="n">
        <x:f>6371*ACOS(MIN(1,COS(F703*PI()/180)*COS(K703*PI()/180)*COS((J703-E703)*PI()/180)+SIN(F703*PI()/180)*SIN(K703*PI()/180)))</x:f>
        <x:v>61.48958054626042</x:v>
      </x:c>
      <x:c r="M703" s="21" t="n">
        <x:f>L703*'情景参数模板'!$D$31</x:f>
        <x:v>73.7874966555125</x:v>
      </x:c>
      <x:c r="N703" s="21" t="n">
        <x:f>IF(C703="source",'情景参数模板'!$D$12,IF(H703="echelon",'情景参数模板'!$D$13,'情景参数模板'!$D$14))</x:f>
        <x:v>0.49</x:v>
      </x:c>
      <x:c r="O703" s="21" t="n">
        <x:f>IF(C703="source",'情景参数模板'!$D$18,IF(H703="echelon",'情景参数模板'!$D$19,'情景参数模板'!$D$20))</x:f>
        <x:v>300</x:v>
      </x:c>
      <x:c r="P703" s="17" t="n">
        <x:f>IF(M703&lt;=O703,1,0)</x:f>
        <x:v>1</x:v>
      </x:c>
      <x:c r="Q703" s="17" t="str">
        <x:v>D-road proxy; B-coordinates</x:v>
      </x:c>
    </x:row>
    <x:row r="704">
      <x:c r="A704" s="17" t="str">
        <x:v>A0700</x:v>
      </x:c>
      <x:c r="B704" s="17" t="str">
        <x:v>C11</x:v>
      </x:c>
      <x:c r="C704" s="17" t="str">
        <x:v>collection</x:v>
      </x:c>
      <x:c r="D704" s="17" t="str">
        <x:v>东莞虚拟回收/检测中心</x:v>
      </x:c>
      <x:c r="E704" s="24" t="n">
        <x:v>113.7452332</x:v>
      </x:c>
      <x:c r="F704" s="24" t="n">
        <x:v>23.0183568</x:v>
      </x:c>
      <x:c r="G704" s="17" t="str">
        <x:v>P18</x:v>
      </x:c>
      <x:c r="H704" s="17" t="str">
        <x:v>echelon</x:v>
      </x:c>
      <x:c r="I704" s="17" t="str">
        <x:v>中商锂新能源科技（惠州）有限公司</x:v>
      </x:c>
      <x:c r="J704" s="24" t="n">
        <x:v>114.4127007</x:v>
      </x:c>
      <x:c r="K704" s="24" t="n">
        <x:v>23.1125153</x:v>
      </x:c>
      <x:c r="L704" s="21" t="n">
        <x:f>6371*ACOS(MIN(1,COS(F704*PI()/180)*COS(K704*PI()/180)*COS((J704-E704)*PI()/180)+SIN(F704*PI()/180)*SIN(K704*PI()/180)))</x:f>
        <x:v>69.08370671447607</x:v>
      </x:c>
      <x:c r="M704" s="21" t="n">
        <x:f>L704*'情景参数模板'!$D$31</x:f>
        <x:v>82.90044805737128</x:v>
      </x:c>
      <x:c r="N704" s="21" t="n">
        <x:f>IF(C704="source",'情景参数模板'!$D$12,IF(H704="echelon",'情景参数模板'!$D$13,'情景参数模板'!$D$14))</x:f>
        <x:v>0.49</x:v>
      </x:c>
      <x:c r="O704" s="21" t="n">
        <x:f>IF(C704="source",'情景参数模板'!$D$18,IF(H704="echelon",'情景参数模板'!$D$19,'情景参数模板'!$D$20))</x:f>
        <x:v>300</x:v>
      </x:c>
      <x:c r="P704" s="17" t="n">
        <x:f>IF(M704&lt;=O704,1,0)</x:f>
        <x:v>1</x:v>
      </x:c>
      <x:c r="Q704" s="17" t="str">
        <x:v>D-road proxy; B-coordinates</x:v>
      </x:c>
    </x:row>
    <x:row r="705">
      <x:c r="A705" s="17" t="str">
        <x:v>A0701</x:v>
      </x:c>
      <x:c r="B705" s="17" t="str">
        <x:v>C11</x:v>
      </x:c>
      <x:c r="C705" s="17" t="str">
        <x:v>collection</x:v>
      </x:c>
      <x:c r="D705" s="17" t="str">
        <x:v>东莞虚拟回收/检测中心</x:v>
      </x:c>
      <x:c r="E705" s="24" t="n">
        <x:v>113.7452332</x:v>
      </x:c>
      <x:c r="F705" s="24" t="n">
        <x:v>23.0183568</x:v>
      </x:c>
      <x:c r="G705" s="17" t="str">
        <x:v>P19</x:v>
      </x:c>
      <x:c r="H705" s="17" t="str">
        <x:v>recycling</x:v>
      </x:c>
      <x:c r="I705" s="17" t="str">
        <x:v>广东盛祥新材料科技有限公司</x:v>
      </x:c>
      <x:c r="J705" s="24" t="n">
        <x:v>113.8155263</x:v>
      </x:c>
      <x:c r="K705" s="24" t="n">
        <x:v>24.8309489</x:v>
      </x:c>
      <x:c r="L705" s="21" t="n">
        <x:f>6371*ACOS(MIN(1,COS(F705*PI()/180)*COS(K705*PI()/180)*COS((J705-E705)*PI()/180)+SIN(F705*PI()/180)*SIN(K705*PI()/180)))</x:f>
        <x:v>201.67762245027922</x:v>
      </x:c>
      <x:c r="M705" s="21" t="n">
        <x:f>L705*'情景参数模板'!$D$31</x:f>
        <x:v>242.01314694033505</x:v>
      </x:c>
      <x:c r="N705" s="21" t="n">
        <x:f>IF(C705="source",'情景参数模板'!$D$12,IF(H705="echelon",'情景参数模板'!$D$13,'情景参数模板'!$D$14))</x:f>
        <x:v>0.49</x:v>
      </x:c>
      <x:c r="O705" s="21" t="n">
        <x:f>IF(C705="source",'情景参数模板'!$D$18,IF(H705="echelon",'情景参数模板'!$D$19,'情景参数模板'!$D$20))</x:f>
        <x:v>400</x:v>
      </x:c>
      <x:c r="P705" s="17" t="n">
        <x:f>IF(M705&lt;=O705,1,0)</x:f>
        <x:v>1</x:v>
      </x:c>
      <x:c r="Q705" s="17" t="str">
        <x:v>D-road proxy; B-coordinates</x:v>
      </x:c>
    </x:row>
    <x:row r="706">
      <x:c r="A706" s="17" t="str">
        <x:v>A0702</x:v>
      </x:c>
      <x:c r="B706" s="17" t="str">
        <x:v>C11</x:v>
      </x:c>
      <x:c r="C706" s="17" t="str">
        <x:v>collection</x:v>
      </x:c>
      <x:c r="D706" s="17" t="str">
        <x:v>东莞虚拟回收/检测中心</x:v>
      </x:c>
      <x:c r="E706" s="24" t="n">
        <x:v>113.7452332</x:v>
      </x:c>
      <x:c r="F706" s="24" t="n">
        <x:v>23.0183568</x:v>
      </x:c>
      <x:c r="G706" s="17" t="str">
        <x:v>P20E</x:v>
      </x:c>
      <x:c r="H706" s="17" t="str">
        <x:v>echelon</x:v>
      </x:c>
      <x:c r="I706" s="17" t="str">
        <x:v>广东金晟新能源股份有限公司（梯次功能）</x:v>
      </x:c>
      <x:c r="J706" s="24" t="n">
        <x:v>112.4603629</x:v>
      </x:c>
      <x:c r="K706" s="24" t="n">
        <x:v>23.0501661</x:v>
      </x:c>
      <x:c r="L706" s="21" t="n">
        <x:f>6371*ACOS(MIN(1,COS(F706*PI()/180)*COS(K706*PI()/180)*COS((J706-E706)*PI()/180)+SIN(F706*PI()/180)*SIN(K706*PI()/180)))</x:f>
        <x:v>131.52724118580286</x:v>
      </x:c>
      <x:c r="M706" s="21" t="n">
        <x:f>L706*'情景参数模板'!$D$31</x:f>
        <x:v>157.83268942296343</x:v>
      </x:c>
      <x:c r="N706" s="21" t="n">
        <x:f>IF(C706="source",'情景参数模板'!$D$12,IF(H706="echelon",'情景参数模板'!$D$13,'情景参数模板'!$D$14))</x:f>
        <x:v>0.49</x:v>
      </x:c>
      <x:c r="O706" s="21" t="n">
        <x:f>IF(C706="source",'情景参数模板'!$D$18,IF(H706="echelon",'情景参数模板'!$D$19,'情景参数模板'!$D$20))</x:f>
        <x:v>300</x:v>
      </x:c>
      <x:c r="P706" s="17" t="n">
        <x:f>IF(M706&lt;=O706,1,0)</x:f>
        <x:v>1</x:v>
      </x:c>
      <x:c r="Q706" s="17" t="str">
        <x:v>D-road proxy; B-coordinates</x:v>
      </x:c>
    </x:row>
    <x:row r="707">
      <x:c r="A707" s="17" t="str">
        <x:v>A0703</x:v>
      </x:c>
      <x:c r="B707" s="17" t="str">
        <x:v>C11</x:v>
      </x:c>
      <x:c r="C707" s="17" t="str">
        <x:v>collection</x:v>
      </x:c>
      <x:c r="D707" s="17" t="str">
        <x:v>东莞虚拟回收/检测中心</x:v>
      </x:c>
      <x:c r="E707" s="24" t="n">
        <x:v>113.7452332</x:v>
      </x:c>
      <x:c r="F707" s="24" t="n">
        <x:v>23.0183568</x:v>
      </x:c>
      <x:c r="G707" s="17" t="str">
        <x:v>P20R</x:v>
      </x:c>
      <x:c r="H707" s="17" t="str">
        <x:v>recycling</x:v>
      </x:c>
      <x:c r="I707" s="17" t="str">
        <x:v>广东金晟新能源股份有限公司（再生功能）</x:v>
      </x:c>
      <x:c r="J707" s="24" t="n">
        <x:v>112.4603629</x:v>
      </x:c>
      <x:c r="K707" s="24" t="n">
        <x:v>23.0501661</x:v>
      </x:c>
      <x:c r="L707" s="21" t="n">
        <x:f>6371*ACOS(MIN(1,COS(F707*PI()/180)*COS(K707*PI()/180)*COS((J707-E707)*PI()/180)+SIN(F707*PI()/180)*SIN(K707*PI()/180)))</x:f>
        <x:v>131.52724118580286</x:v>
      </x:c>
      <x:c r="M707" s="21" t="n">
        <x:f>L707*'情景参数模板'!$D$31</x:f>
        <x:v>157.83268942296343</x:v>
      </x:c>
      <x:c r="N707" s="21" t="n">
        <x:f>IF(C707="source",'情景参数模板'!$D$12,IF(H707="echelon",'情景参数模板'!$D$13,'情景参数模板'!$D$14))</x:f>
        <x:v>0.49</x:v>
      </x:c>
      <x:c r="O707" s="21" t="n">
        <x:f>IF(C707="source",'情景参数模板'!$D$18,IF(H707="echelon",'情景参数模板'!$D$19,'情景参数模板'!$D$20))</x:f>
        <x:v>400</x:v>
      </x:c>
      <x:c r="P707" s="17" t="n">
        <x:f>IF(M707&lt;=O707,1,0)</x:f>
        <x:v>1</x:v>
      </x:c>
      <x:c r="Q707" s="17" t="str">
        <x:v>D-road proxy; B-coordinates</x:v>
      </x:c>
    </x:row>
    <x:row r="708">
      <x:c r="A708" s="17" t="str">
        <x:v>A0704</x:v>
      </x:c>
      <x:c r="B708" s="17" t="str">
        <x:v>C11</x:v>
      </x:c>
      <x:c r="C708" s="17" t="str">
        <x:v>collection</x:v>
      </x:c>
      <x:c r="D708" s="17" t="str">
        <x:v>东莞虚拟回收/检测中心</x:v>
      </x:c>
      <x:c r="E708" s="24" t="n">
        <x:v>113.7452332</x:v>
      </x:c>
      <x:c r="F708" s="24" t="n">
        <x:v>23.0183568</x:v>
      </x:c>
      <x:c r="G708" s="17" t="str">
        <x:v>P21E</x:v>
      </x:c>
      <x:c r="H708" s="17" t="str">
        <x:v>echelon</x:v>
      </x:c>
      <x:c r="I708" s="17" t="str">
        <x:v>广东瑞科美电源技术有限公司（梯次功能）</x:v>
      </x:c>
      <x:c r="J708" s="24" t="n">
        <x:v>113.1159558</x:v>
      </x:c>
      <x:c r="K708" s="24" t="n">
        <x:v>23.0239788</x:v>
      </x:c>
      <x:c r="L708" s="21" t="n">
        <x:f>6371*ACOS(MIN(1,COS(F708*PI()/180)*COS(K708*PI()/180)*COS((J708-E708)*PI()/180)+SIN(F708*PI()/180)*SIN(K708*PI()/180)))</x:f>
        <x:v>64.40286310353615</x:v>
      </x:c>
      <x:c r="M708" s="21" t="n">
        <x:f>L708*'情景参数模板'!$D$31</x:f>
        <x:v>77.28343572424338</x:v>
      </x:c>
      <x:c r="N708" s="21" t="n">
        <x:f>IF(C708="source",'情景参数模板'!$D$12,IF(H708="echelon",'情景参数模板'!$D$13,'情景参数模板'!$D$14))</x:f>
        <x:v>0.49</x:v>
      </x:c>
      <x:c r="O708" s="21" t="n">
        <x:f>IF(C708="source",'情景参数模板'!$D$18,IF(H708="echelon",'情景参数模板'!$D$19,'情景参数模板'!$D$20))</x:f>
        <x:v>300</x:v>
      </x:c>
      <x:c r="P708" s="17" t="n">
        <x:f>IF(M708&lt;=O708,1,0)</x:f>
        <x:v>1</x:v>
      </x:c>
      <x:c r="Q708" s="17" t="str">
        <x:v>D-road proxy; B-coordinates</x:v>
      </x:c>
    </x:row>
    <x:row r="709">
      <x:c r="A709" s="17" t="str">
        <x:v>A0705</x:v>
      </x:c>
      <x:c r="B709" s="17" t="str">
        <x:v>C11</x:v>
      </x:c>
      <x:c r="C709" s="17" t="str">
        <x:v>collection</x:v>
      </x:c>
      <x:c r="D709" s="17" t="str">
        <x:v>东莞虚拟回收/检测中心</x:v>
      </x:c>
      <x:c r="E709" s="24" t="n">
        <x:v>113.7452332</x:v>
      </x:c>
      <x:c r="F709" s="24" t="n">
        <x:v>23.0183568</x:v>
      </x:c>
      <x:c r="G709" s="17" t="str">
        <x:v>P21R</x:v>
      </x:c>
      <x:c r="H709" s="17" t="str">
        <x:v>recycling</x:v>
      </x:c>
      <x:c r="I709" s="17" t="str">
        <x:v>广东瑞科美电源技术有限公司（再生功能）</x:v>
      </x:c>
      <x:c r="J709" s="24" t="n">
        <x:v>113.1159558</x:v>
      </x:c>
      <x:c r="K709" s="24" t="n">
        <x:v>23.0239788</x:v>
      </x:c>
      <x:c r="L709" s="21" t="n">
        <x:f>6371*ACOS(MIN(1,COS(F709*PI()/180)*COS(K709*PI()/180)*COS((J709-E709)*PI()/180)+SIN(F709*PI()/180)*SIN(K709*PI()/180)))</x:f>
        <x:v>64.40286310353615</x:v>
      </x:c>
      <x:c r="M709" s="21" t="n">
        <x:f>L709*'情景参数模板'!$D$31</x:f>
        <x:v>77.28343572424338</x:v>
      </x:c>
      <x:c r="N709" s="21" t="n">
        <x:f>IF(C709="source",'情景参数模板'!$D$12,IF(H709="echelon",'情景参数模板'!$D$13,'情景参数模板'!$D$14))</x:f>
        <x:v>0.49</x:v>
      </x:c>
      <x:c r="O709" s="21" t="n">
        <x:f>IF(C709="source",'情景参数模板'!$D$18,IF(H709="echelon",'情景参数模板'!$D$19,'情景参数模板'!$D$20))</x:f>
        <x:v>400</x:v>
      </x:c>
      <x:c r="P709" s="17" t="n">
        <x:f>IF(M709&lt;=O709,1,0)</x:f>
        <x:v>1</x:v>
      </x:c>
      <x:c r="Q709" s="17" t="str">
        <x:v>D-road proxy; B-coordinates</x:v>
      </x:c>
    </x:row>
    <x:row r="710">
      <x:c r="A710" s="17" t="str">
        <x:v>A0706</x:v>
      </x:c>
      <x:c r="B710" s="17" t="str">
        <x:v>C12</x:v>
      </x:c>
      <x:c r="C710" s="17" t="str">
        <x:v>collection</x:v>
      </x:c>
      <x:c r="D710" s="17" t="str">
        <x:v>中山虚拟回收/检测中心</x:v>
      </x:c>
      <x:c r="E710" s="24" t="n">
        <x:v>113.3872302</x:v>
      </x:c>
      <x:c r="F710" s="24" t="n">
        <x:v>22.5197073</x:v>
      </x:c>
      <x:c r="G710" s="17" t="str">
        <x:v>P01</x:v>
      </x:c>
      <x:c r="H710" s="17" t="str">
        <x:v>recycling</x:v>
      </x:c>
      <x:c r="I710" s="17" t="str">
        <x:v>汕尾比亚迪废旧动力电池回收项目</x:v>
      </x:c>
      <x:c r="J710" s="24" t="n">
        <x:v>115.3492668</x:v>
      </x:c>
      <x:c r="K710" s="24" t="n">
        <x:v>22.838065</x:v>
      </x:c>
      <x:c r="L710" s="21" t="n">
        <x:f>6371*ACOS(MIN(1,COS(F710*PI()/180)*COS(K710*PI()/180)*COS((J710-E710)*PI()/180)+SIN(F710*PI()/180)*SIN(K710*PI()/180)))</x:f>
        <x:v>204.38687809211015</x:v>
      </x:c>
      <x:c r="M710" s="21" t="n">
        <x:f>L710*'情景参数模板'!$D$31</x:f>
        <x:v>245.26425371053216</x:v>
      </x:c>
      <x:c r="N710" s="21" t="n">
        <x:f>IF(C710="source",'情景参数模板'!$D$12,IF(H710="echelon",'情景参数模板'!$D$13,'情景参数模板'!$D$14))</x:f>
        <x:v>0.49</x:v>
      </x:c>
      <x:c r="O710" s="21" t="n">
        <x:f>IF(C710="source",'情景参数模板'!$D$18,IF(H710="echelon",'情景参数模板'!$D$19,'情景参数模板'!$D$20))</x:f>
        <x:v>400</x:v>
      </x:c>
      <x:c r="P710" s="17" t="n">
        <x:f>IF(M710&lt;=O710,1,0)</x:f>
        <x:v>1</x:v>
      </x:c>
      <x:c r="Q710" s="17" t="str">
        <x:v>D-road proxy; B-coordinates</x:v>
      </x:c>
    </x:row>
    <x:row r="711">
      <x:c r="A711" s="17" t="str">
        <x:v>A0707</x:v>
      </x:c>
      <x:c r="B711" s="17" t="str">
        <x:v>C12</x:v>
      </x:c>
      <x:c r="C711" s="17" t="str">
        <x:v>collection</x:v>
      </x:c>
      <x:c r="D711" s="17" t="str">
        <x:v>中山虚拟回收/检测中心</x:v>
      </x:c>
      <x:c r="E711" s="24" t="n">
        <x:v>113.3872302</x:v>
      </x:c>
      <x:c r="F711" s="24" t="n">
        <x:v>22.5197073</x:v>
      </x:c>
      <x:c r="G711" s="17" t="str">
        <x:v>P02E</x:v>
      </x:c>
      <x:c r="H711" s="17" t="str">
        <x:v>echelon</x:v>
      </x:c>
      <x:c r="I711" s="17" t="str">
        <x:v>广东光华科技股份有限公司（梯次功能）</x:v>
      </x:c>
      <x:c r="J711" s="24" t="n">
        <x:v>116.6775856</x:v>
      </x:c>
      <x:c r="K711" s="24" t="n">
        <x:v>23.3563921</x:v>
      </x:c>
      <x:c r="L711" s="21" t="n">
        <x:f>6371*ACOS(MIN(1,COS(F711*PI()/180)*COS(K711*PI()/180)*COS((J711-E711)*PI()/180)+SIN(F711*PI()/180)*SIN(K711*PI()/180)))</x:f>
        <x:v>349.537434266799</x:v>
      </x:c>
      <x:c r="M711" s="21" t="n">
        <x:f>L711*'情景参数模板'!$D$31</x:f>
        <x:v>419.44492112015877</x:v>
      </x:c>
      <x:c r="N711" s="21" t="n">
        <x:f>IF(C711="source",'情景参数模板'!$D$12,IF(H711="echelon",'情景参数模板'!$D$13,'情景参数模板'!$D$14))</x:f>
        <x:v>0.49</x:v>
      </x:c>
      <x:c r="O711" s="21" t="n">
        <x:f>IF(C711="source",'情景参数模板'!$D$18,IF(H711="echelon",'情景参数模板'!$D$19,'情景参数模板'!$D$20))</x:f>
        <x:v>300</x:v>
      </x:c>
      <x:c r="P711" s="17" t="n">
        <x:f>IF(M711&lt;=O711,1,0)</x:f>
        <x:v>0</x:v>
      </x:c>
      <x:c r="Q711" s="17" t="str">
        <x:v>D-road proxy; B-coordinates</x:v>
      </x:c>
    </x:row>
    <x:row r="712">
      <x:c r="A712" s="17" t="str">
        <x:v>A0708</x:v>
      </x:c>
      <x:c r="B712" s="17" t="str">
        <x:v>C12</x:v>
      </x:c>
      <x:c r="C712" s="17" t="str">
        <x:v>collection</x:v>
      </x:c>
      <x:c r="D712" s="17" t="str">
        <x:v>中山虚拟回收/检测中心</x:v>
      </x:c>
      <x:c r="E712" s="24" t="n">
        <x:v>113.3872302</x:v>
      </x:c>
      <x:c r="F712" s="24" t="n">
        <x:v>22.5197073</x:v>
      </x:c>
      <x:c r="G712" s="17" t="str">
        <x:v>P02R</x:v>
      </x:c>
      <x:c r="H712" s="17" t="str">
        <x:v>recycling</x:v>
      </x:c>
      <x:c r="I712" s="17" t="str">
        <x:v>广东光华科技股份有限公司（再生功能）</x:v>
      </x:c>
      <x:c r="J712" s="24" t="n">
        <x:v>116.6775856</x:v>
      </x:c>
      <x:c r="K712" s="24" t="n">
        <x:v>23.3563921</x:v>
      </x:c>
      <x:c r="L712" s="21" t="n">
        <x:f>6371*ACOS(MIN(1,COS(F712*PI()/180)*COS(K712*PI()/180)*COS((J712-E712)*PI()/180)+SIN(F712*PI()/180)*SIN(K712*PI()/180)))</x:f>
        <x:v>349.537434266799</x:v>
      </x:c>
      <x:c r="M712" s="21" t="n">
        <x:f>L712*'情景参数模板'!$D$31</x:f>
        <x:v>419.44492112015877</x:v>
      </x:c>
      <x:c r="N712" s="21" t="n">
        <x:f>IF(C712="source",'情景参数模板'!$D$12,IF(H712="echelon",'情景参数模板'!$D$13,'情景参数模板'!$D$14))</x:f>
        <x:v>0.49</x:v>
      </x:c>
      <x:c r="O712" s="21" t="n">
        <x:f>IF(C712="source",'情景参数模板'!$D$18,IF(H712="echelon",'情景参数模板'!$D$19,'情景参数模板'!$D$20))</x:f>
        <x:v>400</x:v>
      </x:c>
      <x:c r="P712" s="17" t="n">
        <x:f>IF(M712&lt;=O712,1,0)</x:f>
        <x:v>0</x:v>
      </x:c>
      <x:c r="Q712" s="17" t="str">
        <x:v>D-road proxy; B-coordinates</x:v>
      </x:c>
    </x:row>
    <x:row r="713">
      <x:c r="A713" s="17" t="str">
        <x:v>A0709</x:v>
      </x:c>
      <x:c r="B713" s="17" t="str">
        <x:v>C12</x:v>
      </x:c>
      <x:c r="C713" s="17" t="str">
        <x:v>collection</x:v>
      </x:c>
      <x:c r="D713" s="17" t="str">
        <x:v>中山虚拟回收/检测中心</x:v>
      </x:c>
      <x:c r="E713" s="24" t="n">
        <x:v>113.3872302</x:v>
      </x:c>
      <x:c r="F713" s="24" t="n">
        <x:v>22.5197073</x:v>
      </x:c>
      <x:c r="G713" s="17" t="str">
        <x:v>P03</x:v>
      </x:c>
      <x:c r="H713" s="17" t="str">
        <x:v>echelon</x:v>
      </x:c>
      <x:c r="I713" s="17" t="str">
        <x:v>深圳深汕特别合作区乾泰技术有限公司</x:v>
      </x:c>
      <x:c r="J713" s="24" t="n">
        <x:v>115.5099937</x:v>
      </x:c>
      <x:c r="K713" s="24" t="n">
        <x:v>23.0123639</x:v>
      </x:c>
      <x:c r="L713" s="21" t="n">
        <x:f>6371*ACOS(MIN(1,COS(F713*PI()/180)*COS(K713*PI()/180)*COS((J713-E713)*PI()/180)+SIN(F713*PI()/180)*SIN(K713*PI()/180)))</x:f>
        <x:v>224.4365359002932</x:v>
      </x:c>
      <x:c r="M713" s="21" t="n">
        <x:f>L713*'情景参数模板'!$D$31</x:f>
        <x:v>269.3238430803518</x:v>
      </x:c>
      <x:c r="N713" s="21" t="n">
        <x:f>IF(C713="source",'情景参数模板'!$D$12,IF(H713="echelon",'情景参数模板'!$D$13,'情景参数模板'!$D$14))</x:f>
        <x:v>0.49</x:v>
      </x:c>
      <x:c r="O713" s="21" t="n">
        <x:f>IF(C713="source",'情景参数模板'!$D$18,IF(H713="echelon",'情景参数模板'!$D$19,'情景参数模板'!$D$20))</x:f>
        <x:v>300</x:v>
      </x:c>
      <x:c r="P713" s="17" t="n">
        <x:f>IF(M713&lt;=O713,1,0)</x:f>
        <x:v>1</x:v>
      </x:c>
      <x:c r="Q713" s="17" t="str">
        <x:v>D-road proxy; B-coordinates</x:v>
      </x:c>
    </x:row>
    <x:row r="714">
      <x:c r="A714" s="17" t="str">
        <x:v>A0710</x:v>
      </x:c>
      <x:c r="B714" s="17" t="str">
        <x:v>C12</x:v>
      </x:c>
      <x:c r="C714" s="17" t="str">
        <x:v>collection</x:v>
      </x:c>
      <x:c r="D714" s="17" t="str">
        <x:v>中山虚拟回收/检测中心</x:v>
      </x:c>
      <x:c r="E714" s="24" t="n">
        <x:v>113.3872302</x:v>
      </x:c>
      <x:c r="F714" s="24" t="n">
        <x:v>22.5197073</x:v>
      </x:c>
      <x:c r="G714" s="17" t="str">
        <x:v>P04</x:v>
      </x:c>
      <x:c r="H714" s="17" t="str">
        <x:v>echelon</x:v>
      </x:c>
      <x:c r="I714" s="17" t="str">
        <x:v>珠海中力新能源科技有限公司</x:v>
      </x:c>
      <x:c r="J714" s="24" t="n">
        <x:v>113.5721327</x:v>
      </x:c>
      <x:c r="K714" s="24" t="n">
        <x:v>22.273734</x:v>
      </x:c>
      <x:c r="L714" s="21" t="n">
        <x:f>6371*ACOS(MIN(1,COS(F714*PI()/180)*COS(K714*PI()/180)*COS((J714-E714)*PI()/180)+SIN(F714*PI()/180)*SIN(K714*PI()/180)))</x:f>
        <x:v>33.308100641100665</x:v>
      </x:c>
      <x:c r="M714" s="21" t="n">
        <x:f>L714*'情景参数模板'!$D$31</x:f>
        <x:v>39.969720769320794</x:v>
      </x:c>
      <x:c r="N714" s="21" t="n">
        <x:f>IF(C714="source",'情景参数模板'!$D$12,IF(H714="echelon",'情景参数模板'!$D$13,'情景参数模板'!$D$14))</x:f>
        <x:v>0.49</x:v>
      </x:c>
      <x:c r="O714" s="21" t="n">
        <x:f>IF(C714="source",'情景参数模板'!$D$18,IF(H714="echelon",'情景参数模板'!$D$19,'情景参数模板'!$D$20))</x:f>
        <x:v>300</x:v>
      </x:c>
      <x:c r="P714" s="17" t="n">
        <x:f>IF(M714&lt;=O714,1,0)</x:f>
        <x:v>1</x:v>
      </x:c>
      <x:c r="Q714" s="17" t="str">
        <x:v>D-road proxy; B-coordinates</x:v>
      </x:c>
    </x:row>
    <x:row r="715">
      <x:c r="A715" s="17" t="str">
        <x:v>A0711</x:v>
      </x:c>
      <x:c r="B715" s="17" t="str">
        <x:v>C12</x:v>
      </x:c>
      <x:c r="C715" s="17" t="str">
        <x:v>collection</x:v>
      </x:c>
      <x:c r="D715" s="17" t="str">
        <x:v>中山虚拟回收/检测中心</x:v>
      </x:c>
      <x:c r="E715" s="24" t="n">
        <x:v>113.3872302</x:v>
      </x:c>
      <x:c r="F715" s="24" t="n">
        <x:v>22.5197073</x:v>
      </x:c>
      <x:c r="G715" s="17" t="str">
        <x:v>P05</x:v>
      </x:c>
      <x:c r="H715" s="17" t="str">
        <x:v>echelon</x:v>
      </x:c>
      <x:c r="I715" s="17" t="str">
        <x:v>惠州市恒创睿能环保科技有限公司</x:v>
      </x:c>
      <x:c r="J715" s="24" t="n">
        <x:v>114.4127007</x:v>
      </x:c>
      <x:c r="K715" s="24" t="n">
        <x:v>23.1125153</x:v>
      </x:c>
      <x:c r="L715" s="21" t="n">
        <x:f>6371*ACOS(MIN(1,COS(F715*PI()/180)*COS(K715*PI()/180)*COS((J715-E715)*PI()/180)+SIN(F715*PI()/180)*SIN(K715*PI()/180)))</x:f>
        <x:v>124.06426518231</x:v>
      </x:c>
      <x:c r="M715" s="21" t="n">
        <x:f>L715*'情景参数模板'!$D$31</x:f>
        <x:v>148.87711821877198</x:v>
      </x:c>
      <x:c r="N715" s="21" t="n">
        <x:f>IF(C715="source",'情景参数模板'!$D$12,IF(H715="echelon",'情景参数模板'!$D$13,'情景参数模板'!$D$14))</x:f>
        <x:v>0.49</x:v>
      </x:c>
      <x:c r="O715" s="21" t="n">
        <x:f>IF(C715="source",'情景参数模板'!$D$18,IF(H715="echelon",'情景参数模板'!$D$19,'情景参数模板'!$D$20))</x:f>
        <x:v>300</x:v>
      </x:c>
      <x:c r="P715" s="17" t="n">
        <x:f>IF(M715&lt;=O715,1,0)</x:f>
        <x:v>1</x:v>
      </x:c>
      <x:c r="Q715" s="17" t="str">
        <x:v>D-road proxy; B-coordinates</x:v>
      </x:c>
    </x:row>
    <x:row r="716">
      <x:c r="A716" s="17" t="str">
        <x:v>A0712</x:v>
      </x:c>
      <x:c r="B716" s="17" t="str">
        <x:v>C12</x:v>
      </x:c>
      <x:c r="C716" s="17" t="str">
        <x:v>collection</x:v>
      </x:c>
      <x:c r="D716" s="17" t="str">
        <x:v>中山虚拟回收/检测中心</x:v>
      </x:c>
      <x:c r="E716" s="24" t="n">
        <x:v>113.3872302</x:v>
      </x:c>
      <x:c r="F716" s="24" t="n">
        <x:v>22.5197073</x:v>
      </x:c>
      <x:c r="G716" s="17" t="str">
        <x:v>P06</x:v>
      </x:c>
      <x:c r="H716" s="17" t="str">
        <x:v>echelon</x:v>
      </x:c>
      <x:c r="I716" s="17" t="str">
        <x:v>江门市朗达锂电池有限公司</x:v>
      </x:c>
      <x:c r="J716" s="24" t="n">
        <x:v>113.0761073</x:v>
      </x:c>
      <x:c r="K716" s="24" t="n">
        <x:v>22.5816619</x:v>
      </x:c>
      <x:c r="L716" s="21" t="n">
        <x:f>6371*ACOS(MIN(1,COS(F716*PI()/180)*COS(K716*PI()/180)*COS((J716-E716)*PI()/180)+SIN(F716*PI()/180)*SIN(K716*PI()/180)))</x:f>
        <x:v>32.6844105535489</x:v>
      </x:c>
      <x:c r="M716" s="21" t="n">
        <x:f>L716*'情景参数模板'!$D$31</x:f>
        <x:v>39.22129266425868</x:v>
      </x:c>
      <x:c r="N716" s="21" t="n">
        <x:f>IF(C716="source",'情景参数模板'!$D$12,IF(H716="echelon",'情景参数模板'!$D$13,'情景参数模板'!$D$14))</x:f>
        <x:v>0.49</x:v>
      </x:c>
      <x:c r="O716" s="21" t="n">
        <x:f>IF(C716="source",'情景参数模板'!$D$18,IF(H716="echelon",'情景参数模板'!$D$19,'情景参数模板'!$D$20))</x:f>
        <x:v>300</x:v>
      </x:c>
      <x:c r="P716" s="17" t="n">
        <x:f>IF(M716&lt;=O716,1,0)</x:f>
        <x:v>1</x:v>
      </x:c>
      <x:c r="Q716" s="17" t="str">
        <x:v>D-road proxy; B-coordinates</x:v>
      </x:c>
    </x:row>
    <x:row r="717">
      <x:c r="A717" s="17" t="str">
        <x:v>A0713</x:v>
      </x:c>
      <x:c r="B717" s="17" t="str">
        <x:v>C12</x:v>
      </x:c>
      <x:c r="C717" s="17" t="str">
        <x:v>collection</x:v>
      </x:c>
      <x:c r="D717" s="17" t="str">
        <x:v>中山虚拟回收/检测中心</x:v>
      </x:c>
      <x:c r="E717" s="24" t="n">
        <x:v>113.3872302</x:v>
      </x:c>
      <x:c r="F717" s="24" t="n">
        <x:v>22.5197073</x:v>
      </x:c>
      <x:c r="G717" s="17" t="str">
        <x:v>P07</x:v>
      </x:c>
      <x:c r="H717" s="17" t="str">
        <x:v>echelon</x:v>
      </x:c>
      <x:c r="I717" s="17" t="str">
        <x:v>广东迪度新能源有限公司</x:v>
      </x:c>
      <x:c r="J717" s="24" t="n">
        <x:v>113.7452332</x:v>
      </x:c>
      <x:c r="K717" s="24" t="n">
        <x:v>23.0183568</x:v>
      </x:c>
      <x:c r="L717" s="21" t="n">
        <x:f>6371*ACOS(MIN(1,COS(F717*PI()/180)*COS(K717*PI()/180)*COS((J717-E717)*PI()/180)+SIN(F717*PI()/180)*SIN(K717*PI()/180)))</x:f>
        <x:v>66.49599216706548</x:v>
      </x:c>
      <x:c r="M717" s="21" t="n">
        <x:f>L717*'情景参数模板'!$D$31</x:f>
        <x:v>79.79519060047858</x:v>
      </x:c>
      <x:c r="N717" s="21" t="n">
        <x:f>IF(C717="source",'情景参数模板'!$D$12,IF(H717="echelon",'情景参数模板'!$D$13,'情景参数模板'!$D$14))</x:f>
        <x:v>0.49</x:v>
      </x:c>
      <x:c r="O717" s="21" t="n">
        <x:f>IF(C717="source",'情景参数模板'!$D$18,IF(H717="echelon",'情景参数模板'!$D$19,'情景参数模板'!$D$20))</x:f>
        <x:v>300</x:v>
      </x:c>
      <x:c r="P717" s="17" t="n">
        <x:f>IF(M717&lt;=O717,1,0)</x:f>
        <x:v>1</x:v>
      </x:c>
      <x:c r="Q717" s="17" t="str">
        <x:v>D-road proxy; B-coordinates</x:v>
      </x:c>
    </x:row>
    <x:row r="718">
      <x:c r="A718" s="17" t="str">
        <x:v>A0714</x:v>
      </x:c>
      <x:c r="B718" s="17" t="str">
        <x:v>C12</x:v>
      </x:c>
      <x:c r="C718" s="17" t="str">
        <x:v>collection</x:v>
      </x:c>
      <x:c r="D718" s="17" t="str">
        <x:v>中山虚拟回收/检测中心</x:v>
      </x:c>
      <x:c r="E718" s="24" t="n">
        <x:v>113.3872302</x:v>
      </x:c>
      <x:c r="F718" s="24" t="n">
        <x:v>22.5197073</x:v>
      </x:c>
      <x:c r="G718" s="17" t="str">
        <x:v>P08</x:v>
      </x:c>
      <x:c r="H718" s="17" t="str">
        <x:v>echelon</x:v>
      </x:c>
      <x:c r="I718" s="17" t="str">
        <x:v>东莞市博森新能源有限公司</x:v>
      </x:c>
      <x:c r="J718" s="24" t="n">
        <x:v>113.7452332</x:v>
      </x:c>
      <x:c r="K718" s="24" t="n">
        <x:v>23.0183568</x:v>
      </x:c>
      <x:c r="L718" s="21" t="n">
        <x:f>6371*ACOS(MIN(1,COS(F718*PI()/180)*COS(K718*PI()/180)*COS((J718-E718)*PI()/180)+SIN(F718*PI()/180)*SIN(K718*PI()/180)))</x:f>
        <x:v>66.49599216706548</x:v>
      </x:c>
      <x:c r="M718" s="21" t="n">
        <x:f>L718*'情景参数模板'!$D$31</x:f>
        <x:v>79.79519060047858</x:v>
      </x:c>
      <x:c r="N718" s="21" t="n">
        <x:f>IF(C718="source",'情景参数模板'!$D$12,IF(H718="echelon",'情景参数模板'!$D$13,'情景参数模板'!$D$14))</x:f>
        <x:v>0.49</x:v>
      </x:c>
      <x:c r="O718" s="21" t="n">
        <x:f>IF(C718="source",'情景参数模板'!$D$18,IF(H718="echelon",'情景参数模板'!$D$19,'情景参数模板'!$D$20))</x:f>
        <x:v>300</x:v>
      </x:c>
      <x:c r="P718" s="17" t="n">
        <x:f>IF(M718&lt;=O718,1,0)</x:f>
        <x:v>1</x:v>
      </x:c>
      <x:c r="Q718" s="17" t="str">
        <x:v>D-road proxy; B-coordinates</x:v>
      </x:c>
    </x:row>
    <x:row r="719">
      <x:c r="A719" s="17" t="str">
        <x:v>A0715</x:v>
      </x:c>
      <x:c r="B719" s="17" t="str">
        <x:v>C12</x:v>
      </x:c>
      <x:c r="C719" s="17" t="str">
        <x:v>collection</x:v>
      </x:c>
      <x:c r="D719" s="17" t="str">
        <x:v>中山虚拟回收/检测中心</x:v>
      </x:c>
      <x:c r="E719" s="24" t="n">
        <x:v>113.3872302</x:v>
      </x:c>
      <x:c r="F719" s="24" t="n">
        <x:v>22.5197073</x:v>
      </x:c>
      <x:c r="G719" s="17" t="str">
        <x:v>P09</x:v>
      </x:c>
      <x:c r="H719" s="17" t="str">
        <x:v>echelon</x:v>
      </x:c>
      <x:c r="I719" s="17" t="str">
        <x:v>广东宇阳新能源有限公司</x:v>
      </x:c>
      <x:c r="J719" s="24" t="n">
        <x:v>113.7452332</x:v>
      </x:c>
      <x:c r="K719" s="24" t="n">
        <x:v>23.0183568</x:v>
      </x:c>
      <x:c r="L719" s="21" t="n">
        <x:f>6371*ACOS(MIN(1,COS(F719*PI()/180)*COS(K719*PI()/180)*COS((J719-E719)*PI()/180)+SIN(F719*PI()/180)*SIN(K719*PI()/180)))</x:f>
        <x:v>66.49599216706548</x:v>
      </x:c>
      <x:c r="M719" s="21" t="n">
        <x:f>L719*'情景参数模板'!$D$31</x:f>
        <x:v>79.79519060047858</x:v>
      </x:c>
      <x:c r="N719" s="21" t="n">
        <x:f>IF(C719="source",'情景参数模板'!$D$12,IF(H719="echelon",'情景参数模板'!$D$13,'情景参数模板'!$D$14))</x:f>
        <x:v>0.49</x:v>
      </x:c>
      <x:c r="O719" s="21" t="n">
        <x:f>IF(C719="source",'情景参数模板'!$D$18,IF(H719="echelon",'情景参数模板'!$D$19,'情景参数模板'!$D$20))</x:f>
        <x:v>300</x:v>
      </x:c>
      <x:c r="P719" s="17" t="n">
        <x:f>IF(M719&lt;=O719,1,0)</x:f>
        <x:v>1</x:v>
      </x:c>
      <x:c r="Q719" s="17" t="str">
        <x:v>D-road proxy; B-coordinates</x:v>
      </x:c>
    </x:row>
    <x:row r="720">
      <x:c r="A720" s="17" t="str">
        <x:v>A0716</x:v>
      </x:c>
      <x:c r="B720" s="17" t="str">
        <x:v>C12</x:v>
      </x:c>
      <x:c r="C720" s="17" t="str">
        <x:v>collection</x:v>
      </x:c>
      <x:c r="D720" s="17" t="str">
        <x:v>中山虚拟回收/检测中心</x:v>
      </x:c>
      <x:c r="E720" s="24" t="n">
        <x:v>113.3872302</x:v>
      </x:c>
      <x:c r="F720" s="24" t="n">
        <x:v>22.5197073</x:v>
      </x:c>
      <x:c r="G720" s="17" t="str">
        <x:v>P10</x:v>
      </x:c>
      <x:c r="H720" s="17" t="str">
        <x:v>echelon</x:v>
      </x:c>
      <x:c r="I720" s="17" t="str">
        <x:v>广州广汽商贸再生资源有限公司</x:v>
      </x:c>
      <x:c r="J720" s="24" t="n">
        <x:v>113.2589581</x:v>
      </x:c>
      <x:c r="K720" s="24" t="n">
        <x:v>23.1288429</x:v>
      </x:c>
      <x:c r="L720" s="21" t="n">
        <x:f>6371*ACOS(MIN(1,COS(F720*PI()/180)*COS(K720*PI()/180)*COS((J720-E720)*PI()/180)+SIN(F720*PI()/180)*SIN(K720*PI()/180)))</x:f>
        <x:v>68.99677868461173</x:v>
      </x:c>
      <x:c r="M720" s="21" t="n">
        <x:f>L720*'情景参数模板'!$D$31</x:f>
        <x:v>82.79613442153406</x:v>
      </x:c>
      <x:c r="N720" s="21" t="n">
        <x:f>IF(C720="source",'情景参数模板'!$D$12,IF(H720="echelon",'情景参数模板'!$D$13,'情景参数模板'!$D$14))</x:f>
        <x:v>0.49</x:v>
      </x:c>
      <x:c r="O720" s="21" t="n">
        <x:f>IF(C720="source",'情景参数模板'!$D$18,IF(H720="echelon",'情景参数模板'!$D$19,'情景参数模板'!$D$20))</x:f>
        <x:v>300</x:v>
      </x:c>
      <x:c r="P720" s="17" t="n">
        <x:f>IF(M720&lt;=O720,1,0)</x:f>
        <x:v>1</x:v>
      </x:c>
      <x:c r="Q720" s="17" t="str">
        <x:v>D-road proxy; B-coordinates</x:v>
      </x:c>
    </x:row>
    <x:row r="721">
      <x:c r="A721" s="17" t="str">
        <x:v>A0717</x:v>
      </x:c>
      <x:c r="B721" s="17" t="str">
        <x:v>C12</x:v>
      </x:c>
      <x:c r="C721" s="17" t="str">
        <x:v>collection</x:v>
      </x:c>
      <x:c r="D721" s="17" t="str">
        <x:v>中山虚拟回收/检测中心</x:v>
      </x:c>
      <x:c r="E721" s="24" t="n">
        <x:v>113.3872302</x:v>
      </x:c>
      <x:c r="F721" s="24" t="n">
        <x:v>22.5197073</x:v>
      </x:c>
      <x:c r="G721" s="17" t="str">
        <x:v>P11</x:v>
      </x:c>
      <x:c r="H721" s="17" t="str">
        <x:v>echelon</x:v>
      </x:c>
      <x:c r="I721" s="17" t="str">
        <x:v>深圳市杰成镍钴新能源科技有限公司</x:v>
      </x:c>
      <x:c r="J721" s="24" t="n">
        <x:v>114.0545429</x:v>
      </x:c>
      <x:c r="K721" s="24" t="n">
        <x:v>22.5445741</x:v>
      </x:c>
      <x:c r="L721" s="21" t="n">
        <x:f>6371*ACOS(MIN(1,COS(F721*PI()/180)*COS(K721*PI()/180)*COS((J721-E721)*PI()/180)+SIN(F721*PI()/180)*SIN(K721*PI()/180)))</x:f>
        <x:v>68.59326845307118</x:v>
      </x:c>
      <x:c r="M721" s="21" t="n">
        <x:f>L721*'情景参数模板'!$D$31</x:f>
        <x:v>82.31192214368541</x:v>
      </x:c>
      <x:c r="N721" s="21" t="n">
        <x:f>IF(C721="source",'情景参数模板'!$D$12,IF(H721="echelon",'情景参数模板'!$D$13,'情景参数模板'!$D$14))</x:f>
        <x:v>0.49</x:v>
      </x:c>
      <x:c r="O721" s="21" t="n">
        <x:f>IF(C721="source",'情景参数模板'!$D$18,IF(H721="echelon",'情景参数模板'!$D$19,'情景参数模板'!$D$20))</x:f>
        <x:v>300</x:v>
      </x:c>
      <x:c r="P721" s="17" t="n">
        <x:f>IF(M721&lt;=O721,1,0)</x:f>
        <x:v>1</x:v>
      </x:c>
      <x:c r="Q721" s="17" t="str">
        <x:v>D-road proxy; B-coordinates</x:v>
      </x:c>
    </x:row>
    <x:row r="722">
      <x:c r="A722" s="17" t="str">
        <x:v>A0718</x:v>
      </x:c>
      <x:c r="B722" s="17" t="str">
        <x:v>C12</x:v>
      </x:c>
      <x:c r="C722" s="17" t="str">
        <x:v>collection</x:v>
      </x:c>
      <x:c r="D722" s="17" t="str">
        <x:v>中山虚拟回收/检测中心</x:v>
      </x:c>
      <x:c r="E722" s="24" t="n">
        <x:v>113.3872302</x:v>
      </x:c>
      <x:c r="F722" s="24" t="n">
        <x:v>22.5197073</x:v>
      </x:c>
      <x:c r="G722" s="17" t="str">
        <x:v>P12</x:v>
      </x:c>
      <x:c r="H722" s="17" t="str">
        <x:v>recycling</x:v>
      </x:c>
      <x:c r="I722" s="17" t="str">
        <x:v>江门市恒创睿能环保科技有限公司</x:v>
      </x:c>
      <x:c r="J722" s="24" t="n">
        <x:v>113.0761073</x:v>
      </x:c>
      <x:c r="K722" s="24" t="n">
        <x:v>22.5816619</x:v>
      </x:c>
      <x:c r="L722" s="21" t="n">
        <x:f>6371*ACOS(MIN(1,COS(F722*PI()/180)*COS(K722*PI()/180)*COS((J722-E722)*PI()/180)+SIN(F722*PI()/180)*SIN(K722*PI()/180)))</x:f>
        <x:v>32.6844105535489</x:v>
      </x:c>
      <x:c r="M722" s="21" t="n">
        <x:f>L722*'情景参数模板'!$D$31</x:f>
        <x:v>39.22129266425868</x:v>
      </x:c>
      <x:c r="N722" s="21" t="n">
        <x:f>IF(C722="source",'情景参数模板'!$D$12,IF(H722="echelon",'情景参数模板'!$D$13,'情景参数模板'!$D$14))</x:f>
        <x:v>0.49</x:v>
      </x:c>
      <x:c r="O722" s="21" t="n">
        <x:f>IF(C722="source",'情景参数模板'!$D$18,IF(H722="echelon",'情景参数模板'!$D$19,'情景参数模板'!$D$20))</x:f>
        <x:v>400</x:v>
      </x:c>
      <x:c r="P722" s="17" t="n">
        <x:f>IF(M722&lt;=O722,1,0)</x:f>
        <x:v>1</x:v>
      </x:c>
      <x:c r="Q722" s="17" t="str">
        <x:v>D-road proxy; B-coordinates</x:v>
      </x:c>
    </x:row>
    <x:row r="723">
      <x:c r="A723" s="17" t="str">
        <x:v>A0719</x:v>
      </x:c>
      <x:c r="B723" s="17" t="str">
        <x:v>C12</x:v>
      </x:c>
      <x:c r="C723" s="17" t="str">
        <x:v>collection</x:v>
      </x:c>
      <x:c r="D723" s="17" t="str">
        <x:v>中山虚拟回收/检测中心</x:v>
      </x:c>
      <x:c r="E723" s="24" t="n">
        <x:v>113.3872302</x:v>
      </x:c>
      <x:c r="F723" s="24" t="n">
        <x:v>22.5197073</x:v>
      </x:c>
      <x:c r="G723" s="17" t="str">
        <x:v>P13</x:v>
      </x:c>
      <x:c r="H723" s="17" t="str">
        <x:v>recycling</x:v>
      </x:c>
      <x:c r="I723" s="17" t="str">
        <x:v>广东佳纳能源科技有限公司</x:v>
      </x:c>
      <x:c r="J723" s="24" t="n">
        <x:v>113.0505994</x:v>
      </x:c>
      <x:c r="K723" s="24" t="n">
        <x:v>23.6832984</x:v>
      </x:c>
      <x:c r="L723" s="21" t="n">
        <x:f>6371*ACOS(MIN(1,COS(F723*PI()/180)*COS(K723*PI()/180)*COS((J723-E723)*PI()/180)+SIN(F723*PI()/180)*SIN(K723*PI()/180)))</x:f>
        <x:v>133.88783670594157</x:v>
      </x:c>
      <x:c r="M723" s="21" t="n">
        <x:f>L723*'情景参数模板'!$D$31</x:f>
        <x:v>160.66540404712987</x:v>
      </x:c>
      <x:c r="N723" s="21" t="n">
        <x:f>IF(C723="source",'情景参数模板'!$D$12,IF(H723="echelon",'情景参数模板'!$D$13,'情景参数模板'!$D$14))</x:f>
        <x:v>0.49</x:v>
      </x:c>
      <x:c r="O723" s="21" t="n">
        <x:f>IF(C723="source",'情景参数模板'!$D$18,IF(H723="echelon",'情景参数模板'!$D$19,'情景参数模板'!$D$20))</x:f>
        <x:v>400</x:v>
      </x:c>
      <x:c r="P723" s="17" t="n">
        <x:f>IF(M723&lt;=O723,1,0)</x:f>
        <x:v>1</x:v>
      </x:c>
      <x:c r="Q723" s="17" t="str">
        <x:v>D-road proxy; B-coordinates</x:v>
      </x:c>
    </x:row>
    <x:row r="724">
      <x:c r="A724" s="17" t="str">
        <x:v>A0720</x:v>
      </x:c>
      <x:c r="B724" s="17" t="str">
        <x:v>C12</x:v>
      </x:c>
      <x:c r="C724" s="17" t="str">
        <x:v>collection</x:v>
      </x:c>
      <x:c r="D724" s="17" t="str">
        <x:v>中山虚拟回收/检测中心</x:v>
      </x:c>
      <x:c r="E724" s="24" t="n">
        <x:v>113.3872302</x:v>
      </x:c>
      <x:c r="F724" s="24" t="n">
        <x:v>22.5197073</x:v>
      </x:c>
      <x:c r="G724" s="17" t="str">
        <x:v>P14</x:v>
      </x:c>
      <x:c r="H724" s="17" t="str">
        <x:v>echelon</x:v>
      </x:c>
      <x:c r="I724" s="17" t="str">
        <x:v>格林美（深圳）循环科技有限公司</x:v>
      </x:c>
      <x:c r="J724" s="24" t="n">
        <x:v>114.0545429</x:v>
      </x:c>
      <x:c r="K724" s="24" t="n">
        <x:v>22.5445741</x:v>
      </x:c>
      <x:c r="L724" s="21" t="n">
        <x:f>6371*ACOS(MIN(1,COS(F724*PI()/180)*COS(K724*PI()/180)*COS((J724-E724)*PI()/180)+SIN(F724*PI()/180)*SIN(K724*PI()/180)))</x:f>
        <x:v>68.59326845307118</x:v>
      </x:c>
      <x:c r="M724" s="21" t="n">
        <x:f>L724*'情景参数模板'!$D$31</x:f>
        <x:v>82.31192214368541</x:v>
      </x:c>
      <x:c r="N724" s="21" t="n">
        <x:f>IF(C724="source",'情景参数模板'!$D$12,IF(H724="echelon",'情景参数模板'!$D$13,'情景参数模板'!$D$14))</x:f>
        <x:v>0.49</x:v>
      </x:c>
      <x:c r="O724" s="21" t="n">
        <x:f>IF(C724="source",'情景参数模板'!$D$18,IF(H724="echelon",'情景参数模板'!$D$19,'情景参数模板'!$D$20))</x:f>
        <x:v>300</x:v>
      </x:c>
      <x:c r="P724" s="17" t="n">
        <x:f>IF(M724&lt;=O724,1,0)</x:f>
        <x:v>1</x:v>
      </x:c>
      <x:c r="Q724" s="17" t="str">
        <x:v>D-road proxy; B-coordinates</x:v>
      </x:c>
    </x:row>
    <x:row r="725">
      <x:c r="A725" s="17" t="str">
        <x:v>A0721</x:v>
      </x:c>
      <x:c r="B725" s="17" t="str">
        <x:v>C12</x:v>
      </x:c>
      <x:c r="C725" s="17" t="str">
        <x:v>collection</x:v>
      </x:c>
      <x:c r="D725" s="17" t="str">
        <x:v>中山虚拟回收/检测中心</x:v>
      </x:c>
      <x:c r="E725" s="24" t="n">
        <x:v>113.3872302</x:v>
      </x:c>
      <x:c r="F725" s="24" t="n">
        <x:v>22.5197073</x:v>
      </x:c>
      <x:c r="G725" s="17" t="str">
        <x:v>P15</x:v>
      </x:c>
      <x:c r="H725" s="17" t="str">
        <x:v>echelon</x:v>
      </x:c>
      <x:c r="I725" s="17" t="str">
        <x:v>绿循新能源科技（佛山）有限责任公司</x:v>
      </x:c>
      <x:c r="J725" s="24" t="n">
        <x:v>113.1159558</x:v>
      </x:c>
      <x:c r="K725" s="24" t="n">
        <x:v>23.0239788</x:v>
      </x:c>
      <x:c r="L725" s="21" t="n">
        <x:f>6371*ACOS(MIN(1,COS(F725*PI()/180)*COS(K725*PI()/180)*COS((J725-E725)*PI()/180)+SIN(F725*PI()/180)*SIN(K725*PI()/180)))</x:f>
        <x:v>62.59137427718621</x:v>
      </x:c>
      <x:c r="M725" s="21" t="n">
        <x:f>L725*'情景参数模板'!$D$31</x:f>
        <x:v>75.10964913262345</x:v>
      </x:c>
      <x:c r="N725" s="21" t="n">
        <x:f>IF(C725="source",'情景参数模板'!$D$12,IF(H725="echelon",'情景参数模板'!$D$13,'情景参数模板'!$D$14))</x:f>
        <x:v>0.49</x:v>
      </x:c>
      <x:c r="O725" s="21" t="n">
        <x:f>IF(C725="source",'情景参数模板'!$D$18,IF(H725="echelon",'情景参数模板'!$D$19,'情景参数模板'!$D$20))</x:f>
        <x:v>300</x:v>
      </x:c>
      <x:c r="P725" s="17" t="n">
        <x:f>IF(M725&lt;=O725,1,0)</x:f>
        <x:v>1</x:v>
      </x:c>
      <x:c r="Q725" s="17" t="str">
        <x:v>D-road proxy; B-coordinates</x:v>
      </x:c>
    </x:row>
    <x:row r="726">
      <x:c r="A726" s="17" t="str">
        <x:v>A0722</x:v>
      </x:c>
      <x:c r="B726" s="17" t="str">
        <x:v>C12</x:v>
      </x:c>
      <x:c r="C726" s="17" t="str">
        <x:v>collection</x:v>
      </x:c>
      <x:c r="D726" s="17" t="str">
        <x:v>中山虚拟回收/检测中心</x:v>
      </x:c>
      <x:c r="E726" s="24" t="n">
        <x:v>113.3872302</x:v>
      </x:c>
      <x:c r="F726" s="24" t="n">
        <x:v>22.5197073</x:v>
      </x:c>
      <x:c r="G726" s="17" t="str">
        <x:v>P16</x:v>
      </x:c>
      <x:c r="H726" s="17" t="str">
        <x:v>echelon</x:v>
      </x:c>
      <x:c r="I726" s="17" t="str">
        <x:v>深圳艾云动智慧科技有限公司</x:v>
      </x:c>
      <x:c r="J726" s="24" t="n">
        <x:v>114.0545429</x:v>
      </x:c>
      <x:c r="K726" s="24" t="n">
        <x:v>22.5445741</x:v>
      </x:c>
      <x:c r="L726" s="21" t="n">
        <x:f>6371*ACOS(MIN(1,COS(F726*PI()/180)*COS(K726*PI()/180)*COS((J726-E726)*PI()/180)+SIN(F726*PI()/180)*SIN(K726*PI()/180)))</x:f>
        <x:v>68.59326845307118</x:v>
      </x:c>
      <x:c r="M726" s="21" t="n">
        <x:f>L726*'情景参数模板'!$D$31</x:f>
        <x:v>82.31192214368541</x:v>
      </x:c>
      <x:c r="N726" s="21" t="n">
        <x:f>IF(C726="source",'情景参数模板'!$D$12,IF(H726="echelon",'情景参数模板'!$D$13,'情景参数模板'!$D$14))</x:f>
        <x:v>0.49</x:v>
      </x:c>
      <x:c r="O726" s="21" t="n">
        <x:f>IF(C726="source",'情景参数模板'!$D$18,IF(H726="echelon",'情景参数模板'!$D$19,'情景参数模板'!$D$20))</x:f>
        <x:v>300</x:v>
      </x:c>
      <x:c r="P726" s="17" t="n">
        <x:f>IF(M726&lt;=O726,1,0)</x:f>
        <x:v>1</x:v>
      </x:c>
      <x:c r="Q726" s="17" t="str">
        <x:v>D-road proxy; B-coordinates</x:v>
      </x:c>
    </x:row>
    <x:row r="727">
      <x:c r="A727" s="17" t="str">
        <x:v>A0723</x:v>
      </x:c>
      <x:c r="B727" s="17" t="str">
        <x:v>C12</x:v>
      </x:c>
      <x:c r="C727" s="17" t="str">
        <x:v>collection</x:v>
      </x:c>
      <x:c r="D727" s="17" t="str">
        <x:v>中山虚拟回收/检测中心</x:v>
      </x:c>
      <x:c r="E727" s="24" t="n">
        <x:v>113.3872302</x:v>
      </x:c>
      <x:c r="F727" s="24" t="n">
        <x:v>22.5197073</x:v>
      </x:c>
      <x:c r="G727" s="17" t="str">
        <x:v>P17</x:v>
      </x:c>
      <x:c r="H727" s="17" t="str">
        <x:v>echelon</x:v>
      </x:c>
      <x:c r="I727" s="17" t="str">
        <x:v>深圳市荣高晟新能源科技有限公司</x:v>
      </x:c>
      <x:c r="J727" s="24" t="n">
        <x:v>114.0545429</x:v>
      </x:c>
      <x:c r="K727" s="24" t="n">
        <x:v>22.5445741</x:v>
      </x:c>
      <x:c r="L727" s="21" t="n">
        <x:f>6371*ACOS(MIN(1,COS(F727*PI()/180)*COS(K727*PI()/180)*COS((J727-E727)*PI()/180)+SIN(F727*PI()/180)*SIN(K727*PI()/180)))</x:f>
        <x:v>68.59326845307118</x:v>
      </x:c>
      <x:c r="M727" s="21" t="n">
        <x:f>L727*'情景参数模板'!$D$31</x:f>
        <x:v>82.31192214368541</x:v>
      </x:c>
      <x:c r="N727" s="21" t="n">
        <x:f>IF(C727="source",'情景参数模板'!$D$12,IF(H727="echelon",'情景参数模板'!$D$13,'情景参数模板'!$D$14))</x:f>
        <x:v>0.49</x:v>
      </x:c>
      <x:c r="O727" s="21" t="n">
        <x:f>IF(C727="source",'情景参数模板'!$D$18,IF(H727="echelon",'情景参数模板'!$D$19,'情景参数模板'!$D$20))</x:f>
        <x:v>300</x:v>
      </x:c>
      <x:c r="P727" s="17" t="n">
        <x:f>IF(M727&lt;=O727,1,0)</x:f>
        <x:v>1</x:v>
      </x:c>
      <x:c r="Q727" s="17" t="str">
        <x:v>D-road proxy; B-coordinates</x:v>
      </x:c>
    </x:row>
    <x:row r="728">
      <x:c r="A728" s="17" t="str">
        <x:v>A0724</x:v>
      </x:c>
      <x:c r="B728" s="17" t="str">
        <x:v>C12</x:v>
      </x:c>
      <x:c r="C728" s="17" t="str">
        <x:v>collection</x:v>
      </x:c>
      <x:c r="D728" s="17" t="str">
        <x:v>中山虚拟回收/检测中心</x:v>
      </x:c>
      <x:c r="E728" s="24" t="n">
        <x:v>113.3872302</x:v>
      </x:c>
      <x:c r="F728" s="24" t="n">
        <x:v>22.5197073</x:v>
      </x:c>
      <x:c r="G728" s="17" t="str">
        <x:v>P18</x:v>
      </x:c>
      <x:c r="H728" s="17" t="str">
        <x:v>echelon</x:v>
      </x:c>
      <x:c r="I728" s="17" t="str">
        <x:v>中商锂新能源科技（惠州）有限公司</x:v>
      </x:c>
      <x:c r="J728" s="24" t="n">
        <x:v>114.4127007</x:v>
      </x:c>
      <x:c r="K728" s="24" t="n">
        <x:v>23.1125153</x:v>
      </x:c>
      <x:c r="L728" s="21" t="n">
        <x:f>6371*ACOS(MIN(1,COS(F728*PI()/180)*COS(K728*PI()/180)*COS((J728-E728)*PI()/180)+SIN(F728*PI()/180)*SIN(K728*PI()/180)))</x:f>
        <x:v>124.06426518231</x:v>
      </x:c>
      <x:c r="M728" s="21" t="n">
        <x:f>L728*'情景参数模板'!$D$31</x:f>
        <x:v>148.87711821877198</x:v>
      </x:c>
      <x:c r="N728" s="21" t="n">
        <x:f>IF(C728="source",'情景参数模板'!$D$12,IF(H728="echelon",'情景参数模板'!$D$13,'情景参数模板'!$D$14))</x:f>
        <x:v>0.49</x:v>
      </x:c>
      <x:c r="O728" s="21" t="n">
        <x:f>IF(C728="source",'情景参数模板'!$D$18,IF(H728="echelon",'情景参数模板'!$D$19,'情景参数模板'!$D$20))</x:f>
        <x:v>300</x:v>
      </x:c>
      <x:c r="P728" s="17" t="n">
        <x:f>IF(M728&lt;=O728,1,0)</x:f>
        <x:v>1</x:v>
      </x:c>
      <x:c r="Q728" s="17" t="str">
        <x:v>D-road proxy; B-coordinates</x:v>
      </x:c>
    </x:row>
    <x:row r="729">
      <x:c r="A729" s="17" t="str">
        <x:v>A0725</x:v>
      </x:c>
      <x:c r="B729" s="17" t="str">
        <x:v>C12</x:v>
      </x:c>
      <x:c r="C729" s="17" t="str">
        <x:v>collection</x:v>
      </x:c>
      <x:c r="D729" s="17" t="str">
        <x:v>中山虚拟回收/检测中心</x:v>
      </x:c>
      <x:c r="E729" s="24" t="n">
        <x:v>113.3872302</x:v>
      </x:c>
      <x:c r="F729" s="24" t="n">
        <x:v>22.5197073</x:v>
      </x:c>
      <x:c r="G729" s="17" t="str">
        <x:v>P19</x:v>
      </x:c>
      <x:c r="H729" s="17" t="str">
        <x:v>recycling</x:v>
      </x:c>
      <x:c r="I729" s="17" t="str">
        <x:v>广东盛祥新材料科技有限公司</x:v>
      </x:c>
      <x:c r="J729" s="24" t="n">
        <x:v>113.8155263</x:v>
      </x:c>
      <x:c r="K729" s="24" t="n">
        <x:v>24.8309489</x:v>
      </x:c>
      <x:c r="L729" s="21" t="n">
        <x:f>6371*ACOS(MIN(1,COS(F729*PI()/180)*COS(K729*PI()/180)*COS((J729-E729)*PI()/180)+SIN(F729*PI()/180)*SIN(K729*PI()/180)))</x:f>
        <x:v>260.67240148858207</x:v>
      </x:c>
      <x:c r="M729" s="21" t="n">
        <x:f>L729*'情景参数模板'!$D$31</x:f>
        <x:v>312.80688178629845</x:v>
      </x:c>
      <x:c r="N729" s="21" t="n">
        <x:f>IF(C729="source",'情景参数模板'!$D$12,IF(H729="echelon",'情景参数模板'!$D$13,'情景参数模板'!$D$14))</x:f>
        <x:v>0.49</x:v>
      </x:c>
      <x:c r="O729" s="21" t="n">
        <x:f>IF(C729="source",'情景参数模板'!$D$18,IF(H729="echelon",'情景参数模板'!$D$19,'情景参数模板'!$D$20))</x:f>
        <x:v>400</x:v>
      </x:c>
      <x:c r="P729" s="17" t="n">
        <x:f>IF(M729&lt;=O729,1,0)</x:f>
        <x:v>1</x:v>
      </x:c>
      <x:c r="Q729" s="17" t="str">
        <x:v>D-road proxy; B-coordinates</x:v>
      </x:c>
    </x:row>
    <x:row r="730">
      <x:c r="A730" s="17" t="str">
        <x:v>A0726</x:v>
      </x:c>
      <x:c r="B730" s="17" t="str">
        <x:v>C12</x:v>
      </x:c>
      <x:c r="C730" s="17" t="str">
        <x:v>collection</x:v>
      </x:c>
      <x:c r="D730" s="17" t="str">
        <x:v>中山虚拟回收/检测中心</x:v>
      </x:c>
      <x:c r="E730" s="24" t="n">
        <x:v>113.3872302</x:v>
      </x:c>
      <x:c r="F730" s="24" t="n">
        <x:v>22.5197073</x:v>
      </x:c>
      <x:c r="G730" s="17" t="str">
        <x:v>P20E</x:v>
      </x:c>
      <x:c r="H730" s="17" t="str">
        <x:v>echelon</x:v>
      </x:c>
      <x:c r="I730" s="17" t="str">
        <x:v>广东金晟新能源股份有限公司（梯次功能）</x:v>
      </x:c>
      <x:c r="J730" s="24" t="n">
        <x:v>112.4603629</x:v>
      </x:c>
      <x:c r="K730" s="24" t="n">
        <x:v>23.0501661</x:v>
      </x:c>
      <x:c r="L730" s="21" t="n">
        <x:f>6371*ACOS(MIN(1,COS(F730*PI()/180)*COS(K730*PI()/180)*COS((J730-E730)*PI()/180)+SIN(F730*PI()/180)*SIN(K730*PI()/180)))</x:f>
        <x:v>111.83874026153268</x:v>
      </x:c>
      <x:c r="M730" s="21" t="n">
        <x:f>L730*'情景参数模板'!$D$31</x:f>
        <x:v>134.2064883138392</x:v>
      </x:c>
      <x:c r="N730" s="21" t="n">
        <x:f>IF(C730="source",'情景参数模板'!$D$12,IF(H730="echelon",'情景参数模板'!$D$13,'情景参数模板'!$D$14))</x:f>
        <x:v>0.49</x:v>
      </x:c>
      <x:c r="O730" s="21" t="n">
        <x:f>IF(C730="source",'情景参数模板'!$D$18,IF(H730="echelon",'情景参数模板'!$D$19,'情景参数模板'!$D$20))</x:f>
        <x:v>300</x:v>
      </x:c>
      <x:c r="P730" s="17" t="n">
        <x:f>IF(M730&lt;=O730,1,0)</x:f>
        <x:v>1</x:v>
      </x:c>
      <x:c r="Q730" s="17" t="str">
        <x:v>D-road proxy; B-coordinates</x:v>
      </x:c>
    </x:row>
    <x:row r="731">
      <x:c r="A731" s="17" t="str">
        <x:v>A0727</x:v>
      </x:c>
      <x:c r="B731" s="17" t="str">
        <x:v>C12</x:v>
      </x:c>
      <x:c r="C731" s="17" t="str">
        <x:v>collection</x:v>
      </x:c>
      <x:c r="D731" s="17" t="str">
        <x:v>中山虚拟回收/检测中心</x:v>
      </x:c>
      <x:c r="E731" s="24" t="n">
        <x:v>113.3872302</x:v>
      </x:c>
      <x:c r="F731" s="24" t="n">
        <x:v>22.5197073</x:v>
      </x:c>
      <x:c r="G731" s="17" t="str">
        <x:v>P20R</x:v>
      </x:c>
      <x:c r="H731" s="17" t="str">
        <x:v>recycling</x:v>
      </x:c>
      <x:c r="I731" s="17" t="str">
        <x:v>广东金晟新能源股份有限公司（再生功能）</x:v>
      </x:c>
      <x:c r="J731" s="24" t="n">
        <x:v>112.4603629</x:v>
      </x:c>
      <x:c r="K731" s="24" t="n">
        <x:v>23.0501661</x:v>
      </x:c>
      <x:c r="L731" s="21" t="n">
        <x:f>6371*ACOS(MIN(1,COS(F731*PI()/180)*COS(K731*PI()/180)*COS((J731-E731)*PI()/180)+SIN(F731*PI()/180)*SIN(K731*PI()/180)))</x:f>
        <x:v>111.83874026153268</x:v>
      </x:c>
      <x:c r="M731" s="21" t="n">
        <x:f>L731*'情景参数模板'!$D$31</x:f>
        <x:v>134.2064883138392</x:v>
      </x:c>
      <x:c r="N731" s="21" t="n">
        <x:f>IF(C731="source",'情景参数模板'!$D$12,IF(H731="echelon",'情景参数模板'!$D$13,'情景参数模板'!$D$14))</x:f>
        <x:v>0.49</x:v>
      </x:c>
      <x:c r="O731" s="21" t="n">
        <x:f>IF(C731="source",'情景参数模板'!$D$18,IF(H731="echelon",'情景参数模板'!$D$19,'情景参数模板'!$D$20))</x:f>
        <x:v>400</x:v>
      </x:c>
      <x:c r="P731" s="17" t="n">
        <x:f>IF(M731&lt;=O731,1,0)</x:f>
        <x:v>1</x:v>
      </x:c>
      <x:c r="Q731" s="17" t="str">
        <x:v>D-road proxy; B-coordinates</x:v>
      </x:c>
    </x:row>
    <x:row r="732">
      <x:c r="A732" s="17" t="str">
        <x:v>A0728</x:v>
      </x:c>
      <x:c r="B732" s="17" t="str">
        <x:v>C12</x:v>
      </x:c>
      <x:c r="C732" s="17" t="str">
        <x:v>collection</x:v>
      </x:c>
      <x:c r="D732" s="17" t="str">
        <x:v>中山虚拟回收/检测中心</x:v>
      </x:c>
      <x:c r="E732" s="24" t="n">
        <x:v>113.3872302</x:v>
      </x:c>
      <x:c r="F732" s="24" t="n">
        <x:v>22.5197073</x:v>
      </x:c>
      <x:c r="G732" s="17" t="str">
        <x:v>P21E</x:v>
      </x:c>
      <x:c r="H732" s="17" t="str">
        <x:v>echelon</x:v>
      </x:c>
      <x:c r="I732" s="17" t="str">
        <x:v>广东瑞科美电源技术有限公司（梯次功能）</x:v>
      </x:c>
      <x:c r="J732" s="24" t="n">
        <x:v>113.1159558</x:v>
      </x:c>
      <x:c r="K732" s="24" t="n">
        <x:v>23.0239788</x:v>
      </x:c>
      <x:c r="L732" s="21" t="n">
        <x:f>6371*ACOS(MIN(1,COS(F732*PI()/180)*COS(K732*PI()/180)*COS((J732-E732)*PI()/180)+SIN(F732*PI()/180)*SIN(K732*PI()/180)))</x:f>
        <x:v>62.59137427718621</x:v>
      </x:c>
      <x:c r="M732" s="21" t="n">
        <x:f>L732*'情景参数模板'!$D$31</x:f>
        <x:v>75.10964913262345</x:v>
      </x:c>
      <x:c r="N732" s="21" t="n">
        <x:f>IF(C732="source",'情景参数模板'!$D$12,IF(H732="echelon",'情景参数模板'!$D$13,'情景参数模板'!$D$14))</x:f>
        <x:v>0.49</x:v>
      </x:c>
      <x:c r="O732" s="21" t="n">
        <x:f>IF(C732="source",'情景参数模板'!$D$18,IF(H732="echelon",'情景参数模板'!$D$19,'情景参数模板'!$D$20))</x:f>
        <x:v>300</x:v>
      </x:c>
      <x:c r="P732" s="17" t="n">
        <x:f>IF(M732&lt;=O732,1,0)</x:f>
        <x:v>1</x:v>
      </x:c>
      <x:c r="Q732" s="17" t="str">
        <x:v>D-road proxy; B-coordinates</x:v>
      </x:c>
    </x:row>
    <x:row r="733">
      <x:c r="A733" s="17" t="str">
        <x:v>A0729</x:v>
      </x:c>
      <x:c r="B733" s="17" t="str">
        <x:v>C12</x:v>
      </x:c>
      <x:c r="C733" s="17" t="str">
        <x:v>collection</x:v>
      </x:c>
      <x:c r="D733" s="17" t="str">
        <x:v>中山虚拟回收/检测中心</x:v>
      </x:c>
      <x:c r="E733" s="24" t="n">
        <x:v>113.3872302</x:v>
      </x:c>
      <x:c r="F733" s="24" t="n">
        <x:v>22.5197073</x:v>
      </x:c>
      <x:c r="G733" s="17" t="str">
        <x:v>P21R</x:v>
      </x:c>
      <x:c r="H733" s="17" t="str">
        <x:v>recycling</x:v>
      </x:c>
      <x:c r="I733" s="17" t="str">
        <x:v>广东瑞科美电源技术有限公司（再生功能）</x:v>
      </x:c>
      <x:c r="J733" s="24" t="n">
        <x:v>113.1159558</x:v>
      </x:c>
      <x:c r="K733" s="24" t="n">
        <x:v>23.0239788</x:v>
      </x:c>
      <x:c r="L733" s="21" t="n">
        <x:f>6371*ACOS(MIN(1,COS(F733*PI()/180)*COS(K733*PI()/180)*COS((J733-E733)*PI()/180)+SIN(F733*PI()/180)*SIN(K733*PI()/180)))</x:f>
        <x:v>62.59137427718621</x:v>
      </x:c>
      <x:c r="M733" s="21" t="n">
        <x:f>L733*'情景参数模板'!$D$31</x:f>
        <x:v>75.10964913262345</x:v>
      </x:c>
      <x:c r="N733" s="21" t="n">
        <x:f>IF(C733="source",'情景参数模板'!$D$12,IF(H733="echelon",'情景参数模板'!$D$13,'情景参数模板'!$D$14))</x:f>
        <x:v>0.49</x:v>
      </x:c>
      <x:c r="O733" s="21" t="n">
        <x:f>IF(C733="source",'情景参数模板'!$D$18,IF(H733="echelon",'情景参数模板'!$D$19,'情景参数模板'!$D$20))</x:f>
        <x:v>400</x:v>
      </x:c>
      <x:c r="P733" s="17" t="n">
        <x:f>IF(M733&lt;=O733,1,0)</x:f>
        <x:v>1</x:v>
      </x:c>
      <x:c r="Q733" s="17" t="str">
        <x:v>D-road proxy; B-coordinates</x:v>
      </x:c>
    </x:row>
    <x:row r="734">
      <x:c r="A734" s="17" t="str">
        <x:v>A0730</x:v>
      </x:c>
      <x:c r="B734" s="17" t="str">
        <x:v>C13</x:v>
      </x:c>
      <x:c r="C734" s="17" t="str">
        <x:v>collection</x:v>
      </x:c>
      <x:c r="D734" s="17" t="str">
        <x:v>江门虚拟回收/检测中心</x:v>
      </x:c>
      <x:c r="E734" s="24" t="n">
        <x:v>113.0761073</x:v>
      </x:c>
      <x:c r="F734" s="24" t="n">
        <x:v>22.5816619</x:v>
      </x:c>
      <x:c r="G734" s="17" t="str">
        <x:v>P01</x:v>
      </x:c>
      <x:c r="H734" s="17" t="str">
        <x:v>recycling</x:v>
      </x:c>
      <x:c r="I734" s="17" t="str">
        <x:v>汕尾比亚迪废旧动力电池回收项目</x:v>
      </x:c>
      <x:c r="J734" s="24" t="n">
        <x:v>115.3492668</x:v>
      </x:c>
      <x:c r="K734" s="24" t="n">
        <x:v>22.838065</x:v>
      </x:c>
      <x:c r="L734" s="21" t="n">
        <x:f>6371*ACOS(MIN(1,COS(F734*PI()/180)*COS(K734*PI()/180)*COS((J734-E734)*PI()/180)+SIN(F734*PI()/180)*SIN(K734*PI()/180)))</x:f>
        <x:v>234.90150188290707</x:v>
      </x:c>
      <x:c r="M734" s="21" t="n">
        <x:f>L734*'情景参数模板'!$D$31</x:f>
        <x:v>281.8818022594885</x:v>
      </x:c>
      <x:c r="N734" s="21" t="n">
        <x:f>IF(C734="source",'情景参数模板'!$D$12,IF(H734="echelon",'情景参数模板'!$D$13,'情景参数模板'!$D$14))</x:f>
        <x:v>0.49</x:v>
      </x:c>
      <x:c r="O734" s="21" t="n">
        <x:f>IF(C734="source",'情景参数模板'!$D$18,IF(H734="echelon",'情景参数模板'!$D$19,'情景参数模板'!$D$20))</x:f>
        <x:v>400</x:v>
      </x:c>
      <x:c r="P734" s="17" t="n">
        <x:f>IF(M734&lt;=O734,1,0)</x:f>
        <x:v>1</x:v>
      </x:c>
      <x:c r="Q734" s="17" t="str">
        <x:v>D-road proxy; B-coordinates</x:v>
      </x:c>
    </x:row>
    <x:row r="735">
      <x:c r="A735" s="17" t="str">
        <x:v>A0731</x:v>
      </x:c>
      <x:c r="B735" s="17" t="str">
        <x:v>C13</x:v>
      </x:c>
      <x:c r="C735" s="17" t="str">
        <x:v>collection</x:v>
      </x:c>
      <x:c r="D735" s="17" t="str">
        <x:v>江门虚拟回收/检测中心</x:v>
      </x:c>
      <x:c r="E735" s="24" t="n">
        <x:v>113.0761073</x:v>
      </x:c>
      <x:c r="F735" s="24" t="n">
        <x:v>22.5816619</x:v>
      </x:c>
      <x:c r="G735" s="17" t="str">
        <x:v>P02E</x:v>
      </x:c>
      <x:c r="H735" s="17" t="str">
        <x:v>echelon</x:v>
      </x:c>
      <x:c r="I735" s="17" t="str">
        <x:v>广东光华科技股份有限公司（梯次功能）</x:v>
      </x:c>
      <x:c r="J735" s="24" t="n">
        <x:v>116.6775856</x:v>
      </x:c>
      <x:c r="K735" s="24" t="n">
        <x:v>23.3563921</x:v>
      </x:c>
      <x:c r="L735" s="21" t="n">
        <x:f>6371*ACOS(MIN(1,COS(F735*PI()/180)*COS(K735*PI()/180)*COS((J735-E735)*PI()/180)+SIN(F735*PI()/180)*SIN(K735*PI()/180)))</x:f>
        <x:v>378.6321234404451</x:v>
      </x:c>
      <x:c r="M735" s="21" t="n">
        <x:f>L735*'情景参数模板'!$D$31</x:f>
        <x:v>454.35854812853415</x:v>
      </x:c>
      <x:c r="N735" s="21" t="n">
        <x:f>IF(C735="source",'情景参数模板'!$D$12,IF(H735="echelon",'情景参数模板'!$D$13,'情景参数模板'!$D$14))</x:f>
        <x:v>0.49</x:v>
      </x:c>
      <x:c r="O735" s="21" t="n">
        <x:f>IF(C735="source",'情景参数模板'!$D$18,IF(H735="echelon",'情景参数模板'!$D$19,'情景参数模板'!$D$20))</x:f>
        <x:v>300</x:v>
      </x:c>
      <x:c r="P735" s="17" t="n">
        <x:f>IF(M735&lt;=O735,1,0)</x:f>
        <x:v>0</x:v>
      </x:c>
      <x:c r="Q735" s="17" t="str">
        <x:v>D-road proxy; B-coordinates</x:v>
      </x:c>
    </x:row>
    <x:row r="736">
      <x:c r="A736" s="17" t="str">
        <x:v>A0732</x:v>
      </x:c>
      <x:c r="B736" s="17" t="str">
        <x:v>C13</x:v>
      </x:c>
      <x:c r="C736" s="17" t="str">
        <x:v>collection</x:v>
      </x:c>
      <x:c r="D736" s="17" t="str">
        <x:v>江门虚拟回收/检测中心</x:v>
      </x:c>
      <x:c r="E736" s="24" t="n">
        <x:v>113.0761073</x:v>
      </x:c>
      <x:c r="F736" s="24" t="n">
        <x:v>22.5816619</x:v>
      </x:c>
      <x:c r="G736" s="17" t="str">
        <x:v>P02R</x:v>
      </x:c>
      <x:c r="H736" s="17" t="str">
        <x:v>recycling</x:v>
      </x:c>
      <x:c r="I736" s="17" t="str">
        <x:v>广东光华科技股份有限公司（再生功能）</x:v>
      </x:c>
      <x:c r="J736" s="24" t="n">
        <x:v>116.6775856</x:v>
      </x:c>
      <x:c r="K736" s="24" t="n">
        <x:v>23.3563921</x:v>
      </x:c>
      <x:c r="L736" s="21" t="n">
        <x:f>6371*ACOS(MIN(1,COS(F736*PI()/180)*COS(K736*PI()/180)*COS((J736-E736)*PI()/180)+SIN(F736*PI()/180)*SIN(K736*PI()/180)))</x:f>
        <x:v>378.6321234404451</x:v>
      </x:c>
      <x:c r="M736" s="21" t="n">
        <x:f>L736*'情景参数模板'!$D$31</x:f>
        <x:v>454.35854812853415</x:v>
      </x:c>
      <x:c r="N736" s="21" t="n">
        <x:f>IF(C736="source",'情景参数模板'!$D$12,IF(H736="echelon",'情景参数模板'!$D$13,'情景参数模板'!$D$14))</x:f>
        <x:v>0.49</x:v>
      </x:c>
      <x:c r="O736" s="21" t="n">
        <x:f>IF(C736="source",'情景参数模板'!$D$18,IF(H736="echelon",'情景参数模板'!$D$19,'情景参数模板'!$D$20))</x:f>
        <x:v>400</x:v>
      </x:c>
      <x:c r="P736" s="17" t="n">
        <x:f>IF(M736&lt;=O736,1,0)</x:f>
        <x:v>0</x:v>
      </x:c>
      <x:c r="Q736" s="17" t="str">
        <x:v>D-road proxy; B-coordinates</x:v>
      </x:c>
    </x:row>
    <x:row r="737">
      <x:c r="A737" s="17" t="str">
        <x:v>A0733</x:v>
      </x:c>
      <x:c r="B737" s="17" t="str">
        <x:v>C13</x:v>
      </x:c>
      <x:c r="C737" s="17" t="str">
        <x:v>collection</x:v>
      </x:c>
      <x:c r="D737" s="17" t="str">
        <x:v>江门虚拟回收/检测中心</x:v>
      </x:c>
      <x:c r="E737" s="24" t="n">
        <x:v>113.0761073</x:v>
      </x:c>
      <x:c r="F737" s="24" t="n">
        <x:v>22.5816619</x:v>
      </x:c>
      <x:c r="G737" s="17" t="str">
        <x:v>P03</x:v>
      </x:c>
      <x:c r="H737" s="17" t="str">
        <x:v>echelon</x:v>
      </x:c>
      <x:c r="I737" s="17" t="str">
        <x:v>深圳深汕特别合作区乾泰技术有限公司</x:v>
      </x:c>
      <x:c r="J737" s="24" t="n">
        <x:v>115.5099937</x:v>
      </x:c>
      <x:c r="K737" s="24" t="n">
        <x:v>23.0123639</x:v>
      </x:c>
      <x:c r="L737" s="21" t="n">
        <x:f>6371*ACOS(MIN(1,COS(F737*PI()/180)*COS(K737*PI()/180)*COS((J737-E737)*PI()/180)+SIN(F737*PI()/180)*SIN(K737*PI()/180)))</x:f>
        <x:v>254.0459836486194</x:v>
      </x:c>
      <x:c r="M737" s="21" t="n">
        <x:f>L737*'情景参数模板'!$D$31</x:f>
        <x:v>304.8551803783433</x:v>
      </x:c>
      <x:c r="N737" s="21" t="n">
        <x:f>IF(C737="source",'情景参数模板'!$D$12,IF(H737="echelon",'情景参数模板'!$D$13,'情景参数模板'!$D$14))</x:f>
        <x:v>0.49</x:v>
      </x:c>
      <x:c r="O737" s="21" t="n">
        <x:f>IF(C737="source",'情景参数模板'!$D$18,IF(H737="echelon",'情景参数模板'!$D$19,'情景参数模板'!$D$20))</x:f>
        <x:v>300</x:v>
      </x:c>
      <x:c r="P737" s="17" t="n">
        <x:f>IF(M737&lt;=O737,1,0)</x:f>
        <x:v>0</x:v>
      </x:c>
      <x:c r="Q737" s="17" t="str">
        <x:v>D-road proxy; B-coordinates</x:v>
      </x:c>
    </x:row>
    <x:row r="738">
      <x:c r="A738" s="17" t="str">
        <x:v>A0734</x:v>
      </x:c>
      <x:c r="B738" s="17" t="str">
        <x:v>C13</x:v>
      </x:c>
      <x:c r="C738" s="17" t="str">
        <x:v>collection</x:v>
      </x:c>
      <x:c r="D738" s="17" t="str">
        <x:v>江门虚拟回收/检测中心</x:v>
      </x:c>
      <x:c r="E738" s="24" t="n">
        <x:v>113.0761073</x:v>
      </x:c>
      <x:c r="F738" s="24" t="n">
        <x:v>22.5816619</x:v>
      </x:c>
      <x:c r="G738" s="17" t="str">
        <x:v>P04</x:v>
      </x:c>
      <x:c r="H738" s="17" t="str">
        <x:v>echelon</x:v>
      </x:c>
      <x:c r="I738" s="17" t="str">
        <x:v>珠海中力新能源科技有限公司</x:v>
      </x:c>
      <x:c r="J738" s="24" t="n">
        <x:v>113.5721327</x:v>
      </x:c>
      <x:c r="K738" s="24" t="n">
        <x:v>22.273734</x:v>
      </x:c>
      <x:c r="L738" s="21" t="n">
        <x:f>6371*ACOS(MIN(1,COS(F738*PI()/180)*COS(K738*PI()/180)*COS((J738-E738)*PI()/180)+SIN(F738*PI()/180)*SIN(K738*PI()/180)))</x:f>
        <x:v>61.4141569491265</x:v>
      </x:c>
      <x:c r="M738" s="21" t="n">
        <x:f>L738*'情景参数模板'!$D$31</x:f>
        <x:v>73.6969883389518</x:v>
      </x:c>
      <x:c r="N738" s="21" t="n">
        <x:f>IF(C738="source",'情景参数模板'!$D$12,IF(H738="echelon",'情景参数模板'!$D$13,'情景参数模板'!$D$14))</x:f>
        <x:v>0.49</x:v>
      </x:c>
      <x:c r="O738" s="21" t="n">
        <x:f>IF(C738="source",'情景参数模板'!$D$18,IF(H738="echelon",'情景参数模板'!$D$19,'情景参数模板'!$D$20))</x:f>
        <x:v>300</x:v>
      </x:c>
      <x:c r="P738" s="17" t="n">
        <x:f>IF(M738&lt;=O738,1,0)</x:f>
        <x:v>1</x:v>
      </x:c>
      <x:c r="Q738" s="17" t="str">
        <x:v>D-road proxy; B-coordinates</x:v>
      </x:c>
    </x:row>
    <x:row r="739">
      <x:c r="A739" s="17" t="str">
        <x:v>A0735</x:v>
      </x:c>
      <x:c r="B739" s="17" t="str">
        <x:v>C13</x:v>
      </x:c>
      <x:c r="C739" s="17" t="str">
        <x:v>collection</x:v>
      </x:c>
      <x:c r="D739" s="17" t="str">
        <x:v>江门虚拟回收/检测中心</x:v>
      </x:c>
      <x:c r="E739" s="24" t="n">
        <x:v>113.0761073</x:v>
      </x:c>
      <x:c r="F739" s="24" t="n">
        <x:v>22.5816619</x:v>
      </x:c>
      <x:c r="G739" s="17" t="str">
        <x:v>P05</x:v>
      </x:c>
      <x:c r="H739" s="17" t="str">
        <x:v>echelon</x:v>
      </x:c>
      <x:c r="I739" s="17" t="str">
        <x:v>惠州市恒创睿能环保科技有限公司</x:v>
      </x:c>
      <x:c r="J739" s="24" t="n">
        <x:v>114.4127007</x:v>
      </x:c>
      <x:c r="K739" s="24" t="n">
        <x:v>23.1125153</x:v>
      </x:c>
      <x:c r="L739" s="21" t="n">
        <x:f>6371*ACOS(MIN(1,COS(F739*PI()/180)*COS(K739*PI()/180)*COS((J739-E739)*PI()/180)+SIN(F739*PI()/180)*SIN(K739*PI()/180)))</x:f>
        <x:v>149.1396078501504</x:v>
      </x:c>
      <x:c r="M739" s="21" t="n">
        <x:f>L739*'情景参数模板'!$D$31</x:f>
        <x:v>178.96752942018048</x:v>
      </x:c>
      <x:c r="N739" s="21" t="n">
        <x:f>IF(C739="source",'情景参数模板'!$D$12,IF(H739="echelon",'情景参数模板'!$D$13,'情景参数模板'!$D$14))</x:f>
        <x:v>0.49</x:v>
      </x:c>
      <x:c r="O739" s="21" t="n">
        <x:f>IF(C739="source",'情景参数模板'!$D$18,IF(H739="echelon",'情景参数模板'!$D$19,'情景参数模板'!$D$20))</x:f>
        <x:v>300</x:v>
      </x:c>
      <x:c r="P739" s="17" t="n">
        <x:f>IF(M739&lt;=O739,1,0)</x:f>
        <x:v>1</x:v>
      </x:c>
      <x:c r="Q739" s="17" t="str">
        <x:v>D-road proxy; B-coordinates</x:v>
      </x:c>
    </x:row>
    <x:row r="740">
      <x:c r="A740" s="17" t="str">
        <x:v>A0736</x:v>
      </x:c>
      <x:c r="B740" s="17" t="str">
        <x:v>C13</x:v>
      </x:c>
      <x:c r="C740" s="17" t="str">
        <x:v>collection</x:v>
      </x:c>
      <x:c r="D740" s="17" t="str">
        <x:v>江门虚拟回收/检测中心</x:v>
      </x:c>
      <x:c r="E740" s="24" t="n">
        <x:v>113.0761073</x:v>
      </x:c>
      <x:c r="F740" s="24" t="n">
        <x:v>22.5816619</x:v>
      </x:c>
      <x:c r="G740" s="17" t="str">
        <x:v>P06</x:v>
      </x:c>
      <x:c r="H740" s="17" t="str">
        <x:v>echelon</x:v>
      </x:c>
      <x:c r="I740" s="17" t="str">
        <x:v>江门市朗达锂电池有限公司</x:v>
      </x:c>
      <x:c r="J740" s="24" t="n">
        <x:v>113.0761073</x:v>
      </x:c>
      <x:c r="K740" s="24" t="n">
        <x:v>22.5816619</x:v>
      </x:c>
      <x:c r="L740" s="21" t="n">
        <x:f>6371*ACOS(MIN(1,COS(F740*PI()/180)*COS(K740*PI()/180)*COS((J740-E740)*PI()/180)+SIN(F740*PI()/180)*SIN(K740*PI()/180)))</x:f>
        <x:v>0</x:v>
      </x:c>
      <x:c r="M740" s="21" t="n">
        <x:f>L740*'情景参数模板'!$D$31</x:f>
        <x:v>0</x:v>
      </x:c>
      <x:c r="N740" s="21" t="n">
        <x:f>IF(C740="source",'情景参数模板'!$D$12,IF(H740="echelon",'情景参数模板'!$D$13,'情景参数模板'!$D$14))</x:f>
        <x:v>0.49</x:v>
      </x:c>
      <x:c r="O740" s="21" t="n">
        <x:f>IF(C740="source",'情景参数模板'!$D$18,IF(H740="echelon",'情景参数模板'!$D$19,'情景参数模板'!$D$20))</x:f>
        <x:v>300</x:v>
      </x:c>
      <x:c r="P740" s="17" t="n">
        <x:f>IF(M740&lt;=O740,1,0)</x:f>
        <x:v>1</x:v>
      </x:c>
      <x:c r="Q740" s="17" t="str">
        <x:v>D-road proxy; B-coordinates</x:v>
      </x:c>
    </x:row>
    <x:row r="741">
      <x:c r="A741" s="17" t="str">
        <x:v>A0737</x:v>
      </x:c>
      <x:c r="B741" s="17" t="str">
        <x:v>C13</x:v>
      </x:c>
      <x:c r="C741" s="17" t="str">
        <x:v>collection</x:v>
      </x:c>
      <x:c r="D741" s="17" t="str">
        <x:v>江门虚拟回收/检测中心</x:v>
      </x:c>
      <x:c r="E741" s="24" t="n">
        <x:v>113.0761073</x:v>
      </x:c>
      <x:c r="F741" s="24" t="n">
        <x:v>22.5816619</x:v>
      </x:c>
      <x:c r="G741" s="17" t="str">
        <x:v>P07</x:v>
      </x:c>
      <x:c r="H741" s="17" t="str">
        <x:v>echelon</x:v>
      </x:c>
      <x:c r="I741" s="17" t="str">
        <x:v>广东迪度新能源有限公司</x:v>
      </x:c>
      <x:c r="J741" s="24" t="n">
        <x:v>113.7452332</x:v>
      </x:c>
      <x:c r="K741" s="24" t="n">
        <x:v>23.0183568</x:v>
      </x:c>
      <x:c r="L741" s="21" t="n">
        <x:f>6371*ACOS(MIN(1,COS(F741*PI()/180)*COS(K741*PI()/180)*COS((J741-E741)*PI()/180)+SIN(F741*PI()/180)*SIN(K741*PI()/180)))</x:f>
        <x:v>84.0381800487033</x:v>
      </x:c>
      <x:c r="M741" s="21" t="n">
        <x:f>L741*'情景参数模板'!$D$31</x:f>
        <x:v>100.84581605844396</x:v>
      </x:c>
      <x:c r="N741" s="21" t="n">
        <x:f>IF(C741="source",'情景参数模板'!$D$12,IF(H741="echelon",'情景参数模板'!$D$13,'情景参数模板'!$D$14))</x:f>
        <x:v>0.49</x:v>
      </x:c>
      <x:c r="O741" s="21" t="n">
        <x:f>IF(C741="source",'情景参数模板'!$D$18,IF(H741="echelon",'情景参数模板'!$D$19,'情景参数模板'!$D$20))</x:f>
        <x:v>300</x:v>
      </x:c>
      <x:c r="P741" s="17" t="n">
        <x:f>IF(M741&lt;=O741,1,0)</x:f>
        <x:v>1</x:v>
      </x:c>
      <x:c r="Q741" s="17" t="str">
        <x:v>D-road proxy; B-coordinates</x:v>
      </x:c>
    </x:row>
    <x:row r="742">
      <x:c r="A742" s="17" t="str">
        <x:v>A0738</x:v>
      </x:c>
      <x:c r="B742" s="17" t="str">
        <x:v>C13</x:v>
      </x:c>
      <x:c r="C742" s="17" t="str">
        <x:v>collection</x:v>
      </x:c>
      <x:c r="D742" s="17" t="str">
        <x:v>江门虚拟回收/检测中心</x:v>
      </x:c>
      <x:c r="E742" s="24" t="n">
        <x:v>113.0761073</x:v>
      </x:c>
      <x:c r="F742" s="24" t="n">
        <x:v>22.5816619</x:v>
      </x:c>
      <x:c r="G742" s="17" t="str">
        <x:v>P08</x:v>
      </x:c>
      <x:c r="H742" s="17" t="str">
        <x:v>echelon</x:v>
      </x:c>
      <x:c r="I742" s="17" t="str">
        <x:v>东莞市博森新能源有限公司</x:v>
      </x:c>
      <x:c r="J742" s="24" t="n">
        <x:v>113.7452332</x:v>
      </x:c>
      <x:c r="K742" s="24" t="n">
        <x:v>23.0183568</x:v>
      </x:c>
      <x:c r="L742" s="21" t="n">
        <x:f>6371*ACOS(MIN(1,COS(F742*PI()/180)*COS(K742*PI()/180)*COS((J742-E742)*PI()/180)+SIN(F742*PI()/180)*SIN(K742*PI()/180)))</x:f>
        <x:v>84.0381800487033</x:v>
      </x:c>
      <x:c r="M742" s="21" t="n">
        <x:f>L742*'情景参数模板'!$D$31</x:f>
        <x:v>100.84581605844396</x:v>
      </x:c>
      <x:c r="N742" s="21" t="n">
        <x:f>IF(C742="source",'情景参数模板'!$D$12,IF(H742="echelon",'情景参数模板'!$D$13,'情景参数模板'!$D$14))</x:f>
        <x:v>0.49</x:v>
      </x:c>
      <x:c r="O742" s="21" t="n">
        <x:f>IF(C742="source",'情景参数模板'!$D$18,IF(H742="echelon",'情景参数模板'!$D$19,'情景参数模板'!$D$20))</x:f>
        <x:v>300</x:v>
      </x:c>
      <x:c r="P742" s="17" t="n">
        <x:f>IF(M742&lt;=O742,1,0)</x:f>
        <x:v>1</x:v>
      </x:c>
      <x:c r="Q742" s="17" t="str">
        <x:v>D-road proxy; B-coordinates</x:v>
      </x:c>
    </x:row>
    <x:row r="743">
      <x:c r="A743" s="17" t="str">
        <x:v>A0739</x:v>
      </x:c>
      <x:c r="B743" s="17" t="str">
        <x:v>C13</x:v>
      </x:c>
      <x:c r="C743" s="17" t="str">
        <x:v>collection</x:v>
      </x:c>
      <x:c r="D743" s="17" t="str">
        <x:v>江门虚拟回收/检测中心</x:v>
      </x:c>
      <x:c r="E743" s="24" t="n">
        <x:v>113.0761073</x:v>
      </x:c>
      <x:c r="F743" s="24" t="n">
        <x:v>22.5816619</x:v>
      </x:c>
      <x:c r="G743" s="17" t="str">
        <x:v>P09</x:v>
      </x:c>
      <x:c r="H743" s="17" t="str">
        <x:v>echelon</x:v>
      </x:c>
      <x:c r="I743" s="17" t="str">
        <x:v>广东宇阳新能源有限公司</x:v>
      </x:c>
      <x:c r="J743" s="24" t="n">
        <x:v>113.7452332</x:v>
      </x:c>
      <x:c r="K743" s="24" t="n">
        <x:v>23.0183568</x:v>
      </x:c>
      <x:c r="L743" s="21" t="n">
        <x:f>6371*ACOS(MIN(1,COS(F743*PI()/180)*COS(K743*PI()/180)*COS((J743-E743)*PI()/180)+SIN(F743*PI()/180)*SIN(K743*PI()/180)))</x:f>
        <x:v>84.0381800487033</x:v>
      </x:c>
      <x:c r="M743" s="21" t="n">
        <x:f>L743*'情景参数模板'!$D$31</x:f>
        <x:v>100.84581605844396</x:v>
      </x:c>
      <x:c r="N743" s="21" t="n">
        <x:f>IF(C743="source",'情景参数模板'!$D$12,IF(H743="echelon",'情景参数模板'!$D$13,'情景参数模板'!$D$14))</x:f>
        <x:v>0.49</x:v>
      </x:c>
      <x:c r="O743" s="21" t="n">
        <x:f>IF(C743="source",'情景参数模板'!$D$18,IF(H743="echelon",'情景参数模板'!$D$19,'情景参数模板'!$D$20))</x:f>
        <x:v>300</x:v>
      </x:c>
      <x:c r="P743" s="17" t="n">
        <x:f>IF(M743&lt;=O743,1,0)</x:f>
        <x:v>1</x:v>
      </x:c>
      <x:c r="Q743" s="17" t="str">
        <x:v>D-road proxy; B-coordinates</x:v>
      </x:c>
    </x:row>
    <x:row r="744">
      <x:c r="A744" s="17" t="str">
        <x:v>A0740</x:v>
      </x:c>
      <x:c r="B744" s="17" t="str">
        <x:v>C13</x:v>
      </x:c>
      <x:c r="C744" s="17" t="str">
        <x:v>collection</x:v>
      </x:c>
      <x:c r="D744" s="17" t="str">
        <x:v>江门虚拟回收/检测中心</x:v>
      </x:c>
      <x:c r="E744" s="24" t="n">
        <x:v>113.0761073</x:v>
      </x:c>
      <x:c r="F744" s="24" t="n">
        <x:v>22.5816619</x:v>
      </x:c>
      <x:c r="G744" s="17" t="str">
        <x:v>P10</x:v>
      </x:c>
      <x:c r="H744" s="17" t="str">
        <x:v>echelon</x:v>
      </x:c>
      <x:c r="I744" s="17" t="str">
        <x:v>广州广汽商贸再生资源有限公司</x:v>
      </x:c>
      <x:c r="J744" s="24" t="n">
        <x:v>113.2589581</x:v>
      </x:c>
      <x:c r="K744" s="24" t="n">
        <x:v>23.1288429</x:v>
      </x:c>
      <x:c r="L744" s="21" t="n">
        <x:f>6371*ACOS(MIN(1,COS(F744*PI()/180)*COS(K744*PI()/180)*COS((J744-E744)*PI()/180)+SIN(F744*PI()/180)*SIN(K744*PI()/180)))</x:f>
        <x:v>63.663079882234</x:v>
      </x:c>
      <x:c r="M744" s="21" t="n">
        <x:f>L744*'情景参数模板'!$D$31</x:f>
        <x:v>76.3956958586808</x:v>
      </x:c>
      <x:c r="N744" s="21" t="n">
        <x:f>IF(C744="source",'情景参数模板'!$D$12,IF(H744="echelon",'情景参数模板'!$D$13,'情景参数模板'!$D$14))</x:f>
        <x:v>0.49</x:v>
      </x:c>
      <x:c r="O744" s="21" t="n">
        <x:f>IF(C744="source",'情景参数模板'!$D$18,IF(H744="echelon",'情景参数模板'!$D$19,'情景参数模板'!$D$20))</x:f>
        <x:v>300</x:v>
      </x:c>
      <x:c r="P744" s="17" t="n">
        <x:f>IF(M744&lt;=O744,1,0)</x:f>
        <x:v>1</x:v>
      </x:c>
      <x:c r="Q744" s="17" t="str">
        <x:v>D-road proxy; B-coordinates</x:v>
      </x:c>
    </x:row>
    <x:row r="745">
      <x:c r="A745" s="17" t="str">
        <x:v>A0741</x:v>
      </x:c>
      <x:c r="B745" s="17" t="str">
        <x:v>C13</x:v>
      </x:c>
      <x:c r="C745" s="17" t="str">
        <x:v>collection</x:v>
      </x:c>
      <x:c r="D745" s="17" t="str">
        <x:v>江门虚拟回收/检测中心</x:v>
      </x:c>
      <x:c r="E745" s="24" t="n">
        <x:v>113.0761073</x:v>
      </x:c>
      <x:c r="F745" s="24" t="n">
        <x:v>22.5816619</x:v>
      </x:c>
      <x:c r="G745" s="17" t="str">
        <x:v>P11</x:v>
      </x:c>
      <x:c r="H745" s="17" t="str">
        <x:v>echelon</x:v>
      </x:c>
      <x:c r="I745" s="17" t="str">
        <x:v>深圳市杰成镍钴新能源科技有限公司</x:v>
      </x:c>
      <x:c r="J745" s="24" t="n">
        <x:v>114.0545429</x:v>
      </x:c>
      <x:c r="K745" s="24" t="n">
        <x:v>22.5445741</x:v>
      </x:c>
      <x:c r="L745" s="21" t="n">
        <x:f>6371*ACOS(MIN(1,COS(F745*PI()/180)*COS(K745*PI()/180)*COS((J745-E745)*PI()/180)+SIN(F745*PI()/180)*SIN(K745*PI()/180)))</x:f>
        <x:v>100.55388459485556</x:v>
      </x:c>
      <x:c r="M745" s="21" t="n">
        <x:f>L745*'情景参数模板'!$D$31</x:f>
        <x:v>120.66466151382667</x:v>
      </x:c>
      <x:c r="N745" s="21" t="n">
        <x:f>IF(C745="source",'情景参数模板'!$D$12,IF(H745="echelon",'情景参数模板'!$D$13,'情景参数模板'!$D$14))</x:f>
        <x:v>0.49</x:v>
      </x:c>
      <x:c r="O745" s="21" t="n">
        <x:f>IF(C745="source",'情景参数模板'!$D$18,IF(H745="echelon",'情景参数模板'!$D$19,'情景参数模板'!$D$20))</x:f>
        <x:v>300</x:v>
      </x:c>
      <x:c r="P745" s="17" t="n">
        <x:f>IF(M745&lt;=O745,1,0)</x:f>
        <x:v>1</x:v>
      </x:c>
      <x:c r="Q745" s="17" t="str">
        <x:v>D-road proxy; B-coordinates</x:v>
      </x:c>
    </x:row>
    <x:row r="746">
      <x:c r="A746" s="17" t="str">
        <x:v>A0742</x:v>
      </x:c>
      <x:c r="B746" s="17" t="str">
        <x:v>C13</x:v>
      </x:c>
      <x:c r="C746" s="17" t="str">
        <x:v>collection</x:v>
      </x:c>
      <x:c r="D746" s="17" t="str">
        <x:v>江门虚拟回收/检测中心</x:v>
      </x:c>
      <x:c r="E746" s="24" t="n">
        <x:v>113.0761073</x:v>
      </x:c>
      <x:c r="F746" s="24" t="n">
        <x:v>22.5816619</x:v>
      </x:c>
      <x:c r="G746" s="17" t="str">
        <x:v>P12</x:v>
      </x:c>
      <x:c r="H746" s="17" t="str">
        <x:v>recycling</x:v>
      </x:c>
      <x:c r="I746" s="17" t="str">
        <x:v>江门市恒创睿能环保科技有限公司</x:v>
      </x:c>
      <x:c r="J746" s="24" t="n">
        <x:v>113.0761073</x:v>
      </x:c>
      <x:c r="K746" s="24" t="n">
        <x:v>22.5816619</x:v>
      </x:c>
      <x:c r="L746" s="21" t="n">
        <x:f>6371*ACOS(MIN(1,COS(F746*PI()/180)*COS(K746*PI()/180)*COS((J746-E746)*PI()/180)+SIN(F746*PI()/180)*SIN(K746*PI()/180)))</x:f>
        <x:v>0</x:v>
      </x:c>
      <x:c r="M746" s="21" t="n">
        <x:f>L746*'情景参数模板'!$D$31</x:f>
        <x:v>0</x:v>
      </x:c>
      <x:c r="N746" s="21" t="n">
        <x:f>IF(C746="source",'情景参数模板'!$D$12,IF(H746="echelon",'情景参数模板'!$D$13,'情景参数模板'!$D$14))</x:f>
        <x:v>0.49</x:v>
      </x:c>
      <x:c r="O746" s="21" t="n">
        <x:f>IF(C746="source",'情景参数模板'!$D$18,IF(H746="echelon",'情景参数模板'!$D$19,'情景参数模板'!$D$20))</x:f>
        <x:v>400</x:v>
      </x:c>
      <x:c r="P746" s="17" t="n">
        <x:f>IF(M746&lt;=O746,1,0)</x:f>
        <x:v>1</x:v>
      </x:c>
      <x:c r="Q746" s="17" t="str">
        <x:v>D-road proxy; B-coordinates</x:v>
      </x:c>
    </x:row>
    <x:row r="747">
      <x:c r="A747" s="17" t="str">
        <x:v>A0743</x:v>
      </x:c>
      <x:c r="B747" s="17" t="str">
        <x:v>C13</x:v>
      </x:c>
      <x:c r="C747" s="17" t="str">
        <x:v>collection</x:v>
      </x:c>
      <x:c r="D747" s="17" t="str">
        <x:v>江门虚拟回收/检测中心</x:v>
      </x:c>
      <x:c r="E747" s="24" t="n">
        <x:v>113.0761073</x:v>
      </x:c>
      <x:c r="F747" s="24" t="n">
        <x:v>22.5816619</x:v>
      </x:c>
      <x:c r="G747" s="17" t="str">
        <x:v>P13</x:v>
      </x:c>
      <x:c r="H747" s="17" t="str">
        <x:v>recycling</x:v>
      </x:c>
      <x:c r="I747" s="17" t="str">
        <x:v>广东佳纳能源科技有限公司</x:v>
      </x:c>
      <x:c r="J747" s="24" t="n">
        <x:v>113.0505994</x:v>
      </x:c>
      <x:c r="K747" s="24" t="n">
        <x:v>23.6832984</x:v>
      </x:c>
      <x:c r="L747" s="21" t="n">
        <x:f>6371*ACOS(MIN(1,COS(F747*PI()/180)*COS(K747*PI()/180)*COS((J747-E747)*PI()/180)+SIN(F747*PI()/180)*SIN(K747*PI()/180)))</x:f>
        <x:v>122.52415451208954</x:v>
      </x:c>
      <x:c r="M747" s="21" t="n">
        <x:f>L747*'情景参数模板'!$D$31</x:f>
        <x:v>147.02898541450745</x:v>
      </x:c>
      <x:c r="N747" s="21" t="n">
        <x:f>IF(C747="source",'情景参数模板'!$D$12,IF(H747="echelon",'情景参数模板'!$D$13,'情景参数模板'!$D$14))</x:f>
        <x:v>0.49</x:v>
      </x:c>
      <x:c r="O747" s="21" t="n">
        <x:f>IF(C747="source",'情景参数模板'!$D$18,IF(H747="echelon",'情景参数模板'!$D$19,'情景参数模板'!$D$20))</x:f>
        <x:v>400</x:v>
      </x:c>
      <x:c r="P747" s="17" t="n">
        <x:f>IF(M747&lt;=O747,1,0)</x:f>
        <x:v>1</x:v>
      </x:c>
      <x:c r="Q747" s="17" t="str">
        <x:v>D-road proxy; B-coordinates</x:v>
      </x:c>
    </x:row>
    <x:row r="748">
      <x:c r="A748" s="17" t="str">
        <x:v>A0744</x:v>
      </x:c>
      <x:c r="B748" s="17" t="str">
        <x:v>C13</x:v>
      </x:c>
      <x:c r="C748" s="17" t="str">
        <x:v>collection</x:v>
      </x:c>
      <x:c r="D748" s="17" t="str">
        <x:v>江门虚拟回收/检测中心</x:v>
      </x:c>
      <x:c r="E748" s="24" t="n">
        <x:v>113.0761073</x:v>
      </x:c>
      <x:c r="F748" s="24" t="n">
        <x:v>22.5816619</x:v>
      </x:c>
      <x:c r="G748" s="17" t="str">
        <x:v>P14</x:v>
      </x:c>
      <x:c r="H748" s="17" t="str">
        <x:v>echelon</x:v>
      </x:c>
      <x:c r="I748" s="17" t="str">
        <x:v>格林美（深圳）循环科技有限公司</x:v>
      </x:c>
      <x:c r="J748" s="24" t="n">
        <x:v>114.0545429</x:v>
      </x:c>
      <x:c r="K748" s="24" t="n">
        <x:v>22.5445741</x:v>
      </x:c>
      <x:c r="L748" s="21" t="n">
        <x:f>6371*ACOS(MIN(1,COS(F748*PI()/180)*COS(K748*PI()/180)*COS((J748-E748)*PI()/180)+SIN(F748*PI()/180)*SIN(K748*PI()/180)))</x:f>
        <x:v>100.55388459485556</x:v>
      </x:c>
      <x:c r="M748" s="21" t="n">
        <x:f>L748*'情景参数模板'!$D$31</x:f>
        <x:v>120.66466151382667</x:v>
      </x:c>
      <x:c r="N748" s="21" t="n">
        <x:f>IF(C748="source",'情景参数模板'!$D$12,IF(H748="echelon",'情景参数模板'!$D$13,'情景参数模板'!$D$14))</x:f>
        <x:v>0.49</x:v>
      </x:c>
      <x:c r="O748" s="21" t="n">
        <x:f>IF(C748="source",'情景参数模板'!$D$18,IF(H748="echelon",'情景参数模板'!$D$19,'情景参数模板'!$D$20))</x:f>
        <x:v>300</x:v>
      </x:c>
      <x:c r="P748" s="17" t="n">
        <x:f>IF(M748&lt;=O748,1,0)</x:f>
        <x:v>1</x:v>
      </x:c>
      <x:c r="Q748" s="17" t="str">
        <x:v>D-road proxy; B-coordinates</x:v>
      </x:c>
    </x:row>
    <x:row r="749">
      <x:c r="A749" s="17" t="str">
        <x:v>A0745</x:v>
      </x:c>
      <x:c r="B749" s="17" t="str">
        <x:v>C13</x:v>
      </x:c>
      <x:c r="C749" s="17" t="str">
        <x:v>collection</x:v>
      </x:c>
      <x:c r="D749" s="17" t="str">
        <x:v>江门虚拟回收/检测中心</x:v>
      </x:c>
      <x:c r="E749" s="24" t="n">
        <x:v>113.0761073</x:v>
      </x:c>
      <x:c r="F749" s="24" t="n">
        <x:v>22.5816619</x:v>
      </x:c>
      <x:c r="G749" s="17" t="str">
        <x:v>P15</x:v>
      </x:c>
      <x:c r="H749" s="17" t="str">
        <x:v>echelon</x:v>
      </x:c>
      <x:c r="I749" s="17" t="str">
        <x:v>绿循新能源科技（佛山）有限责任公司</x:v>
      </x:c>
      <x:c r="J749" s="24" t="n">
        <x:v>113.1159558</x:v>
      </x:c>
      <x:c r="K749" s="24" t="n">
        <x:v>23.0239788</x:v>
      </x:c>
      <x:c r="L749" s="21" t="n">
        <x:f>6371*ACOS(MIN(1,COS(F749*PI()/180)*COS(K749*PI()/180)*COS((J749-E749)*PI()/180)+SIN(F749*PI()/180)*SIN(K749*PI()/180)))</x:f>
        <x:v>49.35271597324547</x:v>
      </x:c>
      <x:c r="M749" s="21" t="n">
        <x:f>L749*'情景参数模板'!$D$31</x:f>
        <x:v>59.22325916789457</x:v>
      </x:c>
      <x:c r="N749" s="21" t="n">
        <x:f>IF(C749="source",'情景参数模板'!$D$12,IF(H749="echelon",'情景参数模板'!$D$13,'情景参数模板'!$D$14))</x:f>
        <x:v>0.49</x:v>
      </x:c>
      <x:c r="O749" s="21" t="n">
        <x:f>IF(C749="source",'情景参数模板'!$D$18,IF(H749="echelon",'情景参数模板'!$D$19,'情景参数模板'!$D$20))</x:f>
        <x:v>300</x:v>
      </x:c>
      <x:c r="P749" s="17" t="n">
        <x:f>IF(M749&lt;=O749,1,0)</x:f>
        <x:v>1</x:v>
      </x:c>
      <x:c r="Q749" s="17" t="str">
        <x:v>D-road proxy; B-coordinates</x:v>
      </x:c>
    </x:row>
    <x:row r="750">
      <x:c r="A750" s="17" t="str">
        <x:v>A0746</x:v>
      </x:c>
      <x:c r="B750" s="17" t="str">
        <x:v>C13</x:v>
      </x:c>
      <x:c r="C750" s="17" t="str">
        <x:v>collection</x:v>
      </x:c>
      <x:c r="D750" s="17" t="str">
        <x:v>江门虚拟回收/检测中心</x:v>
      </x:c>
      <x:c r="E750" s="24" t="n">
        <x:v>113.0761073</x:v>
      </x:c>
      <x:c r="F750" s="24" t="n">
        <x:v>22.5816619</x:v>
      </x:c>
      <x:c r="G750" s="17" t="str">
        <x:v>P16</x:v>
      </x:c>
      <x:c r="H750" s="17" t="str">
        <x:v>echelon</x:v>
      </x:c>
      <x:c r="I750" s="17" t="str">
        <x:v>深圳艾云动智慧科技有限公司</x:v>
      </x:c>
      <x:c r="J750" s="24" t="n">
        <x:v>114.0545429</x:v>
      </x:c>
      <x:c r="K750" s="24" t="n">
        <x:v>22.5445741</x:v>
      </x:c>
      <x:c r="L750" s="21" t="n">
        <x:f>6371*ACOS(MIN(1,COS(F750*PI()/180)*COS(K750*PI()/180)*COS((J750-E750)*PI()/180)+SIN(F750*PI()/180)*SIN(K750*PI()/180)))</x:f>
        <x:v>100.55388459485556</x:v>
      </x:c>
      <x:c r="M750" s="21" t="n">
        <x:f>L750*'情景参数模板'!$D$31</x:f>
        <x:v>120.66466151382667</x:v>
      </x:c>
      <x:c r="N750" s="21" t="n">
        <x:f>IF(C750="source",'情景参数模板'!$D$12,IF(H750="echelon",'情景参数模板'!$D$13,'情景参数模板'!$D$14))</x:f>
        <x:v>0.49</x:v>
      </x:c>
      <x:c r="O750" s="21" t="n">
        <x:f>IF(C750="source",'情景参数模板'!$D$18,IF(H750="echelon",'情景参数模板'!$D$19,'情景参数模板'!$D$20))</x:f>
        <x:v>300</x:v>
      </x:c>
      <x:c r="P750" s="17" t="n">
        <x:f>IF(M750&lt;=O750,1,0)</x:f>
        <x:v>1</x:v>
      </x:c>
      <x:c r="Q750" s="17" t="str">
        <x:v>D-road proxy; B-coordinates</x:v>
      </x:c>
    </x:row>
    <x:row r="751">
      <x:c r="A751" s="17" t="str">
        <x:v>A0747</x:v>
      </x:c>
      <x:c r="B751" s="17" t="str">
        <x:v>C13</x:v>
      </x:c>
      <x:c r="C751" s="17" t="str">
        <x:v>collection</x:v>
      </x:c>
      <x:c r="D751" s="17" t="str">
        <x:v>江门虚拟回收/检测中心</x:v>
      </x:c>
      <x:c r="E751" s="24" t="n">
        <x:v>113.0761073</x:v>
      </x:c>
      <x:c r="F751" s="24" t="n">
        <x:v>22.5816619</x:v>
      </x:c>
      <x:c r="G751" s="17" t="str">
        <x:v>P17</x:v>
      </x:c>
      <x:c r="H751" s="17" t="str">
        <x:v>echelon</x:v>
      </x:c>
      <x:c r="I751" s="17" t="str">
        <x:v>深圳市荣高晟新能源科技有限公司</x:v>
      </x:c>
      <x:c r="J751" s="24" t="n">
        <x:v>114.0545429</x:v>
      </x:c>
      <x:c r="K751" s="24" t="n">
        <x:v>22.5445741</x:v>
      </x:c>
      <x:c r="L751" s="21" t="n">
        <x:f>6371*ACOS(MIN(1,COS(F751*PI()/180)*COS(K751*PI()/180)*COS((J751-E751)*PI()/180)+SIN(F751*PI()/180)*SIN(K751*PI()/180)))</x:f>
        <x:v>100.55388459485556</x:v>
      </x:c>
      <x:c r="M751" s="21" t="n">
        <x:f>L751*'情景参数模板'!$D$31</x:f>
        <x:v>120.66466151382667</x:v>
      </x:c>
      <x:c r="N751" s="21" t="n">
        <x:f>IF(C751="source",'情景参数模板'!$D$12,IF(H751="echelon",'情景参数模板'!$D$13,'情景参数模板'!$D$14))</x:f>
        <x:v>0.49</x:v>
      </x:c>
      <x:c r="O751" s="21" t="n">
        <x:f>IF(C751="source",'情景参数模板'!$D$18,IF(H751="echelon",'情景参数模板'!$D$19,'情景参数模板'!$D$20))</x:f>
        <x:v>300</x:v>
      </x:c>
      <x:c r="P751" s="17" t="n">
        <x:f>IF(M751&lt;=O751,1,0)</x:f>
        <x:v>1</x:v>
      </x:c>
      <x:c r="Q751" s="17" t="str">
        <x:v>D-road proxy; B-coordinates</x:v>
      </x:c>
    </x:row>
    <x:row r="752">
      <x:c r="A752" s="17" t="str">
        <x:v>A0748</x:v>
      </x:c>
      <x:c r="B752" s="17" t="str">
        <x:v>C13</x:v>
      </x:c>
      <x:c r="C752" s="17" t="str">
        <x:v>collection</x:v>
      </x:c>
      <x:c r="D752" s="17" t="str">
        <x:v>江门虚拟回收/检测中心</x:v>
      </x:c>
      <x:c r="E752" s="24" t="n">
        <x:v>113.0761073</x:v>
      </x:c>
      <x:c r="F752" s="24" t="n">
        <x:v>22.5816619</x:v>
      </x:c>
      <x:c r="G752" s="17" t="str">
        <x:v>P18</x:v>
      </x:c>
      <x:c r="H752" s="17" t="str">
        <x:v>echelon</x:v>
      </x:c>
      <x:c r="I752" s="17" t="str">
        <x:v>中商锂新能源科技（惠州）有限公司</x:v>
      </x:c>
      <x:c r="J752" s="24" t="n">
        <x:v>114.4127007</x:v>
      </x:c>
      <x:c r="K752" s="24" t="n">
        <x:v>23.1125153</x:v>
      </x:c>
      <x:c r="L752" s="21" t="n">
        <x:f>6371*ACOS(MIN(1,COS(F752*PI()/180)*COS(K752*PI()/180)*COS((J752-E752)*PI()/180)+SIN(F752*PI()/180)*SIN(K752*PI()/180)))</x:f>
        <x:v>149.1396078501504</x:v>
      </x:c>
      <x:c r="M752" s="21" t="n">
        <x:f>L752*'情景参数模板'!$D$31</x:f>
        <x:v>178.96752942018048</x:v>
      </x:c>
      <x:c r="N752" s="21" t="n">
        <x:f>IF(C752="source",'情景参数模板'!$D$12,IF(H752="echelon",'情景参数模板'!$D$13,'情景参数模板'!$D$14))</x:f>
        <x:v>0.49</x:v>
      </x:c>
      <x:c r="O752" s="21" t="n">
        <x:f>IF(C752="source",'情景参数模板'!$D$18,IF(H752="echelon",'情景参数模板'!$D$19,'情景参数模板'!$D$20))</x:f>
        <x:v>300</x:v>
      </x:c>
      <x:c r="P752" s="17" t="n">
        <x:f>IF(M752&lt;=O752,1,0)</x:f>
        <x:v>1</x:v>
      </x:c>
      <x:c r="Q752" s="17" t="str">
        <x:v>D-road proxy; B-coordinates</x:v>
      </x:c>
    </x:row>
    <x:row r="753">
      <x:c r="A753" s="17" t="str">
        <x:v>A0749</x:v>
      </x:c>
      <x:c r="B753" s="17" t="str">
        <x:v>C13</x:v>
      </x:c>
      <x:c r="C753" s="17" t="str">
        <x:v>collection</x:v>
      </x:c>
      <x:c r="D753" s="17" t="str">
        <x:v>江门虚拟回收/检测中心</x:v>
      </x:c>
      <x:c r="E753" s="24" t="n">
        <x:v>113.0761073</x:v>
      </x:c>
      <x:c r="F753" s="24" t="n">
        <x:v>22.5816619</x:v>
      </x:c>
      <x:c r="G753" s="17" t="str">
        <x:v>P19</x:v>
      </x:c>
      <x:c r="H753" s="17" t="str">
        <x:v>recycling</x:v>
      </x:c>
      <x:c r="I753" s="17" t="str">
        <x:v>广东盛祥新材料科技有限公司</x:v>
      </x:c>
      <x:c r="J753" s="24" t="n">
        <x:v>113.8155263</x:v>
      </x:c>
      <x:c r="K753" s="24" t="n">
        <x:v>24.8309489</x:v>
      </x:c>
      <x:c r="L753" s="21" t="n">
        <x:f>6371*ACOS(MIN(1,COS(F753*PI()/180)*COS(K753*PI()/180)*COS((J753-E753)*PI()/180)+SIN(F753*PI()/180)*SIN(K753*PI()/180)))</x:f>
        <x:v>261.1912194278549</x:v>
      </x:c>
      <x:c r="M753" s="21" t="n">
        <x:f>L753*'情景参数模板'!$D$31</x:f>
        <x:v>313.42946331342586</x:v>
      </x:c>
      <x:c r="N753" s="21" t="n">
        <x:f>IF(C753="source",'情景参数模板'!$D$12,IF(H753="echelon",'情景参数模板'!$D$13,'情景参数模板'!$D$14))</x:f>
        <x:v>0.49</x:v>
      </x:c>
      <x:c r="O753" s="21" t="n">
        <x:f>IF(C753="source",'情景参数模板'!$D$18,IF(H753="echelon",'情景参数模板'!$D$19,'情景参数模板'!$D$20))</x:f>
        <x:v>400</x:v>
      </x:c>
      <x:c r="P753" s="17" t="n">
        <x:f>IF(M753&lt;=O753,1,0)</x:f>
        <x:v>1</x:v>
      </x:c>
      <x:c r="Q753" s="17" t="str">
        <x:v>D-road proxy; B-coordinates</x:v>
      </x:c>
    </x:row>
    <x:row r="754">
      <x:c r="A754" s="17" t="str">
        <x:v>A0750</x:v>
      </x:c>
      <x:c r="B754" s="17" t="str">
        <x:v>C13</x:v>
      </x:c>
      <x:c r="C754" s="17" t="str">
        <x:v>collection</x:v>
      </x:c>
      <x:c r="D754" s="17" t="str">
        <x:v>江门虚拟回收/检测中心</x:v>
      </x:c>
      <x:c r="E754" s="24" t="n">
        <x:v>113.0761073</x:v>
      </x:c>
      <x:c r="F754" s="24" t="n">
        <x:v>22.5816619</x:v>
      </x:c>
      <x:c r="G754" s="17" t="str">
        <x:v>P20E</x:v>
      </x:c>
      <x:c r="H754" s="17" t="str">
        <x:v>echelon</x:v>
      </x:c>
      <x:c r="I754" s="17" t="str">
        <x:v>广东金晟新能源股份有限公司（梯次功能）</x:v>
      </x:c>
      <x:c r="J754" s="24" t="n">
        <x:v>112.4603629</x:v>
      </x:c>
      <x:c r="K754" s="24" t="n">
        <x:v>23.0501661</x:v>
      </x:c>
      <x:c r="L754" s="21" t="n">
        <x:f>6371*ACOS(MIN(1,COS(F754*PI()/180)*COS(K754*PI()/180)*COS((J754-E754)*PI()/180)+SIN(F754*PI()/180)*SIN(K754*PI()/180)))</x:f>
        <x:v>81.8340180596413</x:v>
      </x:c>
      <x:c r="M754" s="21" t="n">
        <x:f>L754*'情景参数模板'!$D$31</x:f>
        <x:v>98.20082167156956</x:v>
      </x:c>
      <x:c r="N754" s="21" t="n">
        <x:f>IF(C754="source",'情景参数模板'!$D$12,IF(H754="echelon",'情景参数模板'!$D$13,'情景参数模板'!$D$14))</x:f>
        <x:v>0.49</x:v>
      </x:c>
      <x:c r="O754" s="21" t="n">
        <x:f>IF(C754="source",'情景参数模板'!$D$18,IF(H754="echelon",'情景参数模板'!$D$19,'情景参数模板'!$D$20))</x:f>
        <x:v>300</x:v>
      </x:c>
      <x:c r="P754" s="17" t="n">
        <x:f>IF(M754&lt;=O754,1,0)</x:f>
        <x:v>1</x:v>
      </x:c>
      <x:c r="Q754" s="17" t="str">
        <x:v>D-road proxy; B-coordinates</x:v>
      </x:c>
    </x:row>
    <x:row r="755">
      <x:c r="A755" s="17" t="str">
        <x:v>A0751</x:v>
      </x:c>
      <x:c r="B755" s="17" t="str">
        <x:v>C13</x:v>
      </x:c>
      <x:c r="C755" s="17" t="str">
        <x:v>collection</x:v>
      </x:c>
      <x:c r="D755" s="17" t="str">
        <x:v>江门虚拟回收/检测中心</x:v>
      </x:c>
      <x:c r="E755" s="24" t="n">
        <x:v>113.0761073</x:v>
      </x:c>
      <x:c r="F755" s="24" t="n">
        <x:v>22.5816619</x:v>
      </x:c>
      <x:c r="G755" s="17" t="str">
        <x:v>P20R</x:v>
      </x:c>
      <x:c r="H755" s="17" t="str">
        <x:v>recycling</x:v>
      </x:c>
      <x:c r="I755" s="17" t="str">
        <x:v>广东金晟新能源股份有限公司（再生功能）</x:v>
      </x:c>
      <x:c r="J755" s="24" t="n">
        <x:v>112.4603629</x:v>
      </x:c>
      <x:c r="K755" s="24" t="n">
        <x:v>23.0501661</x:v>
      </x:c>
      <x:c r="L755" s="21" t="n">
        <x:f>6371*ACOS(MIN(1,COS(F755*PI()/180)*COS(K755*PI()/180)*COS((J755-E755)*PI()/180)+SIN(F755*PI()/180)*SIN(K755*PI()/180)))</x:f>
        <x:v>81.8340180596413</x:v>
      </x:c>
      <x:c r="M755" s="21" t="n">
        <x:f>L755*'情景参数模板'!$D$31</x:f>
        <x:v>98.20082167156956</x:v>
      </x:c>
      <x:c r="N755" s="21" t="n">
        <x:f>IF(C755="source",'情景参数模板'!$D$12,IF(H755="echelon",'情景参数模板'!$D$13,'情景参数模板'!$D$14))</x:f>
        <x:v>0.49</x:v>
      </x:c>
      <x:c r="O755" s="21" t="n">
        <x:f>IF(C755="source",'情景参数模板'!$D$18,IF(H755="echelon",'情景参数模板'!$D$19,'情景参数模板'!$D$20))</x:f>
        <x:v>400</x:v>
      </x:c>
      <x:c r="P755" s="17" t="n">
        <x:f>IF(M755&lt;=O755,1,0)</x:f>
        <x:v>1</x:v>
      </x:c>
      <x:c r="Q755" s="17" t="str">
        <x:v>D-road proxy; B-coordinates</x:v>
      </x:c>
    </x:row>
    <x:row r="756">
      <x:c r="A756" s="17" t="str">
        <x:v>A0752</x:v>
      </x:c>
      <x:c r="B756" s="17" t="str">
        <x:v>C13</x:v>
      </x:c>
      <x:c r="C756" s="17" t="str">
        <x:v>collection</x:v>
      </x:c>
      <x:c r="D756" s="17" t="str">
        <x:v>江门虚拟回收/检测中心</x:v>
      </x:c>
      <x:c r="E756" s="24" t="n">
        <x:v>113.0761073</x:v>
      </x:c>
      <x:c r="F756" s="24" t="n">
        <x:v>22.5816619</x:v>
      </x:c>
      <x:c r="G756" s="17" t="str">
        <x:v>P21E</x:v>
      </x:c>
      <x:c r="H756" s="17" t="str">
        <x:v>echelon</x:v>
      </x:c>
      <x:c r="I756" s="17" t="str">
        <x:v>广东瑞科美电源技术有限公司（梯次功能）</x:v>
      </x:c>
      <x:c r="J756" s="24" t="n">
        <x:v>113.1159558</x:v>
      </x:c>
      <x:c r="K756" s="24" t="n">
        <x:v>23.0239788</x:v>
      </x:c>
      <x:c r="L756" s="21" t="n">
        <x:f>6371*ACOS(MIN(1,COS(F756*PI()/180)*COS(K756*PI()/180)*COS((J756-E756)*PI()/180)+SIN(F756*PI()/180)*SIN(K756*PI()/180)))</x:f>
        <x:v>49.35271597324547</x:v>
      </x:c>
      <x:c r="M756" s="21" t="n">
        <x:f>L756*'情景参数模板'!$D$31</x:f>
        <x:v>59.22325916789457</x:v>
      </x:c>
      <x:c r="N756" s="21" t="n">
        <x:f>IF(C756="source",'情景参数模板'!$D$12,IF(H756="echelon",'情景参数模板'!$D$13,'情景参数模板'!$D$14))</x:f>
        <x:v>0.49</x:v>
      </x:c>
      <x:c r="O756" s="21" t="n">
        <x:f>IF(C756="source",'情景参数模板'!$D$18,IF(H756="echelon",'情景参数模板'!$D$19,'情景参数模板'!$D$20))</x:f>
        <x:v>300</x:v>
      </x:c>
      <x:c r="P756" s="17" t="n">
        <x:f>IF(M756&lt;=O756,1,0)</x:f>
        <x:v>1</x:v>
      </x:c>
      <x:c r="Q756" s="17" t="str">
        <x:v>D-road proxy; B-coordinates</x:v>
      </x:c>
    </x:row>
    <x:row r="757">
      <x:c r="A757" s="17" t="str">
        <x:v>A0753</x:v>
      </x:c>
      <x:c r="B757" s="17" t="str">
        <x:v>C13</x:v>
      </x:c>
      <x:c r="C757" s="17" t="str">
        <x:v>collection</x:v>
      </x:c>
      <x:c r="D757" s="17" t="str">
        <x:v>江门虚拟回收/检测中心</x:v>
      </x:c>
      <x:c r="E757" s="24" t="n">
        <x:v>113.0761073</x:v>
      </x:c>
      <x:c r="F757" s="24" t="n">
        <x:v>22.5816619</x:v>
      </x:c>
      <x:c r="G757" s="17" t="str">
        <x:v>P21R</x:v>
      </x:c>
      <x:c r="H757" s="17" t="str">
        <x:v>recycling</x:v>
      </x:c>
      <x:c r="I757" s="17" t="str">
        <x:v>广东瑞科美电源技术有限公司（再生功能）</x:v>
      </x:c>
      <x:c r="J757" s="24" t="n">
        <x:v>113.1159558</x:v>
      </x:c>
      <x:c r="K757" s="24" t="n">
        <x:v>23.0239788</x:v>
      </x:c>
      <x:c r="L757" s="21" t="n">
        <x:f>6371*ACOS(MIN(1,COS(F757*PI()/180)*COS(K757*PI()/180)*COS((J757-E757)*PI()/180)+SIN(F757*PI()/180)*SIN(K757*PI()/180)))</x:f>
        <x:v>49.35271597324547</x:v>
      </x:c>
      <x:c r="M757" s="21" t="n">
        <x:f>L757*'情景参数模板'!$D$31</x:f>
        <x:v>59.22325916789457</x:v>
      </x:c>
      <x:c r="N757" s="21" t="n">
        <x:f>IF(C757="source",'情景参数模板'!$D$12,IF(H757="echelon",'情景参数模板'!$D$13,'情景参数模板'!$D$14))</x:f>
        <x:v>0.49</x:v>
      </x:c>
      <x:c r="O757" s="21" t="n">
        <x:f>IF(C757="source",'情景参数模板'!$D$18,IF(H757="echelon",'情景参数模板'!$D$19,'情景参数模板'!$D$20))</x:f>
        <x:v>400</x:v>
      </x:c>
      <x:c r="P757" s="17" t="n">
        <x:f>IF(M757&lt;=O757,1,0)</x:f>
        <x:v>1</x:v>
      </x:c>
      <x:c r="Q757" s="17" t="str">
        <x:v>D-road proxy; B-coordinates</x:v>
      </x:c>
    </x:row>
    <x:row r="758">
      <x:c r="A758" s="17" t="str">
        <x:v>A0754</x:v>
      </x:c>
      <x:c r="B758" s="17" t="str">
        <x:v>C14</x:v>
      </x:c>
      <x:c r="C758" s="17" t="str">
        <x:v>collection</x:v>
      </x:c>
      <x:c r="D758" s="17" t="str">
        <x:v>阳江虚拟回收/检测中心</x:v>
      </x:c>
      <x:c r="E758" s="24" t="n">
        <x:v>111.7831393</x:v>
      </x:c>
      <x:c r="F758" s="24" t="n">
        <x:v>22.0958223</x:v>
      </x:c>
      <x:c r="G758" s="17" t="str">
        <x:v>P01</x:v>
      </x:c>
      <x:c r="H758" s="17" t="str">
        <x:v>recycling</x:v>
      </x:c>
      <x:c r="I758" s="17" t="str">
        <x:v>汕尾比亚迪废旧动力电池回收项目</x:v>
      </x:c>
      <x:c r="J758" s="24" t="n">
        <x:v>115.3492668</x:v>
      </x:c>
      <x:c r="K758" s="24" t="n">
        <x:v>22.838065</x:v>
      </x:c>
      <x:c r="L758" s="21" t="n">
        <x:f>6371*ACOS(MIN(1,COS(F758*PI()/180)*COS(K758*PI()/180)*COS((J758-E758)*PI()/180)+SIN(F758*PI()/180)*SIN(K758*PI()/180)))</x:f>
        <x:v>375.6057366169647</x:v>
      </x:c>
      <x:c r="M758" s="21" t="n">
        <x:f>L758*'情景参数模板'!$D$31</x:f>
        <x:v>450.7268839403576</x:v>
      </x:c>
      <x:c r="N758" s="21" t="n">
        <x:f>IF(C758="source",'情景参数模板'!$D$12,IF(H758="echelon",'情景参数模板'!$D$13,'情景参数模板'!$D$14))</x:f>
        <x:v>0.49</x:v>
      </x:c>
      <x:c r="O758" s="21" t="n">
        <x:f>IF(C758="source",'情景参数模板'!$D$18,IF(H758="echelon",'情景参数模板'!$D$19,'情景参数模板'!$D$20))</x:f>
        <x:v>400</x:v>
      </x:c>
      <x:c r="P758" s="17" t="n">
        <x:f>IF(M758&lt;=O758,1,0)</x:f>
        <x:v>0</x:v>
      </x:c>
      <x:c r="Q758" s="17" t="str">
        <x:v>D-road proxy; B-coordinates</x:v>
      </x:c>
    </x:row>
    <x:row r="759">
      <x:c r="A759" s="17" t="str">
        <x:v>A0755</x:v>
      </x:c>
      <x:c r="B759" s="17" t="str">
        <x:v>C14</x:v>
      </x:c>
      <x:c r="C759" s="17" t="str">
        <x:v>collection</x:v>
      </x:c>
      <x:c r="D759" s="17" t="str">
        <x:v>阳江虚拟回收/检测中心</x:v>
      </x:c>
      <x:c r="E759" s="24" t="n">
        <x:v>111.7831393</x:v>
      </x:c>
      <x:c r="F759" s="24" t="n">
        <x:v>22.0958223</x:v>
      </x:c>
      <x:c r="G759" s="17" t="str">
        <x:v>P02E</x:v>
      </x:c>
      <x:c r="H759" s="17" t="str">
        <x:v>echelon</x:v>
      </x:c>
      <x:c r="I759" s="17" t="str">
        <x:v>广东光华科技股份有限公司（梯次功能）</x:v>
      </x:c>
      <x:c r="J759" s="24" t="n">
        <x:v>116.6775856</x:v>
      </x:c>
      <x:c r="K759" s="24" t="n">
        <x:v>23.3563921</x:v>
      </x:c>
      <x:c r="L759" s="21" t="n">
        <x:f>6371*ACOS(MIN(1,COS(F759*PI()/180)*COS(K759*PI()/180)*COS((J759-E759)*PI()/180)+SIN(F759*PI()/180)*SIN(K759*PI()/180)))</x:f>
        <x:v>521.1497268263299</x:v>
      </x:c>
      <x:c r="M759" s="21" t="n">
        <x:f>L759*'情景参数模板'!$D$31</x:f>
        <x:v>625.3796721915959</x:v>
      </x:c>
      <x:c r="N759" s="21" t="n">
        <x:f>IF(C759="source",'情景参数模板'!$D$12,IF(H759="echelon",'情景参数模板'!$D$13,'情景参数模板'!$D$14))</x:f>
        <x:v>0.49</x:v>
      </x:c>
      <x:c r="O759" s="21" t="n">
        <x:f>IF(C759="source",'情景参数模板'!$D$18,IF(H759="echelon",'情景参数模板'!$D$19,'情景参数模板'!$D$20))</x:f>
        <x:v>300</x:v>
      </x:c>
      <x:c r="P759" s="17" t="n">
        <x:f>IF(M759&lt;=O759,1,0)</x:f>
        <x:v>0</x:v>
      </x:c>
      <x:c r="Q759" s="17" t="str">
        <x:v>D-road proxy; B-coordinates</x:v>
      </x:c>
    </x:row>
    <x:row r="760">
      <x:c r="A760" s="17" t="str">
        <x:v>A0756</x:v>
      </x:c>
      <x:c r="B760" s="17" t="str">
        <x:v>C14</x:v>
      </x:c>
      <x:c r="C760" s="17" t="str">
        <x:v>collection</x:v>
      </x:c>
      <x:c r="D760" s="17" t="str">
        <x:v>阳江虚拟回收/检测中心</x:v>
      </x:c>
      <x:c r="E760" s="24" t="n">
        <x:v>111.7831393</x:v>
      </x:c>
      <x:c r="F760" s="24" t="n">
        <x:v>22.0958223</x:v>
      </x:c>
      <x:c r="G760" s="17" t="str">
        <x:v>P02R</x:v>
      </x:c>
      <x:c r="H760" s="17" t="str">
        <x:v>recycling</x:v>
      </x:c>
      <x:c r="I760" s="17" t="str">
        <x:v>广东光华科技股份有限公司（再生功能）</x:v>
      </x:c>
      <x:c r="J760" s="24" t="n">
        <x:v>116.6775856</x:v>
      </x:c>
      <x:c r="K760" s="24" t="n">
        <x:v>23.3563921</x:v>
      </x:c>
      <x:c r="L760" s="21" t="n">
        <x:f>6371*ACOS(MIN(1,COS(F760*PI()/180)*COS(K760*PI()/180)*COS((J760-E760)*PI()/180)+SIN(F760*PI()/180)*SIN(K760*PI()/180)))</x:f>
        <x:v>521.1497268263299</x:v>
      </x:c>
      <x:c r="M760" s="21" t="n">
        <x:f>L760*'情景参数模板'!$D$31</x:f>
        <x:v>625.3796721915959</x:v>
      </x:c>
      <x:c r="N760" s="21" t="n">
        <x:f>IF(C760="source",'情景参数模板'!$D$12,IF(H760="echelon",'情景参数模板'!$D$13,'情景参数模板'!$D$14))</x:f>
        <x:v>0.49</x:v>
      </x:c>
      <x:c r="O760" s="21" t="n">
        <x:f>IF(C760="source",'情景参数模板'!$D$18,IF(H760="echelon",'情景参数模板'!$D$19,'情景参数模板'!$D$20))</x:f>
        <x:v>400</x:v>
      </x:c>
      <x:c r="P760" s="17" t="n">
        <x:f>IF(M760&lt;=O760,1,0)</x:f>
        <x:v>0</x:v>
      </x:c>
      <x:c r="Q760" s="17" t="str">
        <x:v>D-road proxy; B-coordinates</x:v>
      </x:c>
    </x:row>
    <x:row r="761">
      <x:c r="A761" s="17" t="str">
        <x:v>A0757</x:v>
      </x:c>
      <x:c r="B761" s="17" t="str">
        <x:v>C14</x:v>
      </x:c>
      <x:c r="C761" s="17" t="str">
        <x:v>collection</x:v>
      </x:c>
      <x:c r="D761" s="17" t="str">
        <x:v>阳江虚拟回收/检测中心</x:v>
      </x:c>
      <x:c r="E761" s="24" t="n">
        <x:v>111.7831393</x:v>
      </x:c>
      <x:c r="F761" s="24" t="n">
        <x:v>22.0958223</x:v>
      </x:c>
      <x:c r="G761" s="17" t="str">
        <x:v>P03</x:v>
      </x:c>
      <x:c r="H761" s="17" t="str">
        <x:v>echelon</x:v>
      </x:c>
      <x:c r="I761" s="17" t="str">
        <x:v>深圳深汕特别合作区乾泰技术有限公司</x:v>
      </x:c>
      <x:c r="J761" s="24" t="n">
        <x:v>115.5099937</x:v>
      </x:c>
      <x:c r="K761" s="24" t="n">
        <x:v>23.0123639</x:v>
      </x:c>
      <x:c r="L761" s="21" t="n">
        <x:f>6371*ACOS(MIN(1,COS(F761*PI()/180)*COS(K761*PI()/180)*COS((J761-E761)*PI()/180)+SIN(F761*PI()/180)*SIN(K761*PI()/180)))</x:f>
        <x:v>396.03429540890875</x:v>
      </x:c>
      <x:c r="M761" s="21" t="n">
        <x:f>L761*'情景参数模板'!$D$31</x:f>
        <x:v>475.24115449069046</x:v>
      </x:c>
      <x:c r="N761" s="21" t="n">
        <x:f>IF(C761="source",'情景参数模板'!$D$12,IF(H761="echelon",'情景参数模板'!$D$13,'情景参数模板'!$D$14))</x:f>
        <x:v>0.49</x:v>
      </x:c>
      <x:c r="O761" s="21" t="n">
        <x:f>IF(C761="source",'情景参数模板'!$D$18,IF(H761="echelon",'情景参数模板'!$D$19,'情景参数模板'!$D$20))</x:f>
        <x:v>300</x:v>
      </x:c>
      <x:c r="P761" s="17" t="n">
        <x:f>IF(M761&lt;=O761,1,0)</x:f>
        <x:v>0</x:v>
      </x:c>
      <x:c r="Q761" s="17" t="str">
        <x:v>D-road proxy; B-coordinates</x:v>
      </x:c>
    </x:row>
    <x:row r="762">
      <x:c r="A762" s="17" t="str">
        <x:v>A0758</x:v>
      </x:c>
      <x:c r="B762" s="17" t="str">
        <x:v>C14</x:v>
      </x:c>
      <x:c r="C762" s="17" t="str">
        <x:v>collection</x:v>
      </x:c>
      <x:c r="D762" s="17" t="str">
        <x:v>阳江虚拟回收/检测中心</x:v>
      </x:c>
      <x:c r="E762" s="24" t="n">
        <x:v>111.7831393</x:v>
      </x:c>
      <x:c r="F762" s="24" t="n">
        <x:v>22.0958223</x:v>
      </x:c>
      <x:c r="G762" s="17" t="str">
        <x:v>P04</x:v>
      </x:c>
      <x:c r="H762" s="17" t="str">
        <x:v>echelon</x:v>
      </x:c>
      <x:c r="I762" s="17" t="str">
        <x:v>珠海中力新能源科技有限公司</x:v>
      </x:c>
      <x:c r="J762" s="24" t="n">
        <x:v>113.5721327</x:v>
      </x:c>
      <x:c r="K762" s="24" t="n">
        <x:v>22.273734</x:v>
      </x:c>
      <x:c r="L762" s="21" t="n">
        <x:f>6371*ACOS(MIN(1,COS(F762*PI()/180)*COS(K762*PI()/180)*COS((J762-E762)*PI()/180)+SIN(F762*PI()/180)*SIN(K762*PI()/180)))</x:f>
        <x:v>185.25871984739948</x:v>
      </x:c>
      <x:c r="M762" s="21" t="n">
        <x:f>L762*'情景参数模板'!$D$31</x:f>
        <x:v>222.31046381687938</x:v>
      </x:c>
      <x:c r="N762" s="21" t="n">
        <x:f>IF(C762="source",'情景参数模板'!$D$12,IF(H762="echelon",'情景参数模板'!$D$13,'情景参数模板'!$D$14))</x:f>
        <x:v>0.49</x:v>
      </x:c>
      <x:c r="O762" s="21" t="n">
        <x:f>IF(C762="source",'情景参数模板'!$D$18,IF(H762="echelon",'情景参数模板'!$D$19,'情景参数模板'!$D$20))</x:f>
        <x:v>300</x:v>
      </x:c>
      <x:c r="P762" s="17" t="n">
        <x:f>IF(M762&lt;=O762,1,0)</x:f>
        <x:v>1</x:v>
      </x:c>
      <x:c r="Q762" s="17" t="str">
        <x:v>D-road proxy; B-coordinates</x:v>
      </x:c>
    </x:row>
    <x:row r="763">
      <x:c r="A763" s="17" t="str">
        <x:v>A0759</x:v>
      </x:c>
      <x:c r="B763" s="17" t="str">
        <x:v>C14</x:v>
      </x:c>
      <x:c r="C763" s="17" t="str">
        <x:v>collection</x:v>
      </x:c>
      <x:c r="D763" s="17" t="str">
        <x:v>阳江虚拟回收/检测中心</x:v>
      </x:c>
      <x:c r="E763" s="24" t="n">
        <x:v>111.7831393</x:v>
      </x:c>
      <x:c r="F763" s="24" t="n">
        <x:v>22.0958223</x:v>
      </x:c>
      <x:c r="G763" s="17" t="str">
        <x:v>P05</x:v>
      </x:c>
      <x:c r="H763" s="17" t="str">
        <x:v>echelon</x:v>
      </x:c>
      <x:c r="I763" s="17" t="str">
        <x:v>惠州市恒创睿能环保科技有限公司</x:v>
      </x:c>
      <x:c r="J763" s="24" t="n">
        <x:v>114.4127007</x:v>
      </x:c>
      <x:c r="K763" s="24" t="n">
        <x:v>23.1125153</x:v>
      </x:c>
      <x:c r="L763" s="21" t="n">
        <x:f>6371*ACOS(MIN(1,COS(F763*PI()/180)*COS(K763*PI()/180)*COS((J763-E763)*PI()/180)+SIN(F763*PI()/180)*SIN(K763*PI()/180)))</x:f>
        <x:v>292.642269876442</x:v>
      </x:c>
      <x:c r="M763" s="21" t="n">
        <x:f>L763*'情景参数模板'!$D$31</x:f>
        <x:v>351.17072385173043</x:v>
      </x:c>
      <x:c r="N763" s="21" t="n">
        <x:f>IF(C763="source",'情景参数模板'!$D$12,IF(H763="echelon",'情景参数模板'!$D$13,'情景参数模板'!$D$14))</x:f>
        <x:v>0.49</x:v>
      </x:c>
      <x:c r="O763" s="21" t="n">
        <x:f>IF(C763="source",'情景参数模板'!$D$18,IF(H763="echelon",'情景参数模板'!$D$19,'情景参数模板'!$D$20))</x:f>
        <x:v>300</x:v>
      </x:c>
      <x:c r="P763" s="17" t="n">
        <x:f>IF(M763&lt;=O763,1,0)</x:f>
        <x:v>0</x:v>
      </x:c>
      <x:c r="Q763" s="17" t="str">
        <x:v>D-road proxy; B-coordinates</x:v>
      </x:c>
    </x:row>
    <x:row r="764">
      <x:c r="A764" s="17" t="str">
        <x:v>A0760</x:v>
      </x:c>
      <x:c r="B764" s="17" t="str">
        <x:v>C14</x:v>
      </x:c>
      <x:c r="C764" s="17" t="str">
        <x:v>collection</x:v>
      </x:c>
      <x:c r="D764" s="17" t="str">
        <x:v>阳江虚拟回收/检测中心</x:v>
      </x:c>
      <x:c r="E764" s="24" t="n">
        <x:v>111.7831393</x:v>
      </x:c>
      <x:c r="F764" s="24" t="n">
        <x:v>22.0958223</x:v>
      </x:c>
      <x:c r="G764" s="17" t="str">
        <x:v>P06</x:v>
      </x:c>
      <x:c r="H764" s="17" t="str">
        <x:v>echelon</x:v>
      </x:c>
      <x:c r="I764" s="17" t="str">
        <x:v>江门市朗达锂电池有限公司</x:v>
      </x:c>
      <x:c r="J764" s="24" t="n">
        <x:v>113.0761073</x:v>
      </x:c>
      <x:c r="K764" s="24" t="n">
        <x:v>22.5816619</x:v>
      </x:c>
      <x:c r="L764" s="21" t="n">
        <x:f>6371*ACOS(MIN(1,COS(F764*PI()/180)*COS(K764*PI()/180)*COS((J764-E764)*PI()/180)+SIN(F764*PI()/180)*SIN(K764*PI()/180)))</x:f>
        <x:v>143.53528753193643</x:v>
      </x:c>
      <x:c r="M764" s="21" t="n">
        <x:f>L764*'情景参数模板'!$D$31</x:f>
        <x:v>172.24234503832372</x:v>
      </x:c>
      <x:c r="N764" s="21" t="n">
        <x:f>IF(C764="source",'情景参数模板'!$D$12,IF(H764="echelon",'情景参数模板'!$D$13,'情景参数模板'!$D$14))</x:f>
        <x:v>0.49</x:v>
      </x:c>
      <x:c r="O764" s="21" t="n">
        <x:f>IF(C764="source",'情景参数模板'!$D$18,IF(H764="echelon",'情景参数模板'!$D$19,'情景参数模板'!$D$20))</x:f>
        <x:v>300</x:v>
      </x:c>
      <x:c r="P764" s="17" t="n">
        <x:f>IF(M764&lt;=O764,1,0)</x:f>
        <x:v>1</x:v>
      </x:c>
      <x:c r="Q764" s="17" t="str">
        <x:v>D-road proxy; B-coordinates</x:v>
      </x:c>
    </x:row>
    <x:row r="765">
      <x:c r="A765" s="17" t="str">
        <x:v>A0761</x:v>
      </x:c>
      <x:c r="B765" s="17" t="str">
        <x:v>C14</x:v>
      </x:c>
      <x:c r="C765" s="17" t="str">
        <x:v>collection</x:v>
      </x:c>
      <x:c r="D765" s="17" t="str">
        <x:v>阳江虚拟回收/检测中心</x:v>
      </x:c>
      <x:c r="E765" s="24" t="n">
        <x:v>111.7831393</x:v>
      </x:c>
      <x:c r="F765" s="24" t="n">
        <x:v>22.0958223</x:v>
      </x:c>
      <x:c r="G765" s="17" t="str">
        <x:v>P07</x:v>
      </x:c>
      <x:c r="H765" s="17" t="str">
        <x:v>echelon</x:v>
      </x:c>
      <x:c r="I765" s="17" t="str">
        <x:v>广东迪度新能源有限公司</x:v>
      </x:c>
      <x:c r="J765" s="24" t="n">
        <x:v>113.7452332</x:v>
      </x:c>
      <x:c r="K765" s="24" t="n">
        <x:v>23.0183568</x:v>
      </x:c>
      <x:c r="L765" s="21" t="n">
        <x:f>6371*ACOS(MIN(1,COS(F765*PI()/180)*COS(K765*PI()/180)*COS((J765-E765)*PI()/180)+SIN(F765*PI()/180)*SIN(K765*PI()/180)))</x:f>
        <x:v>226.09022435971104</x:v>
      </x:c>
      <x:c r="M765" s="21" t="n">
        <x:f>L765*'情景参数模板'!$D$31</x:f>
        <x:v>271.30826923165324</x:v>
      </x:c>
      <x:c r="N765" s="21" t="n">
        <x:f>IF(C765="source",'情景参数模板'!$D$12,IF(H765="echelon",'情景参数模板'!$D$13,'情景参数模板'!$D$14))</x:f>
        <x:v>0.49</x:v>
      </x:c>
      <x:c r="O765" s="21" t="n">
        <x:f>IF(C765="source",'情景参数模板'!$D$18,IF(H765="echelon",'情景参数模板'!$D$19,'情景参数模板'!$D$20))</x:f>
        <x:v>300</x:v>
      </x:c>
      <x:c r="P765" s="17" t="n">
        <x:f>IF(M765&lt;=O765,1,0)</x:f>
        <x:v>1</x:v>
      </x:c>
      <x:c r="Q765" s="17" t="str">
        <x:v>D-road proxy; B-coordinates</x:v>
      </x:c>
    </x:row>
    <x:row r="766">
      <x:c r="A766" s="17" t="str">
        <x:v>A0762</x:v>
      </x:c>
      <x:c r="B766" s="17" t="str">
        <x:v>C14</x:v>
      </x:c>
      <x:c r="C766" s="17" t="str">
        <x:v>collection</x:v>
      </x:c>
      <x:c r="D766" s="17" t="str">
        <x:v>阳江虚拟回收/检测中心</x:v>
      </x:c>
      <x:c r="E766" s="24" t="n">
        <x:v>111.7831393</x:v>
      </x:c>
      <x:c r="F766" s="24" t="n">
        <x:v>22.0958223</x:v>
      </x:c>
      <x:c r="G766" s="17" t="str">
        <x:v>P08</x:v>
      </x:c>
      <x:c r="H766" s="17" t="str">
        <x:v>echelon</x:v>
      </x:c>
      <x:c r="I766" s="17" t="str">
        <x:v>东莞市博森新能源有限公司</x:v>
      </x:c>
      <x:c r="J766" s="24" t="n">
        <x:v>113.7452332</x:v>
      </x:c>
      <x:c r="K766" s="24" t="n">
        <x:v>23.0183568</x:v>
      </x:c>
      <x:c r="L766" s="21" t="n">
        <x:f>6371*ACOS(MIN(1,COS(F766*PI()/180)*COS(K766*PI()/180)*COS((J766-E766)*PI()/180)+SIN(F766*PI()/180)*SIN(K766*PI()/180)))</x:f>
        <x:v>226.09022435971104</x:v>
      </x:c>
      <x:c r="M766" s="21" t="n">
        <x:f>L766*'情景参数模板'!$D$31</x:f>
        <x:v>271.30826923165324</x:v>
      </x:c>
      <x:c r="N766" s="21" t="n">
        <x:f>IF(C766="source",'情景参数模板'!$D$12,IF(H766="echelon",'情景参数模板'!$D$13,'情景参数模板'!$D$14))</x:f>
        <x:v>0.49</x:v>
      </x:c>
      <x:c r="O766" s="21" t="n">
        <x:f>IF(C766="source",'情景参数模板'!$D$18,IF(H766="echelon",'情景参数模板'!$D$19,'情景参数模板'!$D$20))</x:f>
        <x:v>300</x:v>
      </x:c>
      <x:c r="P766" s="17" t="n">
        <x:f>IF(M766&lt;=O766,1,0)</x:f>
        <x:v>1</x:v>
      </x:c>
      <x:c r="Q766" s="17" t="str">
        <x:v>D-road proxy; B-coordinates</x:v>
      </x:c>
    </x:row>
    <x:row r="767">
      <x:c r="A767" s="17" t="str">
        <x:v>A0763</x:v>
      </x:c>
      <x:c r="B767" s="17" t="str">
        <x:v>C14</x:v>
      </x:c>
      <x:c r="C767" s="17" t="str">
        <x:v>collection</x:v>
      </x:c>
      <x:c r="D767" s="17" t="str">
        <x:v>阳江虚拟回收/检测中心</x:v>
      </x:c>
      <x:c r="E767" s="24" t="n">
        <x:v>111.7831393</x:v>
      </x:c>
      <x:c r="F767" s="24" t="n">
        <x:v>22.0958223</x:v>
      </x:c>
      <x:c r="G767" s="17" t="str">
        <x:v>P09</x:v>
      </x:c>
      <x:c r="H767" s="17" t="str">
        <x:v>echelon</x:v>
      </x:c>
      <x:c r="I767" s="17" t="str">
        <x:v>广东宇阳新能源有限公司</x:v>
      </x:c>
      <x:c r="J767" s="24" t="n">
        <x:v>113.7452332</x:v>
      </x:c>
      <x:c r="K767" s="24" t="n">
        <x:v>23.0183568</x:v>
      </x:c>
      <x:c r="L767" s="21" t="n">
        <x:f>6371*ACOS(MIN(1,COS(F767*PI()/180)*COS(K767*PI()/180)*COS((J767-E767)*PI()/180)+SIN(F767*PI()/180)*SIN(K767*PI()/180)))</x:f>
        <x:v>226.09022435971104</x:v>
      </x:c>
      <x:c r="M767" s="21" t="n">
        <x:f>L767*'情景参数模板'!$D$31</x:f>
        <x:v>271.30826923165324</x:v>
      </x:c>
      <x:c r="N767" s="21" t="n">
        <x:f>IF(C767="source",'情景参数模板'!$D$12,IF(H767="echelon",'情景参数模板'!$D$13,'情景参数模板'!$D$14))</x:f>
        <x:v>0.49</x:v>
      </x:c>
      <x:c r="O767" s="21" t="n">
        <x:f>IF(C767="source",'情景参数模板'!$D$18,IF(H767="echelon",'情景参数模板'!$D$19,'情景参数模板'!$D$20))</x:f>
        <x:v>300</x:v>
      </x:c>
      <x:c r="P767" s="17" t="n">
        <x:f>IF(M767&lt;=O767,1,0)</x:f>
        <x:v>1</x:v>
      </x:c>
      <x:c r="Q767" s="17" t="str">
        <x:v>D-road proxy; B-coordinates</x:v>
      </x:c>
    </x:row>
    <x:row r="768">
      <x:c r="A768" s="17" t="str">
        <x:v>A0764</x:v>
      </x:c>
      <x:c r="B768" s="17" t="str">
        <x:v>C14</x:v>
      </x:c>
      <x:c r="C768" s="17" t="str">
        <x:v>collection</x:v>
      </x:c>
      <x:c r="D768" s="17" t="str">
        <x:v>阳江虚拟回收/检测中心</x:v>
      </x:c>
      <x:c r="E768" s="24" t="n">
        <x:v>111.7831393</x:v>
      </x:c>
      <x:c r="F768" s="24" t="n">
        <x:v>22.0958223</x:v>
      </x:c>
      <x:c r="G768" s="17" t="str">
        <x:v>P10</x:v>
      </x:c>
      <x:c r="H768" s="17" t="str">
        <x:v>echelon</x:v>
      </x:c>
      <x:c r="I768" s="17" t="str">
        <x:v>广州广汽商贸再生资源有限公司</x:v>
      </x:c>
      <x:c r="J768" s="24" t="n">
        <x:v>113.2589581</x:v>
      </x:c>
      <x:c r="K768" s="24" t="n">
        <x:v>23.1288429</x:v>
      </x:c>
      <x:c r="L768" s="21" t="n">
        <x:f>6371*ACOS(MIN(1,COS(F768*PI()/180)*COS(K768*PI()/180)*COS((J768-E768)*PI()/180)+SIN(F768*PI()/180)*SIN(K768*PI()/180)))</x:f>
        <x:v>190.11044852396574</x:v>
      </x:c>
      <x:c r="M768" s="21" t="n">
        <x:f>L768*'情景参数模板'!$D$31</x:f>
        <x:v>228.13253822875888</x:v>
      </x:c>
      <x:c r="N768" s="21" t="n">
        <x:f>IF(C768="source",'情景参数模板'!$D$12,IF(H768="echelon",'情景参数模板'!$D$13,'情景参数模板'!$D$14))</x:f>
        <x:v>0.49</x:v>
      </x:c>
      <x:c r="O768" s="21" t="n">
        <x:f>IF(C768="source",'情景参数模板'!$D$18,IF(H768="echelon",'情景参数模板'!$D$19,'情景参数模板'!$D$20))</x:f>
        <x:v>300</x:v>
      </x:c>
      <x:c r="P768" s="17" t="n">
        <x:f>IF(M768&lt;=O768,1,0)</x:f>
        <x:v>1</x:v>
      </x:c>
      <x:c r="Q768" s="17" t="str">
        <x:v>D-road proxy; B-coordinates</x:v>
      </x:c>
    </x:row>
    <x:row r="769">
      <x:c r="A769" s="17" t="str">
        <x:v>A0765</x:v>
      </x:c>
      <x:c r="B769" s="17" t="str">
        <x:v>C14</x:v>
      </x:c>
      <x:c r="C769" s="17" t="str">
        <x:v>collection</x:v>
      </x:c>
      <x:c r="D769" s="17" t="str">
        <x:v>阳江虚拟回收/检测中心</x:v>
      </x:c>
      <x:c r="E769" s="24" t="n">
        <x:v>111.7831393</x:v>
      </x:c>
      <x:c r="F769" s="24" t="n">
        <x:v>22.0958223</x:v>
      </x:c>
      <x:c r="G769" s="17" t="str">
        <x:v>P11</x:v>
      </x:c>
      <x:c r="H769" s="17" t="str">
        <x:v>echelon</x:v>
      </x:c>
      <x:c r="I769" s="17" t="str">
        <x:v>深圳市杰成镍钴新能源科技有限公司</x:v>
      </x:c>
      <x:c r="J769" s="24" t="n">
        <x:v>114.0545429</x:v>
      </x:c>
      <x:c r="K769" s="24" t="n">
        <x:v>22.5445741</x:v>
      </x:c>
      <x:c r="L769" s="21" t="n">
        <x:f>6371*ACOS(MIN(1,COS(F769*PI()/180)*COS(K769*PI()/180)*COS((J769-E769)*PI()/180)+SIN(F769*PI()/180)*SIN(K769*PI()/180)))</x:f>
        <x:v>238.91102093560318</x:v>
      </x:c>
      <x:c r="M769" s="21" t="n">
        <x:f>L769*'情景参数模板'!$D$31</x:f>
        <x:v>286.6932251227238</x:v>
      </x:c>
      <x:c r="N769" s="21" t="n">
        <x:f>IF(C769="source",'情景参数模板'!$D$12,IF(H769="echelon",'情景参数模板'!$D$13,'情景参数模板'!$D$14))</x:f>
        <x:v>0.49</x:v>
      </x:c>
      <x:c r="O769" s="21" t="n">
        <x:f>IF(C769="source",'情景参数模板'!$D$18,IF(H769="echelon",'情景参数模板'!$D$19,'情景参数模板'!$D$20))</x:f>
        <x:v>300</x:v>
      </x:c>
      <x:c r="P769" s="17" t="n">
        <x:f>IF(M769&lt;=O769,1,0)</x:f>
        <x:v>1</x:v>
      </x:c>
      <x:c r="Q769" s="17" t="str">
        <x:v>D-road proxy; B-coordinates</x:v>
      </x:c>
    </x:row>
    <x:row r="770">
      <x:c r="A770" s="17" t="str">
        <x:v>A0766</x:v>
      </x:c>
      <x:c r="B770" s="17" t="str">
        <x:v>C14</x:v>
      </x:c>
      <x:c r="C770" s="17" t="str">
        <x:v>collection</x:v>
      </x:c>
      <x:c r="D770" s="17" t="str">
        <x:v>阳江虚拟回收/检测中心</x:v>
      </x:c>
      <x:c r="E770" s="24" t="n">
        <x:v>111.7831393</x:v>
      </x:c>
      <x:c r="F770" s="24" t="n">
        <x:v>22.0958223</x:v>
      </x:c>
      <x:c r="G770" s="17" t="str">
        <x:v>P12</x:v>
      </x:c>
      <x:c r="H770" s="17" t="str">
        <x:v>recycling</x:v>
      </x:c>
      <x:c r="I770" s="17" t="str">
        <x:v>江门市恒创睿能环保科技有限公司</x:v>
      </x:c>
      <x:c r="J770" s="24" t="n">
        <x:v>113.0761073</x:v>
      </x:c>
      <x:c r="K770" s="24" t="n">
        <x:v>22.5816619</x:v>
      </x:c>
      <x:c r="L770" s="21" t="n">
        <x:f>6371*ACOS(MIN(1,COS(F770*PI()/180)*COS(K770*PI()/180)*COS((J770-E770)*PI()/180)+SIN(F770*PI()/180)*SIN(K770*PI()/180)))</x:f>
        <x:v>143.53528753193643</x:v>
      </x:c>
      <x:c r="M770" s="21" t="n">
        <x:f>L770*'情景参数模板'!$D$31</x:f>
        <x:v>172.24234503832372</x:v>
      </x:c>
      <x:c r="N770" s="21" t="n">
        <x:f>IF(C770="source",'情景参数模板'!$D$12,IF(H770="echelon",'情景参数模板'!$D$13,'情景参数模板'!$D$14))</x:f>
        <x:v>0.49</x:v>
      </x:c>
      <x:c r="O770" s="21" t="n">
        <x:f>IF(C770="source",'情景参数模板'!$D$18,IF(H770="echelon",'情景参数模板'!$D$19,'情景参数模板'!$D$20))</x:f>
        <x:v>400</x:v>
      </x:c>
      <x:c r="P770" s="17" t="n">
        <x:f>IF(M770&lt;=O770,1,0)</x:f>
        <x:v>1</x:v>
      </x:c>
      <x:c r="Q770" s="17" t="str">
        <x:v>D-road proxy; B-coordinates</x:v>
      </x:c>
    </x:row>
    <x:row r="771">
      <x:c r="A771" s="17" t="str">
        <x:v>A0767</x:v>
      </x:c>
      <x:c r="B771" s="17" t="str">
        <x:v>C14</x:v>
      </x:c>
      <x:c r="C771" s="17" t="str">
        <x:v>collection</x:v>
      </x:c>
      <x:c r="D771" s="17" t="str">
        <x:v>阳江虚拟回收/检测中心</x:v>
      </x:c>
      <x:c r="E771" s="24" t="n">
        <x:v>111.7831393</x:v>
      </x:c>
      <x:c r="F771" s="24" t="n">
        <x:v>22.0958223</x:v>
      </x:c>
      <x:c r="G771" s="17" t="str">
        <x:v>P13</x:v>
      </x:c>
      <x:c r="H771" s="17" t="str">
        <x:v>recycling</x:v>
      </x:c>
      <x:c r="I771" s="17" t="str">
        <x:v>广东佳纳能源科技有限公司</x:v>
      </x:c>
      <x:c r="J771" s="24" t="n">
        <x:v>113.0505994</x:v>
      </x:c>
      <x:c r="K771" s="24" t="n">
        <x:v>23.6832984</x:v>
      </x:c>
      <x:c r="L771" s="21" t="n">
        <x:f>6371*ACOS(MIN(1,COS(F771*PI()/180)*COS(K771*PI()/180)*COS((J771-E771)*PI()/180)+SIN(F771*PI()/180)*SIN(K771*PI()/180)))</x:f>
        <x:v>219.12335494772935</x:v>
      </x:c>
      <x:c r="M771" s="21" t="n">
        <x:f>L771*'情景参数模板'!$D$31</x:f>
        <x:v>262.9480259372752</x:v>
      </x:c>
      <x:c r="N771" s="21" t="n">
        <x:f>IF(C771="source",'情景参数模板'!$D$12,IF(H771="echelon",'情景参数模板'!$D$13,'情景参数模板'!$D$14))</x:f>
        <x:v>0.49</x:v>
      </x:c>
      <x:c r="O771" s="21" t="n">
        <x:f>IF(C771="source",'情景参数模板'!$D$18,IF(H771="echelon",'情景参数模板'!$D$19,'情景参数模板'!$D$20))</x:f>
        <x:v>400</x:v>
      </x:c>
      <x:c r="P771" s="17" t="n">
        <x:f>IF(M771&lt;=O771,1,0)</x:f>
        <x:v>1</x:v>
      </x:c>
      <x:c r="Q771" s="17" t="str">
        <x:v>D-road proxy; B-coordinates</x:v>
      </x:c>
    </x:row>
    <x:row r="772">
      <x:c r="A772" s="17" t="str">
        <x:v>A0768</x:v>
      </x:c>
      <x:c r="B772" s="17" t="str">
        <x:v>C14</x:v>
      </x:c>
      <x:c r="C772" s="17" t="str">
        <x:v>collection</x:v>
      </x:c>
      <x:c r="D772" s="17" t="str">
        <x:v>阳江虚拟回收/检测中心</x:v>
      </x:c>
      <x:c r="E772" s="24" t="n">
        <x:v>111.7831393</x:v>
      </x:c>
      <x:c r="F772" s="24" t="n">
        <x:v>22.0958223</x:v>
      </x:c>
      <x:c r="G772" s="17" t="str">
        <x:v>P14</x:v>
      </x:c>
      <x:c r="H772" s="17" t="str">
        <x:v>echelon</x:v>
      </x:c>
      <x:c r="I772" s="17" t="str">
        <x:v>格林美（深圳）循环科技有限公司</x:v>
      </x:c>
      <x:c r="J772" s="24" t="n">
        <x:v>114.0545429</x:v>
      </x:c>
      <x:c r="K772" s="24" t="n">
        <x:v>22.5445741</x:v>
      </x:c>
      <x:c r="L772" s="21" t="n">
        <x:f>6371*ACOS(MIN(1,COS(F772*PI()/180)*COS(K772*PI()/180)*COS((J772-E772)*PI()/180)+SIN(F772*PI()/180)*SIN(K772*PI()/180)))</x:f>
        <x:v>238.91102093560318</x:v>
      </x:c>
      <x:c r="M772" s="21" t="n">
        <x:f>L772*'情景参数模板'!$D$31</x:f>
        <x:v>286.6932251227238</x:v>
      </x:c>
      <x:c r="N772" s="21" t="n">
        <x:f>IF(C772="source",'情景参数模板'!$D$12,IF(H772="echelon",'情景参数模板'!$D$13,'情景参数模板'!$D$14))</x:f>
        <x:v>0.49</x:v>
      </x:c>
      <x:c r="O772" s="21" t="n">
        <x:f>IF(C772="source",'情景参数模板'!$D$18,IF(H772="echelon",'情景参数模板'!$D$19,'情景参数模板'!$D$20))</x:f>
        <x:v>300</x:v>
      </x:c>
      <x:c r="P772" s="17" t="n">
        <x:f>IF(M772&lt;=O772,1,0)</x:f>
        <x:v>1</x:v>
      </x:c>
      <x:c r="Q772" s="17" t="str">
        <x:v>D-road proxy; B-coordinates</x:v>
      </x:c>
    </x:row>
    <x:row r="773">
      <x:c r="A773" s="17" t="str">
        <x:v>A0769</x:v>
      </x:c>
      <x:c r="B773" s="17" t="str">
        <x:v>C14</x:v>
      </x:c>
      <x:c r="C773" s="17" t="str">
        <x:v>collection</x:v>
      </x:c>
      <x:c r="D773" s="17" t="str">
        <x:v>阳江虚拟回收/检测中心</x:v>
      </x:c>
      <x:c r="E773" s="24" t="n">
        <x:v>111.7831393</x:v>
      </x:c>
      <x:c r="F773" s="24" t="n">
        <x:v>22.0958223</x:v>
      </x:c>
      <x:c r="G773" s="17" t="str">
        <x:v>P15</x:v>
      </x:c>
      <x:c r="H773" s="17" t="str">
        <x:v>echelon</x:v>
      </x:c>
      <x:c r="I773" s="17" t="str">
        <x:v>绿循新能源科技（佛山）有限责任公司</x:v>
      </x:c>
      <x:c r="J773" s="24" t="n">
        <x:v>113.1159558</x:v>
      </x:c>
      <x:c r="K773" s="24" t="n">
        <x:v>23.0239788</x:v>
      </x:c>
      <x:c r="L773" s="21" t="n">
        <x:f>6371*ACOS(MIN(1,COS(F773*PI()/180)*COS(K773*PI()/180)*COS((J773-E773)*PI()/180)+SIN(F773*PI()/180)*SIN(K773*PI()/180)))</x:f>
        <x:v>171.41164681318705</x:v>
      </x:c>
      <x:c r="M773" s="21" t="n">
        <x:f>L773*'情景参数模板'!$D$31</x:f>
        <x:v>205.69397617582445</x:v>
      </x:c>
      <x:c r="N773" s="21" t="n">
        <x:f>IF(C773="source",'情景参数模板'!$D$12,IF(H773="echelon",'情景参数模板'!$D$13,'情景参数模板'!$D$14))</x:f>
        <x:v>0.49</x:v>
      </x:c>
      <x:c r="O773" s="21" t="n">
        <x:f>IF(C773="source",'情景参数模板'!$D$18,IF(H773="echelon",'情景参数模板'!$D$19,'情景参数模板'!$D$20))</x:f>
        <x:v>300</x:v>
      </x:c>
      <x:c r="P773" s="17" t="n">
        <x:f>IF(M773&lt;=O773,1,0)</x:f>
        <x:v>1</x:v>
      </x:c>
      <x:c r="Q773" s="17" t="str">
        <x:v>D-road proxy; B-coordinates</x:v>
      </x:c>
    </x:row>
    <x:row r="774">
      <x:c r="A774" s="17" t="str">
        <x:v>A0770</x:v>
      </x:c>
      <x:c r="B774" s="17" t="str">
        <x:v>C14</x:v>
      </x:c>
      <x:c r="C774" s="17" t="str">
        <x:v>collection</x:v>
      </x:c>
      <x:c r="D774" s="17" t="str">
        <x:v>阳江虚拟回收/检测中心</x:v>
      </x:c>
      <x:c r="E774" s="24" t="n">
        <x:v>111.7831393</x:v>
      </x:c>
      <x:c r="F774" s="24" t="n">
        <x:v>22.0958223</x:v>
      </x:c>
      <x:c r="G774" s="17" t="str">
        <x:v>P16</x:v>
      </x:c>
      <x:c r="H774" s="17" t="str">
        <x:v>echelon</x:v>
      </x:c>
      <x:c r="I774" s="17" t="str">
        <x:v>深圳艾云动智慧科技有限公司</x:v>
      </x:c>
      <x:c r="J774" s="24" t="n">
        <x:v>114.0545429</x:v>
      </x:c>
      <x:c r="K774" s="24" t="n">
        <x:v>22.5445741</x:v>
      </x:c>
      <x:c r="L774" s="21" t="n">
        <x:f>6371*ACOS(MIN(1,COS(F774*PI()/180)*COS(K774*PI()/180)*COS((J774-E774)*PI()/180)+SIN(F774*PI()/180)*SIN(K774*PI()/180)))</x:f>
        <x:v>238.91102093560318</x:v>
      </x:c>
      <x:c r="M774" s="21" t="n">
        <x:f>L774*'情景参数模板'!$D$31</x:f>
        <x:v>286.6932251227238</x:v>
      </x:c>
      <x:c r="N774" s="21" t="n">
        <x:f>IF(C774="source",'情景参数模板'!$D$12,IF(H774="echelon",'情景参数模板'!$D$13,'情景参数模板'!$D$14))</x:f>
        <x:v>0.49</x:v>
      </x:c>
      <x:c r="O774" s="21" t="n">
        <x:f>IF(C774="source",'情景参数模板'!$D$18,IF(H774="echelon",'情景参数模板'!$D$19,'情景参数模板'!$D$20))</x:f>
        <x:v>300</x:v>
      </x:c>
      <x:c r="P774" s="17" t="n">
        <x:f>IF(M774&lt;=O774,1,0)</x:f>
        <x:v>1</x:v>
      </x:c>
      <x:c r="Q774" s="17" t="str">
        <x:v>D-road proxy; B-coordinates</x:v>
      </x:c>
    </x:row>
    <x:row r="775">
      <x:c r="A775" s="17" t="str">
        <x:v>A0771</x:v>
      </x:c>
      <x:c r="B775" s="17" t="str">
        <x:v>C14</x:v>
      </x:c>
      <x:c r="C775" s="17" t="str">
        <x:v>collection</x:v>
      </x:c>
      <x:c r="D775" s="17" t="str">
        <x:v>阳江虚拟回收/检测中心</x:v>
      </x:c>
      <x:c r="E775" s="24" t="n">
        <x:v>111.7831393</x:v>
      </x:c>
      <x:c r="F775" s="24" t="n">
        <x:v>22.0958223</x:v>
      </x:c>
      <x:c r="G775" s="17" t="str">
        <x:v>P17</x:v>
      </x:c>
      <x:c r="H775" s="17" t="str">
        <x:v>echelon</x:v>
      </x:c>
      <x:c r="I775" s="17" t="str">
        <x:v>深圳市荣高晟新能源科技有限公司</x:v>
      </x:c>
      <x:c r="J775" s="24" t="n">
        <x:v>114.0545429</x:v>
      </x:c>
      <x:c r="K775" s="24" t="n">
        <x:v>22.5445741</x:v>
      </x:c>
      <x:c r="L775" s="21" t="n">
        <x:f>6371*ACOS(MIN(1,COS(F775*PI()/180)*COS(K775*PI()/180)*COS((J775-E775)*PI()/180)+SIN(F775*PI()/180)*SIN(K775*PI()/180)))</x:f>
        <x:v>238.91102093560318</x:v>
      </x:c>
      <x:c r="M775" s="21" t="n">
        <x:f>L775*'情景参数模板'!$D$31</x:f>
        <x:v>286.6932251227238</x:v>
      </x:c>
      <x:c r="N775" s="21" t="n">
        <x:f>IF(C775="source",'情景参数模板'!$D$12,IF(H775="echelon",'情景参数模板'!$D$13,'情景参数模板'!$D$14))</x:f>
        <x:v>0.49</x:v>
      </x:c>
      <x:c r="O775" s="21" t="n">
        <x:f>IF(C775="source",'情景参数模板'!$D$18,IF(H775="echelon",'情景参数模板'!$D$19,'情景参数模板'!$D$20))</x:f>
        <x:v>300</x:v>
      </x:c>
      <x:c r="P775" s="17" t="n">
        <x:f>IF(M775&lt;=O775,1,0)</x:f>
        <x:v>1</x:v>
      </x:c>
      <x:c r="Q775" s="17" t="str">
        <x:v>D-road proxy; B-coordinates</x:v>
      </x:c>
    </x:row>
    <x:row r="776">
      <x:c r="A776" s="17" t="str">
        <x:v>A0772</x:v>
      </x:c>
      <x:c r="B776" s="17" t="str">
        <x:v>C14</x:v>
      </x:c>
      <x:c r="C776" s="17" t="str">
        <x:v>collection</x:v>
      </x:c>
      <x:c r="D776" s="17" t="str">
        <x:v>阳江虚拟回收/检测中心</x:v>
      </x:c>
      <x:c r="E776" s="24" t="n">
        <x:v>111.7831393</x:v>
      </x:c>
      <x:c r="F776" s="24" t="n">
        <x:v>22.0958223</x:v>
      </x:c>
      <x:c r="G776" s="17" t="str">
        <x:v>P18</x:v>
      </x:c>
      <x:c r="H776" s="17" t="str">
        <x:v>echelon</x:v>
      </x:c>
      <x:c r="I776" s="17" t="str">
        <x:v>中商锂新能源科技（惠州）有限公司</x:v>
      </x:c>
      <x:c r="J776" s="24" t="n">
        <x:v>114.4127007</x:v>
      </x:c>
      <x:c r="K776" s="24" t="n">
        <x:v>23.1125153</x:v>
      </x:c>
      <x:c r="L776" s="21" t="n">
        <x:f>6371*ACOS(MIN(1,COS(F776*PI()/180)*COS(K776*PI()/180)*COS((J776-E776)*PI()/180)+SIN(F776*PI()/180)*SIN(K776*PI()/180)))</x:f>
        <x:v>292.642269876442</x:v>
      </x:c>
      <x:c r="M776" s="21" t="n">
        <x:f>L776*'情景参数模板'!$D$31</x:f>
        <x:v>351.17072385173043</x:v>
      </x:c>
      <x:c r="N776" s="21" t="n">
        <x:f>IF(C776="source",'情景参数模板'!$D$12,IF(H776="echelon",'情景参数模板'!$D$13,'情景参数模板'!$D$14))</x:f>
        <x:v>0.49</x:v>
      </x:c>
      <x:c r="O776" s="21" t="n">
        <x:f>IF(C776="source",'情景参数模板'!$D$18,IF(H776="echelon",'情景参数模板'!$D$19,'情景参数模板'!$D$20))</x:f>
        <x:v>300</x:v>
      </x:c>
      <x:c r="P776" s="17" t="n">
        <x:f>IF(M776&lt;=O776,1,0)</x:f>
        <x:v>0</x:v>
      </x:c>
      <x:c r="Q776" s="17" t="str">
        <x:v>D-road proxy; B-coordinates</x:v>
      </x:c>
    </x:row>
    <x:row r="777">
      <x:c r="A777" s="17" t="str">
        <x:v>A0773</x:v>
      </x:c>
      <x:c r="B777" s="17" t="str">
        <x:v>C14</x:v>
      </x:c>
      <x:c r="C777" s="17" t="str">
        <x:v>collection</x:v>
      </x:c>
      <x:c r="D777" s="17" t="str">
        <x:v>阳江虚拟回收/检测中心</x:v>
      </x:c>
      <x:c r="E777" s="24" t="n">
        <x:v>111.7831393</x:v>
      </x:c>
      <x:c r="F777" s="24" t="n">
        <x:v>22.0958223</x:v>
      </x:c>
      <x:c r="G777" s="17" t="str">
        <x:v>P19</x:v>
      </x:c>
      <x:c r="H777" s="17" t="str">
        <x:v>recycling</x:v>
      </x:c>
      <x:c r="I777" s="17" t="str">
        <x:v>广东盛祥新材料科技有限公司</x:v>
      </x:c>
      <x:c r="J777" s="24" t="n">
        <x:v>113.8155263</x:v>
      </x:c>
      <x:c r="K777" s="24" t="n">
        <x:v>24.8309489</x:v>
      </x:c>
      <x:c r="L777" s="21" t="n">
        <x:f>6371*ACOS(MIN(1,COS(F777*PI()/180)*COS(K777*PI()/180)*COS((J777-E777)*PI()/180)+SIN(F777*PI()/180)*SIN(K777*PI()/180)))</x:f>
        <x:v>368.04654773255174</x:v>
      </x:c>
      <x:c r="M777" s="21" t="n">
        <x:f>L777*'情景参数模板'!$D$31</x:f>
        <x:v>441.6558572790621</x:v>
      </x:c>
      <x:c r="N777" s="21" t="n">
        <x:f>IF(C777="source",'情景参数模板'!$D$12,IF(H777="echelon",'情景参数模板'!$D$13,'情景参数模板'!$D$14))</x:f>
        <x:v>0.49</x:v>
      </x:c>
      <x:c r="O777" s="21" t="n">
        <x:f>IF(C777="source",'情景参数模板'!$D$18,IF(H777="echelon",'情景参数模板'!$D$19,'情景参数模板'!$D$20))</x:f>
        <x:v>400</x:v>
      </x:c>
      <x:c r="P777" s="17" t="n">
        <x:f>IF(M777&lt;=O777,1,0)</x:f>
        <x:v>0</x:v>
      </x:c>
      <x:c r="Q777" s="17" t="str">
        <x:v>D-road proxy; B-coordinates</x:v>
      </x:c>
    </x:row>
    <x:row r="778">
      <x:c r="A778" s="17" t="str">
        <x:v>A0774</x:v>
      </x:c>
      <x:c r="B778" s="17" t="str">
        <x:v>C14</x:v>
      </x:c>
      <x:c r="C778" s="17" t="str">
        <x:v>collection</x:v>
      </x:c>
      <x:c r="D778" s="17" t="str">
        <x:v>阳江虚拟回收/检测中心</x:v>
      </x:c>
      <x:c r="E778" s="24" t="n">
        <x:v>111.7831393</x:v>
      </x:c>
      <x:c r="F778" s="24" t="n">
        <x:v>22.0958223</x:v>
      </x:c>
      <x:c r="G778" s="17" t="str">
        <x:v>P20E</x:v>
      </x:c>
      <x:c r="H778" s="17" t="str">
        <x:v>echelon</x:v>
      </x:c>
      <x:c r="I778" s="17" t="str">
        <x:v>广东金晟新能源股份有限公司（梯次功能）</x:v>
      </x:c>
      <x:c r="J778" s="24" t="n">
        <x:v>112.4603629</x:v>
      </x:c>
      <x:c r="K778" s="24" t="n">
        <x:v>23.0501661</x:v>
      </x:c>
      <x:c r="L778" s="21" t="n">
        <x:f>6371*ACOS(MIN(1,COS(F778*PI()/180)*COS(K778*PI()/180)*COS((J778-E778)*PI()/180)+SIN(F778*PI()/180)*SIN(K778*PI()/180)))</x:f>
        <x:v>126.86998761494044</x:v>
      </x:c>
      <x:c r="M778" s="21" t="n">
        <x:f>L778*'情景参数模板'!$D$31</x:f>
        <x:v>152.24398513792852</x:v>
      </x:c>
      <x:c r="N778" s="21" t="n">
        <x:f>IF(C778="source",'情景参数模板'!$D$12,IF(H778="echelon",'情景参数模板'!$D$13,'情景参数模板'!$D$14))</x:f>
        <x:v>0.49</x:v>
      </x:c>
      <x:c r="O778" s="21" t="n">
        <x:f>IF(C778="source",'情景参数模板'!$D$18,IF(H778="echelon",'情景参数模板'!$D$19,'情景参数模板'!$D$20))</x:f>
        <x:v>300</x:v>
      </x:c>
      <x:c r="P778" s="17" t="n">
        <x:f>IF(M778&lt;=O778,1,0)</x:f>
        <x:v>1</x:v>
      </x:c>
      <x:c r="Q778" s="17" t="str">
        <x:v>D-road proxy; B-coordinates</x:v>
      </x:c>
    </x:row>
    <x:row r="779">
      <x:c r="A779" s="17" t="str">
        <x:v>A0775</x:v>
      </x:c>
      <x:c r="B779" s="17" t="str">
        <x:v>C14</x:v>
      </x:c>
      <x:c r="C779" s="17" t="str">
        <x:v>collection</x:v>
      </x:c>
      <x:c r="D779" s="17" t="str">
        <x:v>阳江虚拟回收/检测中心</x:v>
      </x:c>
      <x:c r="E779" s="24" t="n">
        <x:v>111.7831393</x:v>
      </x:c>
      <x:c r="F779" s="24" t="n">
        <x:v>22.0958223</x:v>
      </x:c>
      <x:c r="G779" s="17" t="str">
        <x:v>P20R</x:v>
      </x:c>
      <x:c r="H779" s="17" t="str">
        <x:v>recycling</x:v>
      </x:c>
      <x:c r="I779" s="17" t="str">
        <x:v>广东金晟新能源股份有限公司（再生功能）</x:v>
      </x:c>
      <x:c r="J779" s="24" t="n">
        <x:v>112.4603629</x:v>
      </x:c>
      <x:c r="K779" s="24" t="n">
        <x:v>23.0501661</x:v>
      </x:c>
      <x:c r="L779" s="21" t="n">
        <x:f>6371*ACOS(MIN(1,COS(F779*PI()/180)*COS(K779*PI()/180)*COS((J779-E779)*PI()/180)+SIN(F779*PI()/180)*SIN(K779*PI()/180)))</x:f>
        <x:v>126.86998761494044</x:v>
      </x:c>
      <x:c r="M779" s="21" t="n">
        <x:f>L779*'情景参数模板'!$D$31</x:f>
        <x:v>152.24398513792852</x:v>
      </x:c>
      <x:c r="N779" s="21" t="n">
        <x:f>IF(C779="source",'情景参数模板'!$D$12,IF(H779="echelon",'情景参数模板'!$D$13,'情景参数模板'!$D$14))</x:f>
        <x:v>0.49</x:v>
      </x:c>
      <x:c r="O779" s="21" t="n">
        <x:f>IF(C779="source",'情景参数模板'!$D$18,IF(H779="echelon",'情景参数模板'!$D$19,'情景参数模板'!$D$20))</x:f>
        <x:v>400</x:v>
      </x:c>
      <x:c r="P779" s="17" t="n">
        <x:f>IF(M779&lt;=O779,1,0)</x:f>
        <x:v>1</x:v>
      </x:c>
      <x:c r="Q779" s="17" t="str">
        <x:v>D-road proxy; B-coordinates</x:v>
      </x:c>
    </x:row>
    <x:row r="780">
      <x:c r="A780" s="17" t="str">
        <x:v>A0776</x:v>
      </x:c>
      <x:c r="B780" s="17" t="str">
        <x:v>C14</x:v>
      </x:c>
      <x:c r="C780" s="17" t="str">
        <x:v>collection</x:v>
      </x:c>
      <x:c r="D780" s="17" t="str">
        <x:v>阳江虚拟回收/检测中心</x:v>
      </x:c>
      <x:c r="E780" s="24" t="n">
        <x:v>111.7831393</x:v>
      </x:c>
      <x:c r="F780" s="24" t="n">
        <x:v>22.0958223</x:v>
      </x:c>
      <x:c r="G780" s="17" t="str">
        <x:v>P21E</x:v>
      </x:c>
      <x:c r="H780" s="17" t="str">
        <x:v>echelon</x:v>
      </x:c>
      <x:c r="I780" s="17" t="str">
        <x:v>广东瑞科美电源技术有限公司（梯次功能）</x:v>
      </x:c>
      <x:c r="J780" s="24" t="n">
        <x:v>113.1159558</x:v>
      </x:c>
      <x:c r="K780" s="24" t="n">
        <x:v>23.0239788</x:v>
      </x:c>
      <x:c r="L780" s="21" t="n">
        <x:f>6371*ACOS(MIN(1,COS(F780*PI()/180)*COS(K780*PI()/180)*COS((J780-E780)*PI()/180)+SIN(F780*PI()/180)*SIN(K780*PI()/180)))</x:f>
        <x:v>171.41164681318705</x:v>
      </x:c>
      <x:c r="M780" s="21" t="n">
        <x:f>L780*'情景参数模板'!$D$31</x:f>
        <x:v>205.69397617582445</x:v>
      </x:c>
      <x:c r="N780" s="21" t="n">
        <x:f>IF(C780="source",'情景参数模板'!$D$12,IF(H780="echelon",'情景参数模板'!$D$13,'情景参数模板'!$D$14))</x:f>
        <x:v>0.49</x:v>
      </x:c>
      <x:c r="O780" s="21" t="n">
        <x:f>IF(C780="source",'情景参数模板'!$D$18,IF(H780="echelon",'情景参数模板'!$D$19,'情景参数模板'!$D$20))</x:f>
        <x:v>300</x:v>
      </x:c>
      <x:c r="P780" s="17" t="n">
        <x:f>IF(M780&lt;=O780,1,0)</x:f>
        <x:v>1</x:v>
      </x:c>
      <x:c r="Q780" s="17" t="str">
        <x:v>D-road proxy; B-coordinates</x:v>
      </x:c>
    </x:row>
    <x:row r="781">
      <x:c r="A781" s="17" t="str">
        <x:v>A0777</x:v>
      </x:c>
      <x:c r="B781" s="17" t="str">
        <x:v>C14</x:v>
      </x:c>
      <x:c r="C781" s="17" t="str">
        <x:v>collection</x:v>
      </x:c>
      <x:c r="D781" s="17" t="str">
        <x:v>阳江虚拟回收/检测中心</x:v>
      </x:c>
      <x:c r="E781" s="24" t="n">
        <x:v>111.7831393</x:v>
      </x:c>
      <x:c r="F781" s="24" t="n">
        <x:v>22.0958223</x:v>
      </x:c>
      <x:c r="G781" s="17" t="str">
        <x:v>P21R</x:v>
      </x:c>
      <x:c r="H781" s="17" t="str">
        <x:v>recycling</x:v>
      </x:c>
      <x:c r="I781" s="17" t="str">
        <x:v>广东瑞科美电源技术有限公司（再生功能）</x:v>
      </x:c>
      <x:c r="J781" s="24" t="n">
        <x:v>113.1159558</x:v>
      </x:c>
      <x:c r="K781" s="24" t="n">
        <x:v>23.0239788</x:v>
      </x:c>
      <x:c r="L781" s="21" t="n">
        <x:f>6371*ACOS(MIN(1,COS(F781*PI()/180)*COS(K781*PI()/180)*COS((J781-E781)*PI()/180)+SIN(F781*PI()/180)*SIN(K781*PI()/180)))</x:f>
        <x:v>171.41164681318705</x:v>
      </x:c>
      <x:c r="M781" s="21" t="n">
        <x:f>L781*'情景参数模板'!$D$31</x:f>
        <x:v>205.69397617582445</x:v>
      </x:c>
      <x:c r="N781" s="21" t="n">
        <x:f>IF(C781="source",'情景参数模板'!$D$12,IF(H781="echelon",'情景参数模板'!$D$13,'情景参数模板'!$D$14))</x:f>
        <x:v>0.49</x:v>
      </x:c>
      <x:c r="O781" s="21" t="n">
        <x:f>IF(C781="source",'情景参数模板'!$D$18,IF(H781="echelon",'情景参数模板'!$D$19,'情景参数模板'!$D$20))</x:f>
        <x:v>400</x:v>
      </x:c>
      <x:c r="P781" s="17" t="n">
        <x:f>IF(M781&lt;=O781,1,0)</x:f>
        <x:v>1</x:v>
      </x:c>
      <x:c r="Q781" s="17" t="str">
        <x:v>D-road proxy; B-coordinates</x:v>
      </x:c>
    </x:row>
    <x:row r="782">
      <x:c r="A782" s="17" t="str">
        <x:v>A0778</x:v>
      </x:c>
      <x:c r="B782" s="17" t="str">
        <x:v>C15</x:v>
      </x:c>
      <x:c r="C782" s="17" t="str">
        <x:v>collection</x:v>
      </x:c>
      <x:c r="D782" s="17" t="str">
        <x:v>湛江虚拟回收/检测中心</x:v>
      </x:c>
      <x:c r="E782" s="24" t="n">
        <x:v>110.3548318</x:v>
      </x:c>
      <x:c r="F782" s="24" t="n">
        <x:v>21.2737079</x:v>
      </x:c>
      <x:c r="G782" s="17" t="str">
        <x:v>P01</x:v>
      </x:c>
      <x:c r="H782" s="17" t="str">
        <x:v>recycling</x:v>
      </x:c>
      <x:c r="I782" s="17" t="str">
        <x:v>汕尾比亚迪废旧动力电池回收项目</x:v>
      </x:c>
      <x:c r="J782" s="24" t="n">
        <x:v>115.3492668</x:v>
      </x:c>
      <x:c r="K782" s="24" t="n">
        <x:v>22.838065</x:v>
      </x:c>
      <x:c r="L782" s="21" t="n">
        <x:f>6371*ACOS(MIN(1,COS(F782*PI()/180)*COS(K782*PI()/180)*COS((J782-E782)*PI()/180)+SIN(F782*PI()/180)*SIN(K782*PI()/180)))</x:f>
        <x:v>543.2680362186703</x:v>
      </x:c>
      <x:c r="M782" s="21" t="n">
        <x:f>L782*'情景参数模板'!$D$31</x:f>
        <x:v>651.9216434624044</x:v>
      </x:c>
      <x:c r="N782" s="21" t="n">
        <x:f>IF(C782="source",'情景参数模板'!$D$12,IF(H782="echelon",'情景参数模板'!$D$13,'情景参数模板'!$D$14))</x:f>
        <x:v>0.49</x:v>
      </x:c>
      <x:c r="O782" s="21" t="n">
        <x:f>IF(C782="source",'情景参数模板'!$D$18,IF(H782="echelon",'情景参数模板'!$D$19,'情景参数模板'!$D$20))</x:f>
        <x:v>400</x:v>
      </x:c>
      <x:c r="P782" s="17" t="n">
        <x:f>IF(M782&lt;=O782,1,0)</x:f>
        <x:v>0</x:v>
      </x:c>
      <x:c r="Q782" s="17" t="str">
        <x:v>D-road proxy; B-coordinates</x:v>
      </x:c>
    </x:row>
    <x:row r="783">
      <x:c r="A783" s="17" t="str">
        <x:v>A0779</x:v>
      </x:c>
      <x:c r="B783" s="17" t="str">
        <x:v>C15</x:v>
      </x:c>
      <x:c r="C783" s="17" t="str">
        <x:v>collection</x:v>
      </x:c>
      <x:c r="D783" s="17" t="str">
        <x:v>湛江虚拟回收/检测中心</x:v>
      </x:c>
      <x:c r="E783" s="24" t="n">
        <x:v>110.3548318</x:v>
      </x:c>
      <x:c r="F783" s="24" t="n">
        <x:v>21.2737079</x:v>
      </x:c>
      <x:c r="G783" s="17" t="str">
        <x:v>P02E</x:v>
      </x:c>
      <x:c r="H783" s="17" t="str">
        <x:v>echelon</x:v>
      </x:c>
      <x:c r="I783" s="17" t="str">
        <x:v>广东光华科技股份有限公司（梯次功能）</x:v>
      </x:c>
      <x:c r="J783" s="24" t="n">
        <x:v>116.6775856</x:v>
      </x:c>
      <x:c r="K783" s="24" t="n">
        <x:v>23.3563921</x:v>
      </x:c>
      <x:c r="L783" s="21" t="n">
        <x:f>6371*ACOS(MIN(1,COS(F783*PI()/180)*COS(K783*PI()/180)*COS((J783-E783)*PI()/180)+SIN(F783*PI()/180)*SIN(K783*PI()/180)))</x:f>
        <x:v>690.3094605041547</x:v>
      </x:c>
      <x:c r="M783" s="21" t="n">
        <x:f>L783*'情景参数模板'!$D$31</x:f>
        <x:v>828.3713526049856</x:v>
      </x:c>
      <x:c r="N783" s="21" t="n">
        <x:f>IF(C783="source",'情景参数模板'!$D$12,IF(H783="echelon",'情景参数模板'!$D$13,'情景参数模板'!$D$14))</x:f>
        <x:v>0.49</x:v>
      </x:c>
      <x:c r="O783" s="21" t="n">
        <x:f>IF(C783="source",'情景参数模板'!$D$18,IF(H783="echelon",'情景参数模板'!$D$19,'情景参数模板'!$D$20))</x:f>
        <x:v>300</x:v>
      </x:c>
      <x:c r="P783" s="17" t="n">
        <x:f>IF(M783&lt;=O783,1,0)</x:f>
        <x:v>0</x:v>
      </x:c>
      <x:c r="Q783" s="17" t="str">
        <x:v>D-road proxy; B-coordinates</x:v>
      </x:c>
    </x:row>
    <x:row r="784">
      <x:c r="A784" s="17" t="str">
        <x:v>A0780</x:v>
      </x:c>
      <x:c r="B784" s="17" t="str">
        <x:v>C15</x:v>
      </x:c>
      <x:c r="C784" s="17" t="str">
        <x:v>collection</x:v>
      </x:c>
      <x:c r="D784" s="17" t="str">
        <x:v>湛江虚拟回收/检测中心</x:v>
      </x:c>
      <x:c r="E784" s="24" t="n">
        <x:v>110.3548318</x:v>
      </x:c>
      <x:c r="F784" s="24" t="n">
        <x:v>21.2737079</x:v>
      </x:c>
      <x:c r="G784" s="17" t="str">
        <x:v>P02R</x:v>
      </x:c>
      <x:c r="H784" s="17" t="str">
        <x:v>recycling</x:v>
      </x:c>
      <x:c r="I784" s="17" t="str">
        <x:v>广东光华科技股份有限公司（再生功能）</x:v>
      </x:c>
      <x:c r="J784" s="24" t="n">
        <x:v>116.6775856</x:v>
      </x:c>
      <x:c r="K784" s="24" t="n">
        <x:v>23.3563921</x:v>
      </x:c>
      <x:c r="L784" s="21" t="n">
        <x:f>6371*ACOS(MIN(1,COS(F784*PI()/180)*COS(K784*PI()/180)*COS((J784-E784)*PI()/180)+SIN(F784*PI()/180)*SIN(K784*PI()/180)))</x:f>
        <x:v>690.3094605041547</x:v>
      </x:c>
      <x:c r="M784" s="21" t="n">
        <x:f>L784*'情景参数模板'!$D$31</x:f>
        <x:v>828.3713526049856</x:v>
      </x:c>
      <x:c r="N784" s="21" t="n">
        <x:f>IF(C784="source",'情景参数模板'!$D$12,IF(H784="echelon",'情景参数模板'!$D$13,'情景参数模板'!$D$14))</x:f>
        <x:v>0.49</x:v>
      </x:c>
      <x:c r="O784" s="21" t="n">
        <x:f>IF(C784="source",'情景参数模板'!$D$18,IF(H784="echelon",'情景参数模板'!$D$19,'情景参数模板'!$D$20))</x:f>
        <x:v>400</x:v>
      </x:c>
      <x:c r="P784" s="17" t="n">
        <x:f>IF(M784&lt;=O784,1,0)</x:f>
        <x:v>0</x:v>
      </x:c>
      <x:c r="Q784" s="17" t="str">
        <x:v>D-road proxy; B-coordinates</x:v>
      </x:c>
    </x:row>
    <x:row r="785">
      <x:c r="A785" s="17" t="str">
        <x:v>A0781</x:v>
      </x:c>
      <x:c r="B785" s="17" t="str">
        <x:v>C15</x:v>
      </x:c>
      <x:c r="C785" s="17" t="str">
        <x:v>collection</x:v>
      </x:c>
      <x:c r="D785" s="17" t="str">
        <x:v>湛江虚拟回收/检测中心</x:v>
      </x:c>
      <x:c r="E785" s="24" t="n">
        <x:v>110.3548318</x:v>
      </x:c>
      <x:c r="F785" s="24" t="n">
        <x:v>21.2737079</x:v>
      </x:c>
      <x:c r="G785" s="17" t="str">
        <x:v>P03</x:v>
      </x:c>
      <x:c r="H785" s="17" t="str">
        <x:v>echelon</x:v>
      </x:c>
      <x:c r="I785" s="17" t="str">
        <x:v>深圳深汕特别合作区乾泰技术有限公司</x:v>
      </x:c>
      <x:c r="J785" s="24" t="n">
        <x:v>115.5099937</x:v>
      </x:c>
      <x:c r="K785" s="24" t="n">
        <x:v>23.0123639</x:v>
      </x:c>
      <x:c r="L785" s="21" t="n">
        <x:f>6371*ACOS(MIN(1,COS(F785*PI()/180)*COS(K785*PI()/180)*COS((J785-E785)*PI()/180)+SIN(F785*PI()/180)*SIN(K785*PI()/180)))</x:f>
        <x:v>564.9997631187175</x:v>
      </x:c>
      <x:c r="M785" s="21" t="n">
        <x:f>L785*'情景参数模板'!$D$31</x:f>
        <x:v>677.999715742461</x:v>
      </x:c>
      <x:c r="N785" s="21" t="n">
        <x:f>IF(C785="source",'情景参数模板'!$D$12,IF(H785="echelon",'情景参数模板'!$D$13,'情景参数模板'!$D$14))</x:f>
        <x:v>0.49</x:v>
      </x:c>
      <x:c r="O785" s="21" t="n">
        <x:f>IF(C785="source",'情景参数模板'!$D$18,IF(H785="echelon",'情景参数模板'!$D$19,'情景参数模板'!$D$20))</x:f>
        <x:v>300</x:v>
      </x:c>
      <x:c r="P785" s="17" t="n">
        <x:f>IF(M785&lt;=O785,1,0)</x:f>
        <x:v>0</x:v>
      </x:c>
      <x:c r="Q785" s="17" t="str">
        <x:v>D-road proxy; B-coordinates</x:v>
      </x:c>
    </x:row>
    <x:row r="786">
      <x:c r="A786" s="17" t="str">
        <x:v>A0782</x:v>
      </x:c>
      <x:c r="B786" s="17" t="str">
        <x:v>C15</x:v>
      </x:c>
      <x:c r="C786" s="17" t="str">
        <x:v>collection</x:v>
      </x:c>
      <x:c r="D786" s="17" t="str">
        <x:v>湛江虚拟回收/检测中心</x:v>
      </x:c>
      <x:c r="E786" s="24" t="n">
        <x:v>110.3548318</x:v>
      </x:c>
      <x:c r="F786" s="24" t="n">
        <x:v>21.2737079</x:v>
      </x:c>
      <x:c r="G786" s="17" t="str">
        <x:v>P04</x:v>
      </x:c>
      <x:c r="H786" s="17" t="str">
        <x:v>echelon</x:v>
      </x:c>
      <x:c r="I786" s="17" t="str">
        <x:v>珠海中力新能源科技有限公司</x:v>
      </x:c>
      <x:c r="J786" s="24" t="n">
        <x:v>113.5721327</x:v>
      </x:c>
      <x:c r="K786" s="24" t="n">
        <x:v>22.273734</x:v>
      </x:c>
      <x:c r="L786" s="21" t="n">
        <x:f>6371*ACOS(MIN(1,COS(F786*PI()/180)*COS(K786*PI()/180)*COS((J786-E786)*PI()/180)+SIN(F786*PI()/180)*SIN(K786*PI()/180)))</x:f>
        <x:v>350.328255137951</x:v>
      </x:c>
      <x:c r="M786" s="21" t="n">
        <x:f>L786*'情景参数模板'!$D$31</x:f>
        <x:v>420.3939061655412</x:v>
      </x:c>
      <x:c r="N786" s="21" t="n">
        <x:f>IF(C786="source",'情景参数模板'!$D$12,IF(H786="echelon",'情景参数模板'!$D$13,'情景参数模板'!$D$14))</x:f>
        <x:v>0.49</x:v>
      </x:c>
      <x:c r="O786" s="21" t="n">
        <x:f>IF(C786="source",'情景参数模板'!$D$18,IF(H786="echelon",'情景参数模板'!$D$19,'情景参数模板'!$D$20))</x:f>
        <x:v>300</x:v>
      </x:c>
      <x:c r="P786" s="17" t="n">
        <x:f>IF(M786&lt;=O786,1,0)</x:f>
        <x:v>0</x:v>
      </x:c>
      <x:c r="Q786" s="17" t="str">
        <x:v>D-road proxy; B-coordinates</x:v>
      </x:c>
    </x:row>
    <x:row r="787">
      <x:c r="A787" s="17" t="str">
        <x:v>A0783</x:v>
      </x:c>
      <x:c r="B787" s="17" t="str">
        <x:v>C15</x:v>
      </x:c>
      <x:c r="C787" s="17" t="str">
        <x:v>collection</x:v>
      </x:c>
      <x:c r="D787" s="17" t="str">
        <x:v>湛江虚拟回收/检测中心</x:v>
      </x:c>
      <x:c r="E787" s="24" t="n">
        <x:v>110.3548318</x:v>
      </x:c>
      <x:c r="F787" s="24" t="n">
        <x:v>21.2737079</x:v>
      </x:c>
      <x:c r="G787" s="17" t="str">
        <x:v>P05</x:v>
      </x:c>
      <x:c r="H787" s="17" t="str">
        <x:v>echelon</x:v>
      </x:c>
      <x:c r="I787" s="17" t="str">
        <x:v>惠州市恒创睿能环保科技有限公司</x:v>
      </x:c>
      <x:c r="J787" s="24" t="n">
        <x:v>114.4127007</x:v>
      </x:c>
      <x:c r="K787" s="24" t="n">
        <x:v>23.1125153</x:v>
      </x:c>
      <x:c r="L787" s="21" t="n">
        <x:f>6371*ACOS(MIN(1,COS(F787*PI()/180)*COS(K787*PI()/180)*COS((J787-E787)*PI()/180)+SIN(F787*PI()/180)*SIN(K787*PI()/180)))</x:f>
        <x:v>465.101265453624</x:v>
      </x:c>
      <x:c r="M787" s="21" t="n">
        <x:f>L787*'情景参数模板'!$D$31</x:f>
        <x:v>558.1215185443488</x:v>
      </x:c>
      <x:c r="N787" s="21" t="n">
        <x:f>IF(C787="source",'情景参数模板'!$D$12,IF(H787="echelon",'情景参数模板'!$D$13,'情景参数模板'!$D$14))</x:f>
        <x:v>0.49</x:v>
      </x:c>
      <x:c r="O787" s="21" t="n">
        <x:f>IF(C787="source",'情景参数模板'!$D$18,IF(H787="echelon",'情景参数模板'!$D$19,'情景参数模板'!$D$20))</x:f>
        <x:v>300</x:v>
      </x:c>
      <x:c r="P787" s="17" t="n">
        <x:f>IF(M787&lt;=O787,1,0)</x:f>
        <x:v>0</x:v>
      </x:c>
      <x:c r="Q787" s="17" t="str">
        <x:v>D-road proxy; B-coordinates</x:v>
      </x:c>
    </x:row>
    <x:row r="788">
      <x:c r="A788" s="17" t="str">
        <x:v>A0784</x:v>
      </x:c>
      <x:c r="B788" s="17" t="str">
        <x:v>C15</x:v>
      </x:c>
      <x:c r="C788" s="17" t="str">
        <x:v>collection</x:v>
      </x:c>
      <x:c r="D788" s="17" t="str">
        <x:v>湛江虚拟回收/检测中心</x:v>
      </x:c>
      <x:c r="E788" s="24" t="n">
        <x:v>110.3548318</x:v>
      </x:c>
      <x:c r="F788" s="24" t="n">
        <x:v>21.2737079</x:v>
      </x:c>
      <x:c r="G788" s="17" t="str">
        <x:v>P06</x:v>
      </x:c>
      <x:c r="H788" s="17" t="str">
        <x:v>echelon</x:v>
      </x:c>
      <x:c r="I788" s="17" t="str">
        <x:v>江门市朗达锂电池有限公司</x:v>
      </x:c>
      <x:c r="J788" s="24" t="n">
        <x:v>113.0761073</x:v>
      </x:c>
      <x:c r="K788" s="24" t="n">
        <x:v>22.5816619</x:v>
      </x:c>
      <x:c r="L788" s="21" t="n">
        <x:f>6371*ACOS(MIN(1,COS(F788*PI()/180)*COS(K788*PI()/180)*COS((J788-E788)*PI()/180)+SIN(F788*PI()/180)*SIN(K788*PI()/180)))</x:f>
        <x:v>316.1300829743287</x:v>
      </x:c>
      <x:c r="M788" s="21" t="n">
        <x:f>L788*'情景参数模板'!$D$31</x:f>
        <x:v>379.3560995691944</x:v>
      </x:c>
      <x:c r="N788" s="21" t="n">
        <x:f>IF(C788="source",'情景参数模板'!$D$12,IF(H788="echelon",'情景参数模板'!$D$13,'情景参数模板'!$D$14))</x:f>
        <x:v>0.49</x:v>
      </x:c>
      <x:c r="O788" s="21" t="n">
        <x:f>IF(C788="source",'情景参数模板'!$D$18,IF(H788="echelon",'情景参数模板'!$D$19,'情景参数模板'!$D$20))</x:f>
        <x:v>300</x:v>
      </x:c>
      <x:c r="P788" s="17" t="n">
        <x:f>IF(M788&lt;=O788,1,0)</x:f>
        <x:v>0</x:v>
      </x:c>
      <x:c r="Q788" s="17" t="str">
        <x:v>D-road proxy; B-coordinates</x:v>
      </x:c>
    </x:row>
    <x:row r="789">
      <x:c r="A789" s="17" t="str">
        <x:v>A0785</x:v>
      </x:c>
      <x:c r="B789" s="17" t="str">
        <x:v>C15</x:v>
      </x:c>
      <x:c r="C789" s="17" t="str">
        <x:v>collection</x:v>
      </x:c>
      <x:c r="D789" s="17" t="str">
        <x:v>湛江虚拟回收/检测中心</x:v>
      </x:c>
      <x:c r="E789" s="24" t="n">
        <x:v>110.3548318</x:v>
      </x:c>
      <x:c r="F789" s="24" t="n">
        <x:v>21.2737079</x:v>
      </x:c>
      <x:c r="G789" s="17" t="str">
        <x:v>P07</x:v>
      </x:c>
      <x:c r="H789" s="17" t="str">
        <x:v>echelon</x:v>
      </x:c>
      <x:c r="I789" s="17" t="str">
        <x:v>广东迪度新能源有限公司</x:v>
      </x:c>
      <x:c r="J789" s="24" t="n">
        <x:v>113.7452332</x:v>
      </x:c>
      <x:c r="K789" s="24" t="n">
        <x:v>23.0183568</x:v>
      </x:c>
      <x:c r="L789" s="21" t="n">
        <x:f>6371*ACOS(MIN(1,COS(F789*PI()/180)*COS(K789*PI()/180)*COS((J789-E789)*PI()/180)+SIN(F789*PI()/180)*SIN(K789*PI()/180)))</x:f>
        <x:v>399.42971195966777</x:v>
      </x:c>
      <x:c r="M789" s="21" t="n">
        <x:f>L789*'情景参数模板'!$D$31</x:f>
        <x:v>479.3156543516013</x:v>
      </x:c>
      <x:c r="N789" s="21" t="n">
        <x:f>IF(C789="source",'情景参数模板'!$D$12,IF(H789="echelon",'情景参数模板'!$D$13,'情景参数模板'!$D$14))</x:f>
        <x:v>0.49</x:v>
      </x:c>
      <x:c r="O789" s="21" t="n">
        <x:f>IF(C789="source",'情景参数模板'!$D$18,IF(H789="echelon",'情景参数模板'!$D$19,'情景参数模板'!$D$20))</x:f>
        <x:v>300</x:v>
      </x:c>
      <x:c r="P789" s="17" t="n">
        <x:f>IF(M789&lt;=O789,1,0)</x:f>
        <x:v>0</x:v>
      </x:c>
      <x:c r="Q789" s="17" t="str">
        <x:v>D-road proxy; B-coordinates</x:v>
      </x:c>
    </x:row>
    <x:row r="790">
      <x:c r="A790" s="17" t="str">
        <x:v>A0786</x:v>
      </x:c>
      <x:c r="B790" s="17" t="str">
        <x:v>C15</x:v>
      </x:c>
      <x:c r="C790" s="17" t="str">
        <x:v>collection</x:v>
      </x:c>
      <x:c r="D790" s="17" t="str">
        <x:v>湛江虚拟回收/检测中心</x:v>
      </x:c>
      <x:c r="E790" s="24" t="n">
        <x:v>110.3548318</x:v>
      </x:c>
      <x:c r="F790" s="24" t="n">
        <x:v>21.2737079</x:v>
      </x:c>
      <x:c r="G790" s="17" t="str">
        <x:v>P08</x:v>
      </x:c>
      <x:c r="H790" s="17" t="str">
        <x:v>echelon</x:v>
      </x:c>
      <x:c r="I790" s="17" t="str">
        <x:v>东莞市博森新能源有限公司</x:v>
      </x:c>
      <x:c r="J790" s="24" t="n">
        <x:v>113.7452332</x:v>
      </x:c>
      <x:c r="K790" s="24" t="n">
        <x:v>23.0183568</x:v>
      </x:c>
      <x:c r="L790" s="21" t="n">
        <x:f>6371*ACOS(MIN(1,COS(F790*PI()/180)*COS(K790*PI()/180)*COS((J790-E790)*PI()/180)+SIN(F790*PI()/180)*SIN(K790*PI()/180)))</x:f>
        <x:v>399.42971195966777</x:v>
      </x:c>
      <x:c r="M790" s="21" t="n">
        <x:f>L790*'情景参数模板'!$D$31</x:f>
        <x:v>479.3156543516013</x:v>
      </x:c>
      <x:c r="N790" s="21" t="n">
        <x:f>IF(C790="source",'情景参数模板'!$D$12,IF(H790="echelon",'情景参数模板'!$D$13,'情景参数模板'!$D$14))</x:f>
        <x:v>0.49</x:v>
      </x:c>
      <x:c r="O790" s="21" t="n">
        <x:f>IF(C790="source",'情景参数模板'!$D$18,IF(H790="echelon",'情景参数模板'!$D$19,'情景参数模板'!$D$20))</x:f>
        <x:v>300</x:v>
      </x:c>
      <x:c r="P790" s="17" t="n">
        <x:f>IF(M790&lt;=O790,1,0)</x:f>
        <x:v>0</x:v>
      </x:c>
      <x:c r="Q790" s="17" t="str">
        <x:v>D-road proxy; B-coordinates</x:v>
      </x:c>
    </x:row>
    <x:row r="791">
      <x:c r="A791" s="17" t="str">
        <x:v>A0787</x:v>
      </x:c>
      <x:c r="B791" s="17" t="str">
        <x:v>C15</x:v>
      </x:c>
      <x:c r="C791" s="17" t="str">
        <x:v>collection</x:v>
      </x:c>
      <x:c r="D791" s="17" t="str">
        <x:v>湛江虚拟回收/检测中心</x:v>
      </x:c>
      <x:c r="E791" s="24" t="n">
        <x:v>110.3548318</x:v>
      </x:c>
      <x:c r="F791" s="24" t="n">
        <x:v>21.2737079</x:v>
      </x:c>
      <x:c r="G791" s="17" t="str">
        <x:v>P09</x:v>
      </x:c>
      <x:c r="H791" s="17" t="str">
        <x:v>echelon</x:v>
      </x:c>
      <x:c r="I791" s="17" t="str">
        <x:v>广东宇阳新能源有限公司</x:v>
      </x:c>
      <x:c r="J791" s="24" t="n">
        <x:v>113.7452332</x:v>
      </x:c>
      <x:c r="K791" s="24" t="n">
        <x:v>23.0183568</x:v>
      </x:c>
      <x:c r="L791" s="21" t="n">
        <x:f>6371*ACOS(MIN(1,COS(F791*PI()/180)*COS(K791*PI()/180)*COS((J791-E791)*PI()/180)+SIN(F791*PI()/180)*SIN(K791*PI()/180)))</x:f>
        <x:v>399.42971195966777</x:v>
      </x:c>
      <x:c r="M791" s="21" t="n">
        <x:f>L791*'情景参数模板'!$D$31</x:f>
        <x:v>479.3156543516013</x:v>
      </x:c>
      <x:c r="N791" s="21" t="n">
        <x:f>IF(C791="source",'情景参数模板'!$D$12,IF(H791="echelon",'情景参数模板'!$D$13,'情景参数模板'!$D$14))</x:f>
        <x:v>0.49</x:v>
      </x:c>
      <x:c r="O791" s="21" t="n">
        <x:f>IF(C791="source",'情景参数模板'!$D$18,IF(H791="echelon",'情景参数模板'!$D$19,'情景参数模板'!$D$20))</x:f>
        <x:v>300</x:v>
      </x:c>
      <x:c r="P791" s="17" t="n">
        <x:f>IF(M791&lt;=O791,1,0)</x:f>
        <x:v>0</x:v>
      </x:c>
      <x:c r="Q791" s="17" t="str">
        <x:v>D-road proxy; B-coordinates</x:v>
      </x:c>
    </x:row>
    <x:row r="792">
      <x:c r="A792" s="17" t="str">
        <x:v>A0788</x:v>
      </x:c>
      <x:c r="B792" s="17" t="str">
        <x:v>C15</x:v>
      </x:c>
      <x:c r="C792" s="17" t="str">
        <x:v>collection</x:v>
      </x:c>
      <x:c r="D792" s="17" t="str">
        <x:v>湛江虚拟回收/检测中心</x:v>
      </x:c>
      <x:c r="E792" s="24" t="n">
        <x:v>110.3548318</x:v>
      </x:c>
      <x:c r="F792" s="24" t="n">
        <x:v>21.2737079</x:v>
      </x:c>
      <x:c r="G792" s="17" t="str">
        <x:v>P10</x:v>
      </x:c>
      <x:c r="H792" s="17" t="str">
        <x:v>echelon</x:v>
      </x:c>
      <x:c r="I792" s="17" t="str">
        <x:v>广州广汽商贸再生资源有限公司</x:v>
      </x:c>
      <x:c r="J792" s="24" t="n">
        <x:v>113.2589581</x:v>
      </x:c>
      <x:c r="K792" s="24" t="n">
        <x:v>23.1288429</x:v>
      </x:c>
      <x:c r="L792" s="21" t="n">
        <x:f>6371*ACOS(MIN(1,COS(F792*PI()/180)*COS(K792*PI()/180)*COS((J792-E792)*PI()/180)+SIN(F792*PI()/180)*SIN(K792*PI()/180)))</x:f>
        <x:v>363.2197932210833</x:v>
      </x:c>
      <x:c r="M792" s="21" t="n">
        <x:f>L792*'情景参数模板'!$D$31</x:f>
        <x:v>435.86375186529995</x:v>
      </x:c>
      <x:c r="N792" s="21" t="n">
        <x:f>IF(C792="source",'情景参数模板'!$D$12,IF(H792="echelon",'情景参数模板'!$D$13,'情景参数模板'!$D$14))</x:f>
        <x:v>0.49</x:v>
      </x:c>
      <x:c r="O792" s="21" t="n">
        <x:f>IF(C792="source",'情景参数模板'!$D$18,IF(H792="echelon",'情景参数模板'!$D$19,'情景参数模板'!$D$20))</x:f>
        <x:v>300</x:v>
      </x:c>
      <x:c r="P792" s="17" t="n">
        <x:f>IF(M792&lt;=O792,1,0)</x:f>
        <x:v>0</x:v>
      </x:c>
      <x:c r="Q792" s="17" t="str">
        <x:v>D-road proxy; B-coordinates</x:v>
      </x:c>
    </x:row>
    <x:row r="793">
      <x:c r="A793" s="17" t="str">
        <x:v>A0789</x:v>
      </x:c>
      <x:c r="B793" s="17" t="str">
        <x:v>C15</x:v>
      </x:c>
      <x:c r="C793" s="17" t="str">
        <x:v>collection</x:v>
      </x:c>
      <x:c r="D793" s="17" t="str">
        <x:v>湛江虚拟回收/检测中心</x:v>
      </x:c>
      <x:c r="E793" s="24" t="n">
        <x:v>110.3548318</x:v>
      </x:c>
      <x:c r="F793" s="24" t="n">
        <x:v>21.2737079</x:v>
      </x:c>
      <x:c r="G793" s="17" t="str">
        <x:v>P11</x:v>
      </x:c>
      <x:c r="H793" s="17" t="str">
        <x:v>echelon</x:v>
      </x:c>
      <x:c r="I793" s="17" t="str">
        <x:v>深圳市杰成镍钴新能源科技有限公司</x:v>
      </x:c>
      <x:c r="J793" s="24" t="n">
        <x:v>114.0545429</x:v>
      </x:c>
      <x:c r="K793" s="24" t="n">
        <x:v>22.5445741</x:v>
      </x:c>
      <x:c r="L793" s="21" t="n">
        <x:f>6371*ACOS(MIN(1,COS(F793*PI()/180)*COS(K793*PI()/180)*COS((J793-E793)*PI()/180)+SIN(F793*PI()/180)*SIN(K793*PI()/180)))</x:f>
        <x:v>406.97813815707536</x:v>
      </x:c>
      <x:c r="M793" s="21" t="n">
        <x:f>L793*'情景参数模板'!$D$31</x:f>
        <x:v>488.3737657884904</x:v>
      </x:c>
      <x:c r="N793" s="21" t="n">
        <x:f>IF(C793="source",'情景参数模板'!$D$12,IF(H793="echelon",'情景参数模板'!$D$13,'情景参数模板'!$D$14))</x:f>
        <x:v>0.49</x:v>
      </x:c>
      <x:c r="O793" s="21" t="n">
        <x:f>IF(C793="source",'情景参数模板'!$D$18,IF(H793="echelon",'情景参数模板'!$D$19,'情景参数模板'!$D$20))</x:f>
        <x:v>300</x:v>
      </x:c>
      <x:c r="P793" s="17" t="n">
        <x:f>IF(M793&lt;=O793,1,0)</x:f>
        <x:v>0</x:v>
      </x:c>
      <x:c r="Q793" s="17" t="str">
        <x:v>D-road proxy; B-coordinates</x:v>
      </x:c>
    </x:row>
    <x:row r="794">
      <x:c r="A794" s="17" t="str">
        <x:v>A0790</x:v>
      </x:c>
      <x:c r="B794" s="17" t="str">
        <x:v>C15</x:v>
      </x:c>
      <x:c r="C794" s="17" t="str">
        <x:v>collection</x:v>
      </x:c>
      <x:c r="D794" s="17" t="str">
        <x:v>湛江虚拟回收/检测中心</x:v>
      </x:c>
      <x:c r="E794" s="24" t="n">
        <x:v>110.3548318</x:v>
      </x:c>
      <x:c r="F794" s="24" t="n">
        <x:v>21.2737079</x:v>
      </x:c>
      <x:c r="G794" s="17" t="str">
        <x:v>P12</x:v>
      </x:c>
      <x:c r="H794" s="17" t="str">
        <x:v>recycling</x:v>
      </x:c>
      <x:c r="I794" s="17" t="str">
        <x:v>江门市恒创睿能环保科技有限公司</x:v>
      </x:c>
      <x:c r="J794" s="24" t="n">
        <x:v>113.0761073</x:v>
      </x:c>
      <x:c r="K794" s="24" t="n">
        <x:v>22.5816619</x:v>
      </x:c>
      <x:c r="L794" s="21" t="n">
        <x:f>6371*ACOS(MIN(1,COS(F794*PI()/180)*COS(K794*PI()/180)*COS((J794-E794)*PI()/180)+SIN(F794*PI()/180)*SIN(K794*PI()/180)))</x:f>
        <x:v>316.1300829743287</x:v>
      </x:c>
      <x:c r="M794" s="21" t="n">
        <x:f>L794*'情景参数模板'!$D$31</x:f>
        <x:v>379.3560995691944</x:v>
      </x:c>
      <x:c r="N794" s="21" t="n">
        <x:f>IF(C794="source",'情景参数模板'!$D$12,IF(H794="echelon",'情景参数模板'!$D$13,'情景参数模板'!$D$14))</x:f>
        <x:v>0.49</x:v>
      </x:c>
      <x:c r="O794" s="21" t="n">
        <x:f>IF(C794="source",'情景参数模板'!$D$18,IF(H794="echelon",'情景参数模板'!$D$19,'情景参数模板'!$D$20))</x:f>
        <x:v>400</x:v>
      </x:c>
      <x:c r="P794" s="17" t="n">
        <x:f>IF(M794&lt;=O794,1,0)</x:f>
        <x:v>1</x:v>
      </x:c>
      <x:c r="Q794" s="17" t="str">
        <x:v>D-road proxy; B-coordinates</x:v>
      </x:c>
    </x:row>
    <x:row r="795">
      <x:c r="A795" s="17" t="str">
        <x:v>A0791</x:v>
      </x:c>
      <x:c r="B795" s="17" t="str">
        <x:v>C15</x:v>
      </x:c>
      <x:c r="C795" s="17" t="str">
        <x:v>collection</x:v>
      </x:c>
      <x:c r="D795" s="17" t="str">
        <x:v>湛江虚拟回收/检测中心</x:v>
      </x:c>
      <x:c r="E795" s="24" t="n">
        <x:v>110.3548318</x:v>
      </x:c>
      <x:c r="F795" s="24" t="n">
        <x:v>21.2737079</x:v>
      </x:c>
      <x:c r="G795" s="17" t="str">
        <x:v>P13</x:v>
      </x:c>
      <x:c r="H795" s="17" t="str">
        <x:v>recycling</x:v>
      </x:c>
      <x:c r="I795" s="17" t="str">
        <x:v>广东佳纳能源科技有限公司</x:v>
      </x:c>
      <x:c r="J795" s="24" t="n">
        <x:v>113.0505994</x:v>
      </x:c>
      <x:c r="K795" s="24" t="n">
        <x:v>23.6832984</x:v>
      </x:c>
      <x:c r="L795" s="21" t="n">
        <x:f>6371*ACOS(MIN(1,COS(F795*PI()/180)*COS(K795*PI()/180)*COS((J795-E795)*PI()/180)+SIN(F795*PI()/180)*SIN(K795*PI()/180)))</x:f>
        <x:v>385.34157769899264</x:v>
      </x:c>
      <x:c r="M795" s="21" t="n">
        <x:f>L795*'情景参数模板'!$D$31</x:f>
        <x:v>462.40989323879114</x:v>
      </x:c>
      <x:c r="N795" s="21" t="n">
        <x:f>IF(C795="source",'情景参数模板'!$D$12,IF(H795="echelon",'情景参数模板'!$D$13,'情景参数模板'!$D$14))</x:f>
        <x:v>0.49</x:v>
      </x:c>
      <x:c r="O795" s="21" t="n">
        <x:f>IF(C795="source",'情景参数模板'!$D$18,IF(H795="echelon",'情景参数模板'!$D$19,'情景参数模板'!$D$20))</x:f>
        <x:v>400</x:v>
      </x:c>
      <x:c r="P795" s="17" t="n">
        <x:f>IF(M795&lt;=O795,1,0)</x:f>
        <x:v>0</x:v>
      </x:c>
      <x:c r="Q795" s="17" t="str">
        <x:v>D-road proxy; B-coordinates</x:v>
      </x:c>
    </x:row>
    <x:row r="796">
      <x:c r="A796" s="17" t="str">
        <x:v>A0792</x:v>
      </x:c>
      <x:c r="B796" s="17" t="str">
        <x:v>C15</x:v>
      </x:c>
      <x:c r="C796" s="17" t="str">
        <x:v>collection</x:v>
      </x:c>
      <x:c r="D796" s="17" t="str">
        <x:v>湛江虚拟回收/检测中心</x:v>
      </x:c>
      <x:c r="E796" s="24" t="n">
        <x:v>110.3548318</x:v>
      </x:c>
      <x:c r="F796" s="24" t="n">
        <x:v>21.2737079</x:v>
      </x:c>
      <x:c r="G796" s="17" t="str">
        <x:v>P14</x:v>
      </x:c>
      <x:c r="H796" s="17" t="str">
        <x:v>echelon</x:v>
      </x:c>
      <x:c r="I796" s="17" t="str">
        <x:v>格林美（深圳）循环科技有限公司</x:v>
      </x:c>
      <x:c r="J796" s="24" t="n">
        <x:v>114.0545429</x:v>
      </x:c>
      <x:c r="K796" s="24" t="n">
        <x:v>22.5445741</x:v>
      </x:c>
      <x:c r="L796" s="21" t="n">
        <x:f>6371*ACOS(MIN(1,COS(F796*PI()/180)*COS(K796*PI()/180)*COS((J796-E796)*PI()/180)+SIN(F796*PI()/180)*SIN(K796*PI()/180)))</x:f>
        <x:v>406.97813815707536</x:v>
      </x:c>
      <x:c r="M796" s="21" t="n">
        <x:f>L796*'情景参数模板'!$D$31</x:f>
        <x:v>488.3737657884904</x:v>
      </x:c>
      <x:c r="N796" s="21" t="n">
        <x:f>IF(C796="source",'情景参数模板'!$D$12,IF(H796="echelon",'情景参数模板'!$D$13,'情景参数模板'!$D$14))</x:f>
        <x:v>0.49</x:v>
      </x:c>
      <x:c r="O796" s="21" t="n">
        <x:f>IF(C796="source",'情景参数模板'!$D$18,IF(H796="echelon",'情景参数模板'!$D$19,'情景参数模板'!$D$20))</x:f>
        <x:v>300</x:v>
      </x:c>
      <x:c r="P796" s="17" t="n">
        <x:f>IF(M796&lt;=O796,1,0)</x:f>
        <x:v>0</x:v>
      </x:c>
      <x:c r="Q796" s="17" t="str">
        <x:v>D-road proxy; B-coordinates</x:v>
      </x:c>
    </x:row>
    <x:row r="797">
      <x:c r="A797" s="17" t="str">
        <x:v>A0793</x:v>
      </x:c>
      <x:c r="B797" s="17" t="str">
        <x:v>C15</x:v>
      </x:c>
      <x:c r="C797" s="17" t="str">
        <x:v>collection</x:v>
      </x:c>
      <x:c r="D797" s="17" t="str">
        <x:v>湛江虚拟回收/检测中心</x:v>
      </x:c>
      <x:c r="E797" s="24" t="n">
        <x:v>110.3548318</x:v>
      </x:c>
      <x:c r="F797" s="24" t="n">
        <x:v>21.2737079</x:v>
      </x:c>
      <x:c r="G797" s="17" t="str">
        <x:v>P15</x:v>
      </x:c>
      <x:c r="H797" s="17" t="str">
        <x:v>echelon</x:v>
      </x:c>
      <x:c r="I797" s="17" t="str">
        <x:v>绿循新能源科技（佛山）有限责任公司</x:v>
      </x:c>
      <x:c r="J797" s="24" t="n">
        <x:v>113.1159558</x:v>
      </x:c>
      <x:c r="K797" s="24" t="n">
        <x:v>23.0239788</x:v>
      </x:c>
      <x:c r="L797" s="21" t="n">
        <x:f>6371*ACOS(MIN(1,COS(F797*PI()/180)*COS(K797*PI()/180)*COS((J797-E797)*PI()/180)+SIN(F797*PI()/180)*SIN(K797*PI()/180)))</x:f>
        <x:v>344.5727569641422</x:v>
      </x:c>
      <x:c r="M797" s="21" t="n">
        <x:f>L797*'情景参数模板'!$D$31</x:f>
        <x:v>413.4873083569706</x:v>
      </x:c>
      <x:c r="N797" s="21" t="n">
        <x:f>IF(C797="source",'情景参数模板'!$D$12,IF(H797="echelon",'情景参数模板'!$D$13,'情景参数模板'!$D$14))</x:f>
        <x:v>0.49</x:v>
      </x:c>
      <x:c r="O797" s="21" t="n">
        <x:f>IF(C797="source",'情景参数模板'!$D$18,IF(H797="echelon",'情景参数模板'!$D$19,'情景参数模板'!$D$20))</x:f>
        <x:v>300</x:v>
      </x:c>
      <x:c r="P797" s="17" t="n">
        <x:f>IF(M797&lt;=O797,1,0)</x:f>
        <x:v>0</x:v>
      </x:c>
      <x:c r="Q797" s="17" t="str">
        <x:v>D-road proxy; B-coordinates</x:v>
      </x:c>
    </x:row>
    <x:row r="798">
      <x:c r="A798" s="17" t="str">
        <x:v>A0794</x:v>
      </x:c>
      <x:c r="B798" s="17" t="str">
        <x:v>C15</x:v>
      </x:c>
      <x:c r="C798" s="17" t="str">
        <x:v>collection</x:v>
      </x:c>
      <x:c r="D798" s="17" t="str">
        <x:v>湛江虚拟回收/检测中心</x:v>
      </x:c>
      <x:c r="E798" s="24" t="n">
        <x:v>110.3548318</x:v>
      </x:c>
      <x:c r="F798" s="24" t="n">
        <x:v>21.2737079</x:v>
      </x:c>
      <x:c r="G798" s="17" t="str">
        <x:v>P16</x:v>
      </x:c>
      <x:c r="H798" s="17" t="str">
        <x:v>echelon</x:v>
      </x:c>
      <x:c r="I798" s="17" t="str">
        <x:v>深圳艾云动智慧科技有限公司</x:v>
      </x:c>
      <x:c r="J798" s="24" t="n">
        <x:v>114.0545429</x:v>
      </x:c>
      <x:c r="K798" s="24" t="n">
        <x:v>22.5445741</x:v>
      </x:c>
      <x:c r="L798" s="21" t="n">
        <x:f>6371*ACOS(MIN(1,COS(F798*PI()/180)*COS(K798*PI()/180)*COS((J798-E798)*PI()/180)+SIN(F798*PI()/180)*SIN(K798*PI()/180)))</x:f>
        <x:v>406.97813815707536</x:v>
      </x:c>
      <x:c r="M798" s="21" t="n">
        <x:f>L798*'情景参数模板'!$D$31</x:f>
        <x:v>488.3737657884904</x:v>
      </x:c>
      <x:c r="N798" s="21" t="n">
        <x:f>IF(C798="source",'情景参数模板'!$D$12,IF(H798="echelon",'情景参数模板'!$D$13,'情景参数模板'!$D$14))</x:f>
        <x:v>0.49</x:v>
      </x:c>
      <x:c r="O798" s="21" t="n">
        <x:f>IF(C798="source",'情景参数模板'!$D$18,IF(H798="echelon",'情景参数模板'!$D$19,'情景参数模板'!$D$20))</x:f>
        <x:v>300</x:v>
      </x:c>
      <x:c r="P798" s="17" t="n">
        <x:f>IF(M798&lt;=O798,1,0)</x:f>
        <x:v>0</x:v>
      </x:c>
      <x:c r="Q798" s="17" t="str">
        <x:v>D-road proxy; B-coordinates</x:v>
      </x:c>
    </x:row>
    <x:row r="799">
      <x:c r="A799" s="17" t="str">
        <x:v>A0795</x:v>
      </x:c>
      <x:c r="B799" s="17" t="str">
        <x:v>C15</x:v>
      </x:c>
      <x:c r="C799" s="17" t="str">
        <x:v>collection</x:v>
      </x:c>
      <x:c r="D799" s="17" t="str">
        <x:v>湛江虚拟回收/检测中心</x:v>
      </x:c>
      <x:c r="E799" s="24" t="n">
        <x:v>110.3548318</x:v>
      </x:c>
      <x:c r="F799" s="24" t="n">
        <x:v>21.2737079</x:v>
      </x:c>
      <x:c r="G799" s="17" t="str">
        <x:v>P17</x:v>
      </x:c>
      <x:c r="H799" s="17" t="str">
        <x:v>echelon</x:v>
      </x:c>
      <x:c r="I799" s="17" t="str">
        <x:v>深圳市荣高晟新能源科技有限公司</x:v>
      </x:c>
      <x:c r="J799" s="24" t="n">
        <x:v>114.0545429</x:v>
      </x:c>
      <x:c r="K799" s="24" t="n">
        <x:v>22.5445741</x:v>
      </x:c>
      <x:c r="L799" s="21" t="n">
        <x:f>6371*ACOS(MIN(1,COS(F799*PI()/180)*COS(K799*PI()/180)*COS((J799-E799)*PI()/180)+SIN(F799*PI()/180)*SIN(K799*PI()/180)))</x:f>
        <x:v>406.97813815707536</x:v>
      </x:c>
      <x:c r="M799" s="21" t="n">
        <x:f>L799*'情景参数模板'!$D$31</x:f>
        <x:v>488.3737657884904</x:v>
      </x:c>
      <x:c r="N799" s="21" t="n">
        <x:f>IF(C799="source",'情景参数模板'!$D$12,IF(H799="echelon",'情景参数模板'!$D$13,'情景参数模板'!$D$14))</x:f>
        <x:v>0.49</x:v>
      </x:c>
      <x:c r="O799" s="21" t="n">
        <x:f>IF(C799="source",'情景参数模板'!$D$18,IF(H799="echelon",'情景参数模板'!$D$19,'情景参数模板'!$D$20))</x:f>
        <x:v>300</x:v>
      </x:c>
      <x:c r="P799" s="17" t="n">
        <x:f>IF(M799&lt;=O799,1,0)</x:f>
        <x:v>0</x:v>
      </x:c>
      <x:c r="Q799" s="17" t="str">
        <x:v>D-road proxy; B-coordinates</x:v>
      </x:c>
    </x:row>
    <x:row r="800">
      <x:c r="A800" s="17" t="str">
        <x:v>A0796</x:v>
      </x:c>
      <x:c r="B800" s="17" t="str">
        <x:v>C15</x:v>
      </x:c>
      <x:c r="C800" s="17" t="str">
        <x:v>collection</x:v>
      </x:c>
      <x:c r="D800" s="17" t="str">
        <x:v>湛江虚拟回收/检测中心</x:v>
      </x:c>
      <x:c r="E800" s="24" t="n">
        <x:v>110.3548318</x:v>
      </x:c>
      <x:c r="F800" s="24" t="n">
        <x:v>21.2737079</x:v>
      </x:c>
      <x:c r="G800" s="17" t="str">
        <x:v>P18</x:v>
      </x:c>
      <x:c r="H800" s="17" t="str">
        <x:v>echelon</x:v>
      </x:c>
      <x:c r="I800" s="17" t="str">
        <x:v>中商锂新能源科技（惠州）有限公司</x:v>
      </x:c>
      <x:c r="J800" s="24" t="n">
        <x:v>114.4127007</x:v>
      </x:c>
      <x:c r="K800" s="24" t="n">
        <x:v>23.1125153</x:v>
      </x:c>
      <x:c r="L800" s="21" t="n">
        <x:f>6371*ACOS(MIN(1,COS(F800*PI()/180)*COS(K800*PI()/180)*COS((J800-E800)*PI()/180)+SIN(F800*PI()/180)*SIN(K800*PI()/180)))</x:f>
        <x:v>465.101265453624</x:v>
      </x:c>
      <x:c r="M800" s="21" t="n">
        <x:f>L800*'情景参数模板'!$D$31</x:f>
        <x:v>558.1215185443488</x:v>
      </x:c>
      <x:c r="N800" s="21" t="n">
        <x:f>IF(C800="source",'情景参数模板'!$D$12,IF(H800="echelon",'情景参数模板'!$D$13,'情景参数模板'!$D$14))</x:f>
        <x:v>0.49</x:v>
      </x:c>
      <x:c r="O800" s="21" t="n">
        <x:f>IF(C800="source",'情景参数模板'!$D$18,IF(H800="echelon",'情景参数模板'!$D$19,'情景参数模板'!$D$20))</x:f>
        <x:v>300</x:v>
      </x:c>
      <x:c r="P800" s="17" t="n">
        <x:f>IF(M800&lt;=O800,1,0)</x:f>
        <x:v>0</x:v>
      </x:c>
      <x:c r="Q800" s="17" t="str">
        <x:v>D-road proxy; B-coordinates</x:v>
      </x:c>
    </x:row>
    <x:row r="801">
      <x:c r="A801" s="17" t="str">
        <x:v>A0797</x:v>
      </x:c>
      <x:c r="B801" s="17" t="str">
        <x:v>C15</x:v>
      </x:c>
      <x:c r="C801" s="17" t="str">
        <x:v>collection</x:v>
      </x:c>
      <x:c r="D801" s="17" t="str">
        <x:v>湛江虚拟回收/检测中心</x:v>
      </x:c>
      <x:c r="E801" s="24" t="n">
        <x:v>110.3548318</x:v>
      </x:c>
      <x:c r="F801" s="24" t="n">
        <x:v>21.2737079</x:v>
      </x:c>
      <x:c r="G801" s="17" t="str">
        <x:v>P19</x:v>
      </x:c>
      <x:c r="H801" s="17" t="str">
        <x:v>recycling</x:v>
      </x:c>
      <x:c r="I801" s="17" t="str">
        <x:v>广东盛祥新材料科技有限公司</x:v>
      </x:c>
      <x:c r="J801" s="24" t="n">
        <x:v>113.8155263</x:v>
      </x:c>
      <x:c r="K801" s="24" t="n">
        <x:v>24.8309489</x:v>
      </x:c>
      <x:c r="L801" s="21" t="n">
        <x:f>6371*ACOS(MIN(1,COS(F801*PI()/180)*COS(K801*PI()/180)*COS((J801-E801)*PI()/180)+SIN(F801*PI()/180)*SIN(K801*PI()/180)))</x:f>
        <x:v>530.815118988391</x:v>
      </x:c>
      <x:c r="M801" s="21" t="n">
        <x:f>L801*'情景参数模板'!$D$31</x:f>
        <x:v>636.9781427860692</x:v>
      </x:c>
      <x:c r="N801" s="21" t="n">
        <x:f>IF(C801="source",'情景参数模板'!$D$12,IF(H801="echelon",'情景参数模板'!$D$13,'情景参数模板'!$D$14))</x:f>
        <x:v>0.49</x:v>
      </x:c>
      <x:c r="O801" s="21" t="n">
        <x:f>IF(C801="source",'情景参数模板'!$D$18,IF(H801="echelon",'情景参数模板'!$D$19,'情景参数模板'!$D$20))</x:f>
        <x:v>400</x:v>
      </x:c>
      <x:c r="P801" s="17" t="n">
        <x:f>IF(M801&lt;=O801,1,0)</x:f>
        <x:v>0</x:v>
      </x:c>
      <x:c r="Q801" s="17" t="str">
        <x:v>D-road proxy; B-coordinates</x:v>
      </x:c>
    </x:row>
    <x:row r="802">
      <x:c r="A802" s="17" t="str">
        <x:v>A0798</x:v>
      </x:c>
      <x:c r="B802" s="17" t="str">
        <x:v>C15</x:v>
      </x:c>
      <x:c r="C802" s="17" t="str">
        <x:v>collection</x:v>
      </x:c>
      <x:c r="D802" s="17" t="str">
        <x:v>湛江虚拟回收/检测中心</x:v>
      </x:c>
      <x:c r="E802" s="24" t="n">
        <x:v>110.3548318</x:v>
      </x:c>
      <x:c r="F802" s="24" t="n">
        <x:v>21.2737079</x:v>
      </x:c>
      <x:c r="G802" s="17" t="str">
        <x:v>P20E</x:v>
      </x:c>
      <x:c r="H802" s="17" t="str">
        <x:v>echelon</x:v>
      </x:c>
      <x:c r="I802" s="17" t="str">
        <x:v>广东金晟新能源股份有限公司（梯次功能）</x:v>
      </x:c>
      <x:c r="J802" s="24" t="n">
        <x:v>112.4603629</x:v>
      </x:c>
      <x:c r="K802" s="24" t="n">
        <x:v>23.0501661</x:v>
      </x:c>
      <x:c r="L802" s="21" t="n">
        <x:f>6371*ACOS(MIN(1,COS(F802*PI()/180)*COS(K802*PI()/180)*COS((J802-E802)*PI()/180)+SIN(F802*PI()/180)*SIN(K802*PI()/180)))</x:f>
        <x:v>293.3038557955491</x:v>
      </x:c>
      <x:c r="M802" s="21" t="n">
        <x:f>L802*'情景参数模板'!$D$31</x:f>
        <x:v>351.9646269546589</x:v>
      </x:c>
      <x:c r="N802" s="21" t="n">
        <x:f>IF(C802="source",'情景参数模板'!$D$12,IF(H802="echelon",'情景参数模板'!$D$13,'情景参数模板'!$D$14))</x:f>
        <x:v>0.49</x:v>
      </x:c>
      <x:c r="O802" s="21" t="n">
        <x:f>IF(C802="source",'情景参数模板'!$D$18,IF(H802="echelon",'情景参数模板'!$D$19,'情景参数模板'!$D$20))</x:f>
        <x:v>300</x:v>
      </x:c>
      <x:c r="P802" s="17" t="n">
        <x:f>IF(M802&lt;=O802,1,0)</x:f>
        <x:v>0</x:v>
      </x:c>
      <x:c r="Q802" s="17" t="str">
        <x:v>D-road proxy; B-coordinates</x:v>
      </x:c>
    </x:row>
    <x:row r="803">
      <x:c r="A803" s="17" t="str">
        <x:v>A0799</x:v>
      </x:c>
      <x:c r="B803" s="17" t="str">
        <x:v>C15</x:v>
      </x:c>
      <x:c r="C803" s="17" t="str">
        <x:v>collection</x:v>
      </x:c>
      <x:c r="D803" s="17" t="str">
        <x:v>湛江虚拟回收/检测中心</x:v>
      </x:c>
      <x:c r="E803" s="24" t="n">
        <x:v>110.3548318</x:v>
      </x:c>
      <x:c r="F803" s="24" t="n">
        <x:v>21.2737079</x:v>
      </x:c>
      <x:c r="G803" s="17" t="str">
        <x:v>P20R</x:v>
      </x:c>
      <x:c r="H803" s="17" t="str">
        <x:v>recycling</x:v>
      </x:c>
      <x:c r="I803" s="17" t="str">
        <x:v>广东金晟新能源股份有限公司（再生功能）</x:v>
      </x:c>
      <x:c r="J803" s="24" t="n">
        <x:v>112.4603629</x:v>
      </x:c>
      <x:c r="K803" s="24" t="n">
        <x:v>23.0501661</x:v>
      </x:c>
      <x:c r="L803" s="21" t="n">
        <x:f>6371*ACOS(MIN(1,COS(F803*PI()/180)*COS(K803*PI()/180)*COS((J803-E803)*PI()/180)+SIN(F803*PI()/180)*SIN(K803*PI()/180)))</x:f>
        <x:v>293.3038557955491</x:v>
      </x:c>
      <x:c r="M803" s="21" t="n">
        <x:f>L803*'情景参数模板'!$D$31</x:f>
        <x:v>351.9646269546589</x:v>
      </x:c>
      <x:c r="N803" s="21" t="n">
        <x:f>IF(C803="source",'情景参数模板'!$D$12,IF(H803="echelon",'情景参数模板'!$D$13,'情景参数模板'!$D$14))</x:f>
        <x:v>0.49</x:v>
      </x:c>
      <x:c r="O803" s="21" t="n">
        <x:f>IF(C803="source",'情景参数模板'!$D$18,IF(H803="echelon",'情景参数模板'!$D$19,'情景参数模板'!$D$20))</x:f>
        <x:v>400</x:v>
      </x:c>
      <x:c r="P803" s="17" t="n">
        <x:f>IF(M803&lt;=O803,1,0)</x:f>
        <x:v>1</x:v>
      </x:c>
      <x:c r="Q803" s="17" t="str">
        <x:v>D-road proxy; B-coordinates</x:v>
      </x:c>
    </x:row>
    <x:row r="804">
      <x:c r="A804" s="17" t="str">
        <x:v>A0800</x:v>
      </x:c>
      <x:c r="B804" s="17" t="str">
        <x:v>C15</x:v>
      </x:c>
      <x:c r="C804" s="17" t="str">
        <x:v>collection</x:v>
      </x:c>
      <x:c r="D804" s="17" t="str">
        <x:v>湛江虚拟回收/检测中心</x:v>
      </x:c>
      <x:c r="E804" s="24" t="n">
        <x:v>110.3548318</x:v>
      </x:c>
      <x:c r="F804" s="24" t="n">
        <x:v>21.2737079</x:v>
      </x:c>
      <x:c r="G804" s="17" t="str">
        <x:v>P21E</x:v>
      </x:c>
      <x:c r="H804" s="17" t="str">
        <x:v>echelon</x:v>
      </x:c>
      <x:c r="I804" s="17" t="str">
        <x:v>广东瑞科美电源技术有限公司（梯次功能）</x:v>
      </x:c>
      <x:c r="J804" s="24" t="n">
        <x:v>113.1159558</x:v>
      </x:c>
      <x:c r="K804" s="24" t="n">
        <x:v>23.0239788</x:v>
      </x:c>
      <x:c r="L804" s="21" t="n">
        <x:f>6371*ACOS(MIN(1,COS(F804*PI()/180)*COS(K804*PI()/180)*COS((J804-E804)*PI()/180)+SIN(F804*PI()/180)*SIN(K804*PI()/180)))</x:f>
        <x:v>344.5727569641422</x:v>
      </x:c>
      <x:c r="M804" s="21" t="n">
        <x:f>L804*'情景参数模板'!$D$31</x:f>
        <x:v>413.4873083569706</x:v>
      </x:c>
      <x:c r="N804" s="21" t="n">
        <x:f>IF(C804="source",'情景参数模板'!$D$12,IF(H804="echelon",'情景参数模板'!$D$13,'情景参数模板'!$D$14))</x:f>
        <x:v>0.49</x:v>
      </x:c>
      <x:c r="O804" s="21" t="n">
        <x:f>IF(C804="source",'情景参数模板'!$D$18,IF(H804="echelon",'情景参数模板'!$D$19,'情景参数模板'!$D$20))</x:f>
        <x:v>300</x:v>
      </x:c>
      <x:c r="P804" s="17" t="n">
        <x:f>IF(M804&lt;=O804,1,0)</x:f>
        <x:v>0</x:v>
      </x:c>
      <x:c r="Q804" s="17" t="str">
        <x:v>D-road proxy; B-coordinates</x:v>
      </x:c>
    </x:row>
    <x:row r="805">
      <x:c r="A805" s="17" t="str">
        <x:v>A0801</x:v>
      </x:c>
      <x:c r="B805" s="17" t="str">
        <x:v>C15</x:v>
      </x:c>
      <x:c r="C805" s="17" t="str">
        <x:v>collection</x:v>
      </x:c>
      <x:c r="D805" s="17" t="str">
        <x:v>湛江虚拟回收/检测中心</x:v>
      </x:c>
      <x:c r="E805" s="24" t="n">
        <x:v>110.3548318</x:v>
      </x:c>
      <x:c r="F805" s="24" t="n">
        <x:v>21.2737079</x:v>
      </x:c>
      <x:c r="G805" s="17" t="str">
        <x:v>P21R</x:v>
      </x:c>
      <x:c r="H805" s="17" t="str">
        <x:v>recycling</x:v>
      </x:c>
      <x:c r="I805" s="17" t="str">
        <x:v>广东瑞科美电源技术有限公司（再生功能）</x:v>
      </x:c>
      <x:c r="J805" s="24" t="n">
        <x:v>113.1159558</x:v>
      </x:c>
      <x:c r="K805" s="24" t="n">
        <x:v>23.0239788</x:v>
      </x:c>
      <x:c r="L805" s="21" t="n">
        <x:f>6371*ACOS(MIN(1,COS(F805*PI()/180)*COS(K805*PI()/180)*COS((J805-E805)*PI()/180)+SIN(F805*PI()/180)*SIN(K805*PI()/180)))</x:f>
        <x:v>344.5727569641422</x:v>
      </x:c>
      <x:c r="M805" s="21" t="n">
        <x:f>L805*'情景参数模板'!$D$31</x:f>
        <x:v>413.4873083569706</x:v>
      </x:c>
      <x:c r="N805" s="21" t="n">
        <x:f>IF(C805="source",'情景参数模板'!$D$12,IF(H805="echelon",'情景参数模板'!$D$13,'情景参数模板'!$D$14))</x:f>
        <x:v>0.49</x:v>
      </x:c>
      <x:c r="O805" s="21" t="n">
        <x:f>IF(C805="source",'情景参数模板'!$D$18,IF(H805="echelon",'情景参数模板'!$D$19,'情景参数模板'!$D$20))</x:f>
        <x:v>400</x:v>
      </x:c>
      <x:c r="P805" s="17" t="n">
        <x:f>IF(M805&lt;=O805,1,0)</x:f>
        <x:v>0</x:v>
      </x:c>
      <x:c r="Q805" s="17" t="str">
        <x:v>D-road proxy; B-coordinates</x:v>
      </x:c>
    </x:row>
    <x:row r="806">
      <x:c r="A806" s="17" t="str">
        <x:v>A0802</x:v>
      </x:c>
      <x:c r="B806" s="17" t="str">
        <x:v>C16</x:v>
      </x:c>
      <x:c r="C806" s="17" t="str">
        <x:v>collection</x:v>
      </x:c>
      <x:c r="D806" s="17" t="str">
        <x:v>茂名虚拟回收/检测中心</x:v>
      </x:c>
      <x:c r="E806" s="24" t="n">
        <x:v>110.9209511</x:v>
      </x:c>
      <x:c r="F806" s="24" t="n">
        <x:v>21.6656961</x:v>
      </x:c>
      <x:c r="G806" s="17" t="str">
        <x:v>P01</x:v>
      </x:c>
      <x:c r="H806" s="17" t="str">
        <x:v>recycling</x:v>
      </x:c>
      <x:c r="I806" s="17" t="str">
        <x:v>汕尾比亚迪废旧动力电池回收项目</x:v>
      </x:c>
      <x:c r="J806" s="24" t="n">
        <x:v>115.3492668</x:v>
      </x:c>
      <x:c r="K806" s="24" t="n">
        <x:v>22.838065</x:v>
      </x:c>
      <x:c r="L806" s="21" t="n">
        <x:f>6371*ACOS(MIN(1,COS(F806*PI()/180)*COS(K806*PI()/180)*COS((J806-E806)*PI()/180)+SIN(F806*PI()/180)*SIN(K806*PI()/180)))</x:f>
        <x:v>473.98682700950883</x:v>
      </x:c>
      <x:c r="M806" s="21" t="n">
        <x:f>L806*'情景参数模板'!$D$31</x:f>
        <x:v>568.7841924114106</x:v>
      </x:c>
      <x:c r="N806" s="21" t="n">
        <x:f>IF(C806="source",'情景参数模板'!$D$12,IF(H806="echelon",'情景参数模板'!$D$13,'情景参数模板'!$D$14))</x:f>
        <x:v>0.49</x:v>
      </x:c>
      <x:c r="O806" s="21" t="n">
        <x:f>IF(C806="source",'情景参数模板'!$D$18,IF(H806="echelon",'情景参数模板'!$D$19,'情景参数模板'!$D$20))</x:f>
        <x:v>400</x:v>
      </x:c>
      <x:c r="P806" s="17" t="n">
        <x:f>IF(M806&lt;=O806,1,0)</x:f>
        <x:v>0</x:v>
      </x:c>
      <x:c r="Q806" s="17" t="str">
        <x:v>D-road proxy; B-coordinates</x:v>
      </x:c>
    </x:row>
    <x:row r="807">
      <x:c r="A807" s="17" t="str">
        <x:v>A0803</x:v>
      </x:c>
      <x:c r="B807" s="17" t="str">
        <x:v>C16</x:v>
      </x:c>
      <x:c r="C807" s="17" t="str">
        <x:v>collection</x:v>
      </x:c>
      <x:c r="D807" s="17" t="str">
        <x:v>茂名虚拟回收/检测中心</x:v>
      </x:c>
      <x:c r="E807" s="24" t="n">
        <x:v>110.9209511</x:v>
      </x:c>
      <x:c r="F807" s="24" t="n">
        <x:v>21.6656961</x:v>
      </x:c>
      <x:c r="G807" s="17" t="str">
        <x:v>P02E</x:v>
      </x:c>
      <x:c r="H807" s="17" t="str">
        <x:v>echelon</x:v>
      </x:c>
      <x:c r="I807" s="17" t="str">
        <x:v>广东光华科技股份有限公司（梯次功能）</x:v>
      </x:c>
      <x:c r="J807" s="24" t="n">
        <x:v>116.6775856</x:v>
      </x:c>
      <x:c r="K807" s="24" t="n">
        <x:v>23.3563921</x:v>
      </x:c>
      <x:c r="L807" s="21" t="n">
        <x:f>6371*ACOS(MIN(1,COS(F807*PI()/180)*COS(K807*PI()/180)*COS((J807-E807)*PI()/180)+SIN(F807*PI()/180)*SIN(K807*PI()/180)))</x:f>
        <x:v>620.4348566157764</x:v>
      </x:c>
      <x:c r="M807" s="21" t="n">
        <x:f>L807*'情景参数模板'!$D$31</x:f>
        <x:v>744.5218279389317</x:v>
      </x:c>
      <x:c r="N807" s="21" t="n">
        <x:f>IF(C807="source",'情景参数模板'!$D$12,IF(H807="echelon",'情景参数模板'!$D$13,'情景参数模板'!$D$14))</x:f>
        <x:v>0.49</x:v>
      </x:c>
      <x:c r="O807" s="21" t="n">
        <x:f>IF(C807="source",'情景参数模板'!$D$18,IF(H807="echelon",'情景参数模板'!$D$19,'情景参数模板'!$D$20))</x:f>
        <x:v>300</x:v>
      </x:c>
      <x:c r="P807" s="17" t="n">
        <x:f>IF(M807&lt;=O807,1,0)</x:f>
        <x:v>0</x:v>
      </x:c>
      <x:c r="Q807" s="17" t="str">
        <x:v>D-road proxy; B-coordinates</x:v>
      </x:c>
    </x:row>
    <x:row r="808">
      <x:c r="A808" s="17" t="str">
        <x:v>A0804</x:v>
      </x:c>
      <x:c r="B808" s="17" t="str">
        <x:v>C16</x:v>
      </x:c>
      <x:c r="C808" s="17" t="str">
        <x:v>collection</x:v>
      </x:c>
      <x:c r="D808" s="17" t="str">
        <x:v>茂名虚拟回收/检测中心</x:v>
      </x:c>
      <x:c r="E808" s="24" t="n">
        <x:v>110.9209511</x:v>
      </x:c>
      <x:c r="F808" s="24" t="n">
        <x:v>21.6656961</x:v>
      </x:c>
      <x:c r="G808" s="17" t="str">
        <x:v>P02R</x:v>
      </x:c>
      <x:c r="H808" s="17" t="str">
        <x:v>recycling</x:v>
      </x:c>
      <x:c r="I808" s="17" t="str">
        <x:v>广东光华科技股份有限公司（再生功能）</x:v>
      </x:c>
      <x:c r="J808" s="24" t="n">
        <x:v>116.6775856</x:v>
      </x:c>
      <x:c r="K808" s="24" t="n">
        <x:v>23.3563921</x:v>
      </x:c>
      <x:c r="L808" s="21" t="n">
        <x:f>6371*ACOS(MIN(1,COS(F808*PI()/180)*COS(K808*PI()/180)*COS((J808-E808)*PI()/180)+SIN(F808*PI()/180)*SIN(K808*PI()/180)))</x:f>
        <x:v>620.4348566157764</x:v>
      </x:c>
      <x:c r="M808" s="21" t="n">
        <x:f>L808*'情景参数模板'!$D$31</x:f>
        <x:v>744.5218279389317</x:v>
      </x:c>
      <x:c r="N808" s="21" t="n">
        <x:f>IF(C808="source",'情景参数模板'!$D$12,IF(H808="echelon",'情景参数模板'!$D$13,'情景参数模板'!$D$14))</x:f>
        <x:v>0.49</x:v>
      </x:c>
      <x:c r="O808" s="21" t="n">
        <x:f>IF(C808="source",'情景参数模板'!$D$18,IF(H808="echelon",'情景参数模板'!$D$19,'情景参数模板'!$D$20))</x:f>
        <x:v>400</x:v>
      </x:c>
      <x:c r="P808" s="17" t="n">
        <x:f>IF(M808&lt;=O808,1,0)</x:f>
        <x:v>0</x:v>
      </x:c>
      <x:c r="Q808" s="17" t="str">
        <x:v>D-road proxy; B-coordinates</x:v>
      </x:c>
    </x:row>
    <x:row r="809">
      <x:c r="A809" s="17" t="str">
        <x:v>A0805</x:v>
      </x:c>
      <x:c r="B809" s="17" t="str">
        <x:v>C16</x:v>
      </x:c>
      <x:c r="C809" s="17" t="str">
        <x:v>collection</x:v>
      </x:c>
      <x:c r="D809" s="17" t="str">
        <x:v>茂名虚拟回收/检测中心</x:v>
      </x:c>
      <x:c r="E809" s="24" t="n">
        <x:v>110.9209511</x:v>
      </x:c>
      <x:c r="F809" s="24" t="n">
        <x:v>21.6656961</x:v>
      </x:c>
      <x:c r="G809" s="17" t="str">
        <x:v>P03</x:v>
      </x:c>
      <x:c r="H809" s="17" t="str">
        <x:v>echelon</x:v>
      </x:c>
      <x:c r="I809" s="17" t="str">
        <x:v>深圳深汕特别合作区乾泰技术有限公司</x:v>
      </x:c>
      <x:c r="J809" s="24" t="n">
        <x:v>115.5099937</x:v>
      </x:c>
      <x:c r="K809" s="24" t="n">
        <x:v>23.0123639</x:v>
      </x:c>
      <x:c r="L809" s="21" t="n">
        <x:f>6371*ACOS(MIN(1,COS(F809*PI()/180)*COS(K809*PI()/180)*COS((J809-E809)*PI()/180)+SIN(F809*PI()/180)*SIN(K809*PI()/180)))</x:f>
        <x:v>495.1338872559812</x:v>
      </x:c>
      <x:c r="M809" s="21" t="n">
        <x:f>L809*'情景参数模板'!$D$31</x:f>
        <x:v>594.1606647071775</x:v>
      </x:c>
      <x:c r="N809" s="21" t="n">
        <x:f>IF(C809="source",'情景参数模板'!$D$12,IF(H809="echelon",'情景参数模板'!$D$13,'情景参数模板'!$D$14))</x:f>
        <x:v>0.49</x:v>
      </x:c>
      <x:c r="O809" s="21" t="n">
        <x:f>IF(C809="source",'情景参数模板'!$D$18,IF(H809="echelon",'情景参数模板'!$D$19,'情景参数模板'!$D$20))</x:f>
        <x:v>300</x:v>
      </x:c>
      <x:c r="P809" s="17" t="n">
        <x:f>IF(M809&lt;=O809,1,0)</x:f>
        <x:v>0</x:v>
      </x:c>
      <x:c r="Q809" s="17" t="str">
        <x:v>D-road proxy; B-coordinates</x:v>
      </x:c>
    </x:row>
    <x:row r="810">
      <x:c r="A810" s="17" t="str">
        <x:v>A0806</x:v>
      </x:c>
      <x:c r="B810" s="17" t="str">
        <x:v>C16</x:v>
      </x:c>
      <x:c r="C810" s="17" t="str">
        <x:v>collection</x:v>
      </x:c>
      <x:c r="D810" s="17" t="str">
        <x:v>茂名虚拟回收/检测中心</x:v>
      </x:c>
      <x:c r="E810" s="24" t="n">
        <x:v>110.9209511</x:v>
      </x:c>
      <x:c r="F810" s="24" t="n">
        <x:v>21.6656961</x:v>
      </x:c>
      <x:c r="G810" s="17" t="str">
        <x:v>P04</x:v>
      </x:c>
      <x:c r="H810" s="17" t="str">
        <x:v>echelon</x:v>
      </x:c>
      <x:c r="I810" s="17" t="str">
        <x:v>珠海中力新能源科技有限公司</x:v>
      </x:c>
      <x:c r="J810" s="24" t="n">
        <x:v>113.5721327</x:v>
      </x:c>
      <x:c r="K810" s="24" t="n">
        <x:v>22.273734</x:v>
      </x:c>
      <x:c r="L810" s="21" t="n">
        <x:f>6371*ACOS(MIN(1,COS(F810*PI()/180)*COS(K810*PI()/180)*COS((J810-E810)*PI()/180)+SIN(F810*PI()/180)*SIN(K810*PI()/180)))</x:f>
        <x:v>281.6212285375003</x:v>
      </x:c>
      <x:c r="M810" s="21" t="n">
        <x:f>L810*'情景参数模板'!$D$31</x:f>
        <x:v>337.94547424500036</x:v>
      </x:c>
      <x:c r="N810" s="21" t="n">
        <x:f>IF(C810="source",'情景参数模板'!$D$12,IF(H810="echelon",'情景参数模板'!$D$13,'情景参数模板'!$D$14))</x:f>
        <x:v>0.49</x:v>
      </x:c>
      <x:c r="O810" s="21" t="n">
        <x:f>IF(C810="source",'情景参数模板'!$D$18,IF(H810="echelon",'情景参数模板'!$D$19,'情景参数模板'!$D$20))</x:f>
        <x:v>300</x:v>
      </x:c>
      <x:c r="P810" s="17" t="n">
        <x:f>IF(M810&lt;=O810,1,0)</x:f>
        <x:v>0</x:v>
      </x:c>
      <x:c r="Q810" s="17" t="str">
        <x:v>D-road proxy; B-coordinates</x:v>
      </x:c>
    </x:row>
    <x:row r="811">
      <x:c r="A811" s="17" t="str">
        <x:v>A0807</x:v>
      </x:c>
      <x:c r="B811" s="17" t="str">
        <x:v>C16</x:v>
      </x:c>
      <x:c r="C811" s="17" t="str">
        <x:v>collection</x:v>
      </x:c>
      <x:c r="D811" s="17" t="str">
        <x:v>茂名虚拟回收/检测中心</x:v>
      </x:c>
      <x:c r="E811" s="24" t="n">
        <x:v>110.9209511</x:v>
      </x:c>
      <x:c r="F811" s="24" t="n">
        <x:v>21.6656961</x:v>
      </x:c>
      <x:c r="G811" s="17" t="str">
        <x:v>P05</x:v>
      </x:c>
      <x:c r="H811" s="17" t="str">
        <x:v>echelon</x:v>
      </x:c>
      <x:c r="I811" s="17" t="str">
        <x:v>惠州市恒创睿能环保科技有限公司</x:v>
      </x:c>
      <x:c r="J811" s="24" t="n">
        <x:v>114.4127007</x:v>
      </x:c>
      <x:c r="K811" s="24" t="n">
        <x:v>23.1125153</x:v>
      </x:c>
      <x:c r="L811" s="21" t="n">
        <x:f>6371*ACOS(MIN(1,COS(F811*PI()/180)*COS(K811*PI()/180)*COS((J811-E811)*PI()/180)+SIN(F811*PI()/180)*SIN(K811*PI()/180)))</x:f>
        <x:v>393.3759625308256</x:v>
      </x:c>
      <x:c r="M811" s="21" t="n">
        <x:f>L811*'情景参数模板'!$D$31</x:f>
        <x:v>472.0511550369907</x:v>
      </x:c>
      <x:c r="N811" s="21" t="n">
        <x:f>IF(C811="source",'情景参数模板'!$D$12,IF(H811="echelon",'情景参数模板'!$D$13,'情景参数模板'!$D$14))</x:f>
        <x:v>0.49</x:v>
      </x:c>
      <x:c r="O811" s="21" t="n">
        <x:f>IF(C811="source",'情景参数模板'!$D$18,IF(H811="echelon",'情景参数模板'!$D$19,'情景参数模板'!$D$20))</x:f>
        <x:v>300</x:v>
      </x:c>
      <x:c r="P811" s="17" t="n">
        <x:f>IF(M811&lt;=O811,1,0)</x:f>
        <x:v>0</x:v>
      </x:c>
      <x:c r="Q811" s="17" t="str">
        <x:v>D-road proxy; B-coordinates</x:v>
      </x:c>
    </x:row>
    <x:row r="812">
      <x:c r="A812" s="17" t="str">
        <x:v>A0808</x:v>
      </x:c>
      <x:c r="B812" s="17" t="str">
        <x:v>C16</x:v>
      </x:c>
      <x:c r="C812" s="17" t="str">
        <x:v>collection</x:v>
      </x:c>
      <x:c r="D812" s="17" t="str">
        <x:v>茂名虚拟回收/检测中心</x:v>
      </x:c>
      <x:c r="E812" s="24" t="n">
        <x:v>110.9209511</x:v>
      </x:c>
      <x:c r="F812" s="24" t="n">
        <x:v>21.6656961</x:v>
      </x:c>
      <x:c r="G812" s="17" t="str">
        <x:v>P06</x:v>
      </x:c>
      <x:c r="H812" s="17" t="str">
        <x:v>echelon</x:v>
      </x:c>
      <x:c r="I812" s="17" t="str">
        <x:v>江门市朗达锂电池有限公司</x:v>
      </x:c>
      <x:c r="J812" s="24" t="n">
        <x:v>113.0761073</x:v>
      </x:c>
      <x:c r="K812" s="24" t="n">
        <x:v>22.5816619</x:v>
      </x:c>
      <x:c r="L812" s="21" t="n">
        <x:f>6371*ACOS(MIN(1,COS(F812*PI()/180)*COS(K812*PI()/180)*COS((J812-E812)*PI()/180)+SIN(F812*PI()/180)*SIN(K812*PI()/180)))</x:f>
        <x:v>244.2425541235698</x:v>
      </x:c>
      <x:c r="M812" s="21" t="n">
        <x:f>L812*'情景参数模板'!$D$31</x:f>
        <x:v>293.09106494828376</x:v>
      </x:c>
      <x:c r="N812" s="21" t="n">
        <x:f>IF(C812="source",'情景参数模板'!$D$12,IF(H812="echelon",'情景参数模板'!$D$13,'情景参数模板'!$D$14))</x:f>
        <x:v>0.49</x:v>
      </x:c>
      <x:c r="O812" s="21" t="n">
        <x:f>IF(C812="source",'情景参数模板'!$D$18,IF(H812="echelon",'情景参数模板'!$D$19,'情景参数模板'!$D$20))</x:f>
        <x:v>300</x:v>
      </x:c>
      <x:c r="P812" s="17" t="n">
        <x:f>IF(M812&lt;=O812,1,0)</x:f>
        <x:v>1</x:v>
      </x:c>
      <x:c r="Q812" s="17" t="str">
        <x:v>D-road proxy; B-coordinates</x:v>
      </x:c>
    </x:row>
    <x:row r="813">
      <x:c r="A813" s="17" t="str">
        <x:v>A0809</x:v>
      </x:c>
      <x:c r="B813" s="17" t="str">
        <x:v>C16</x:v>
      </x:c>
      <x:c r="C813" s="17" t="str">
        <x:v>collection</x:v>
      </x:c>
      <x:c r="D813" s="17" t="str">
        <x:v>茂名虚拟回收/检测中心</x:v>
      </x:c>
      <x:c r="E813" s="24" t="n">
        <x:v>110.9209511</x:v>
      </x:c>
      <x:c r="F813" s="24" t="n">
        <x:v>21.6656961</x:v>
      </x:c>
      <x:c r="G813" s="17" t="str">
        <x:v>P07</x:v>
      </x:c>
      <x:c r="H813" s="17" t="str">
        <x:v>echelon</x:v>
      </x:c>
      <x:c r="I813" s="17" t="str">
        <x:v>广东迪度新能源有限公司</x:v>
      </x:c>
      <x:c r="J813" s="24" t="n">
        <x:v>113.7452332</x:v>
      </x:c>
      <x:c r="K813" s="24" t="n">
        <x:v>23.0183568</x:v>
      </x:c>
      <x:c r="L813" s="21" t="n">
        <x:f>6371*ACOS(MIN(1,COS(F813*PI()/180)*COS(K813*PI()/180)*COS((J813-E813)*PI()/180)+SIN(F813*PI()/180)*SIN(K813*PI()/180)))</x:f>
        <x:v>327.0898464197607</x:v>
      </x:c>
      <x:c r="M813" s="21" t="n">
        <x:f>L813*'情景参数模板'!$D$31</x:f>
        <x:v>392.5078157037128</x:v>
      </x:c>
      <x:c r="N813" s="21" t="n">
        <x:f>IF(C813="source",'情景参数模板'!$D$12,IF(H813="echelon",'情景参数模板'!$D$13,'情景参数模板'!$D$14))</x:f>
        <x:v>0.49</x:v>
      </x:c>
      <x:c r="O813" s="21" t="n">
        <x:f>IF(C813="source",'情景参数模板'!$D$18,IF(H813="echelon",'情景参数模板'!$D$19,'情景参数模板'!$D$20))</x:f>
        <x:v>300</x:v>
      </x:c>
      <x:c r="P813" s="17" t="n">
        <x:f>IF(M813&lt;=O813,1,0)</x:f>
        <x:v>0</x:v>
      </x:c>
      <x:c r="Q813" s="17" t="str">
        <x:v>D-road proxy; B-coordinates</x:v>
      </x:c>
    </x:row>
    <x:row r="814">
      <x:c r="A814" s="17" t="str">
        <x:v>A0810</x:v>
      </x:c>
      <x:c r="B814" s="17" t="str">
        <x:v>C16</x:v>
      </x:c>
      <x:c r="C814" s="17" t="str">
        <x:v>collection</x:v>
      </x:c>
      <x:c r="D814" s="17" t="str">
        <x:v>茂名虚拟回收/检测中心</x:v>
      </x:c>
      <x:c r="E814" s="24" t="n">
        <x:v>110.9209511</x:v>
      </x:c>
      <x:c r="F814" s="24" t="n">
        <x:v>21.6656961</x:v>
      </x:c>
      <x:c r="G814" s="17" t="str">
        <x:v>P08</x:v>
      </x:c>
      <x:c r="H814" s="17" t="str">
        <x:v>echelon</x:v>
      </x:c>
      <x:c r="I814" s="17" t="str">
        <x:v>东莞市博森新能源有限公司</x:v>
      </x:c>
      <x:c r="J814" s="24" t="n">
        <x:v>113.7452332</x:v>
      </x:c>
      <x:c r="K814" s="24" t="n">
        <x:v>23.0183568</x:v>
      </x:c>
      <x:c r="L814" s="21" t="n">
        <x:f>6371*ACOS(MIN(1,COS(F814*PI()/180)*COS(K814*PI()/180)*COS((J814-E814)*PI()/180)+SIN(F814*PI()/180)*SIN(K814*PI()/180)))</x:f>
        <x:v>327.0898464197607</x:v>
      </x:c>
      <x:c r="M814" s="21" t="n">
        <x:f>L814*'情景参数模板'!$D$31</x:f>
        <x:v>392.5078157037128</x:v>
      </x:c>
      <x:c r="N814" s="21" t="n">
        <x:f>IF(C814="source",'情景参数模板'!$D$12,IF(H814="echelon",'情景参数模板'!$D$13,'情景参数模板'!$D$14))</x:f>
        <x:v>0.49</x:v>
      </x:c>
      <x:c r="O814" s="21" t="n">
        <x:f>IF(C814="source",'情景参数模板'!$D$18,IF(H814="echelon",'情景参数模板'!$D$19,'情景参数模板'!$D$20))</x:f>
        <x:v>300</x:v>
      </x:c>
      <x:c r="P814" s="17" t="n">
        <x:f>IF(M814&lt;=O814,1,0)</x:f>
        <x:v>0</x:v>
      </x:c>
      <x:c r="Q814" s="17" t="str">
        <x:v>D-road proxy; B-coordinates</x:v>
      </x:c>
    </x:row>
    <x:row r="815">
      <x:c r="A815" s="17" t="str">
        <x:v>A0811</x:v>
      </x:c>
      <x:c r="B815" s="17" t="str">
        <x:v>C16</x:v>
      </x:c>
      <x:c r="C815" s="17" t="str">
        <x:v>collection</x:v>
      </x:c>
      <x:c r="D815" s="17" t="str">
        <x:v>茂名虚拟回收/检测中心</x:v>
      </x:c>
      <x:c r="E815" s="24" t="n">
        <x:v>110.9209511</x:v>
      </x:c>
      <x:c r="F815" s="24" t="n">
        <x:v>21.6656961</x:v>
      </x:c>
      <x:c r="G815" s="17" t="str">
        <x:v>P09</x:v>
      </x:c>
      <x:c r="H815" s="17" t="str">
        <x:v>echelon</x:v>
      </x:c>
      <x:c r="I815" s="17" t="str">
        <x:v>广东宇阳新能源有限公司</x:v>
      </x:c>
      <x:c r="J815" s="24" t="n">
        <x:v>113.7452332</x:v>
      </x:c>
      <x:c r="K815" s="24" t="n">
        <x:v>23.0183568</x:v>
      </x:c>
      <x:c r="L815" s="21" t="n">
        <x:f>6371*ACOS(MIN(1,COS(F815*PI()/180)*COS(K815*PI()/180)*COS((J815-E815)*PI()/180)+SIN(F815*PI()/180)*SIN(K815*PI()/180)))</x:f>
        <x:v>327.0898464197607</x:v>
      </x:c>
      <x:c r="M815" s="21" t="n">
        <x:f>L815*'情景参数模板'!$D$31</x:f>
        <x:v>392.5078157037128</x:v>
      </x:c>
      <x:c r="N815" s="21" t="n">
        <x:f>IF(C815="source",'情景参数模板'!$D$12,IF(H815="echelon",'情景参数模板'!$D$13,'情景参数模板'!$D$14))</x:f>
        <x:v>0.49</x:v>
      </x:c>
      <x:c r="O815" s="21" t="n">
        <x:f>IF(C815="source",'情景参数模板'!$D$18,IF(H815="echelon",'情景参数模板'!$D$19,'情景参数模板'!$D$20))</x:f>
        <x:v>300</x:v>
      </x:c>
      <x:c r="P815" s="17" t="n">
        <x:f>IF(M815&lt;=O815,1,0)</x:f>
        <x:v>0</x:v>
      </x:c>
      <x:c r="Q815" s="17" t="str">
        <x:v>D-road proxy; B-coordinates</x:v>
      </x:c>
    </x:row>
    <x:row r="816">
      <x:c r="A816" s="17" t="str">
        <x:v>A0812</x:v>
      </x:c>
      <x:c r="B816" s="17" t="str">
        <x:v>C16</x:v>
      </x:c>
      <x:c r="C816" s="17" t="str">
        <x:v>collection</x:v>
      </x:c>
      <x:c r="D816" s="17" t="str">
        <x:v>茂名虚拟回收/检测中心</x:v>
      </x:c>
      <x:c r="E816" s="24" t="n">
        <x:v>110.9209511</x:v>
      </x:c>
      <x:c r="F816" s="24" t="n">
        <x:v>21.6656961</x:v>
      </x:c>
      <x:c r="G816" s="17" t="str">
        <x:v>P10</x:v>
      </x:c>
      <x:c r="H816" s="17" t="str">
        <x:v>echelon</x:v>
      </x:c>
      <x:c r="I816" s="17" t="str">
        <x:v>广州广汽商贸再生资源有限公司</x:v>
      </x:c>
      <x:c r="J816" s="24" t="n">
        <x:v>113.2589581</x:v>
      </x:c>
      <x:c r="K816" s="24" t="n">
        <x:v>23.1288429</x:v>
      </x:c>
      <x:c r="L816" s="21" t="n">
        <x:f>6371*ACOS(MIN(1,COS(F816*PI()/180)*COS(K816*PI()/180)*COS((J816-E816)*PI()/180)+SIN(F816*PI()/180)*SIN(K816*PI()/180)))</x:f>
        <x:v>290.23788677814406</x:v>
      </x:c>
      <x:c r="M816" s="21" t="n">
        <x:f>L816*'情景参数模板'!$D$31</x:f>
        <x:v>348.28546413377285</x:v>
      </x:c>
      <x:c r="N816" s="21" t="n">
        <x:f>IF(C816="source",'情景参数模板'!$D$12,IF(H816="echelon",'情景参数模板'!$D$13,'情景参数模板'!$D$14))</x:f>
        <x:v>0.49</x:v>
      </x:c>
      <x:c r="O816" s="21" t="n">
        <x:f>IF(C816="source",'情景参数模板'!$D$18,IF(H816="echelon",'情景参数模板'!$D$19,'情景参数模板'!$D$20))</x:f>
        <x:v>300</x:v>
      </x:c>
      <x:c r="P816" s="17" t="n">
        <x:f>IF(M816&lt;=O816,1,0)</x:f>
        <x:v>0</x:v>
      </x:c>
      <x:c r="Q816" s="17" t="str">
        <x:v>D-road proxy; B-coordinates</x:v>
      </x:c>
    </x:row>
    <x:row r="817">
      <x:c r="A817" s="17" t="str">
        <x:v>A0813</x:v>
      </x:c>
      <x:c r="B817" s="17" t="str">
        <x:v>C16</x:v>
      </x:c>
      <x:c r="C817" s="17" t="str">
        <x:v>collection</x:v>
      </x:c>
      <x:c r="D817" s="17" t="str">
        <x:v>茂名虚拟回收/检测中心</x:v>
      </x:c>
      <x:c r="E817" s="24" t="n">
        <x:v>110.9209511</x:v>
      </x:c>
      <x:c r="F817" s="24" t="n">
        <x:v>21.6656961</x:v>
      </x:c>
      <x:c r="G817" s="17" t="str">
        <x:v>P11</x:v>
      </x:c>
      <x:c r="H817" s="17" t="str">
        <x:v>echelon</x:v>
      </x:c>
      <x:c r="I817" s="17" t="str">
        <x:v>深圳市杰成镍钴新能源科技有限公司</x:v>
      </x:c>
      <x:c r="J817" s="24" t="n">
        <x:v>114.0545429</x:v>
      </x:c>
      <x:c r="K817" s="24" t="n">
        <x:v>22.5445741</x:v>
      </x:c>
      <x:c r="L817" s="21" t="n">
        <x:f>6371*ACOS(MIN(1,COS(F817*PI()/180)*COS(K817*PI()/180)*COS((J817-E817)*PI()/180)+SIN(F817*PI()/180)*SIN(K817*PI()/180)))</x:f>
        <x:v>337.2852485873363</x:v>
      </x:c>
      <x:c r="M817" s="21" t="n">
        <x:f>L817*'情景参数模板'!$D$31</x:f>
        <x:v>404.74229830480357</x:v>
      </x:c>
      <x:c r="N817" s="21" t="n">
        <x:f>IF(C817="source",'情景参数模板'!$D$12,IF(H817="echelon",'情景参数模板'!$D$13,'情景参数模板'!$D$14))</x:f>
        <x:v>0.49</x:v>
      </x:c>
      <x:c r="O817" s="21" t="n">
        <x:f>IF(C817="source",'情景参数模板'!$D$18,IF(H817="echelon",'情景参数模板'!$D$19,'情景参数模板'!$D$20))</x:f>
        <x:v>300</x:v>
      </x:c>
      <x:c r="P817" s="17" t="n">
        <x:f>IF(M817&lt;=O817,1,0)</x:f>
        <x:v>0</x:v>
      </x:c>
      <x:c r="Q817" s="17" t="str">
        <x:v>D-road proxy; B-coordinates</x:v>
      </x:c>
    </x:row>
    <x:row r="818">
      <x:c r="A818" s="17" t="str">
        <x:v>A0814</x:v>
      </x:c>
      <x:c r="B818" s="17" t="str">
        <x:v>C16</x:v>
      </x:c>
      <x:c r="C818" s="17" t="str">
        <x:v>collection</x:v>
      </x:c>
      <x:c r="D818" s="17" t="str">
        <x:v>茂名虚拟回收/检测中心</x:v>
      </x:c>
      <x:c r="E818" s="24" t="n">
        <x:v>110.9209511</x:v>
      </x:c>
      <x:c r="F818" s="24" t="n">
        <x:v>21.6656961</x:v>
      </x:c>
      <x:c r="G818" s="17" t="str">
        <x:v>P12</x:v>
      </x:c>
      <x:c r="H818" s="17" t="str">
        <x:v>recycling</x:v>
      </x:c>
      <x:c r="I818" s="17" t="str">
        <x:v>江门市恒创睿能环保科技有限公司</x:v>
      </x:c>
      <x:c r="J818" s="24" t="n">
        <x:v>113.0761073</x:v>
      </x:c>
      <x:c r="K818" s="24" t="n">
        <x:v>22.5816619</x:v>
      </x:c>
      <x:c r="L818" s="21" t="n">
        <x:f>6371*ACOS(MIN(1,COS(F818*PI()/180)*COS(K818*PI()/180)*COS((J818-E818)*PI()/180)+SIN(F818*PI()/180)*SIN(K818*PI()/180)))</x:f>
        <x:v>244.2425541235698</x:v>
      </x:c>
      <x:c r="M818" s="21" t="n">
        <x:f>L818*'情景参数模板'!$D$31</x:f>
        <x:v>293.09106494828376</x:v>
      </x:c>
      <x:c r="N818" s="21" t="n">
        <x:f>IF(C818="source",'情景参数模板'!$D$12,IF(H818="echelon",'情景参数模板'!$D$13,'情景参数模板'!$D$14))</x:f>
        <x:v>0.49</x:v>
      </x:c>
      <x:c r="O818" s="21" t="n">
        <x:f>IF(C818="source",'情景参数模板'!$D$18,IF(H818="echelon",'情景参数模板'!$D$19,'情景参数模板'!$D$20))</x:f>
        <x:v>400</x:v>
      </x:c>
      <x:c r="P818" s="17" t="n">
        <x:f>IF(M818&lt;=O818,1,0)</x:f>
        <x:v>1</x:v>
      </x:c>
      <x:c r="Q818" s="17" t="str">
        <x:v>D-road proxy; B-coordinates</x:v>
      </x:c>
    </x:row>
    <x:row r="819">
      <x:c r="A819" s="17" t="str">
        <x:v>A0815</x:v>
      </x:c>
      <x:c r="B819" s="17" t="str">
        <x:v>C16</x:v>
      </x:c>
      <x:c r="C819" s="17" t="str">
        <x:v>collection</x:v>
      </x:c>
      <x:c r="D819" s="17" t="str">
        <x:v>茂名虚拟回收/检测中心</x:v>
      </x:c>
      <x:c r="E819" s="24" t="n">
        <x:v>110.9209511</x:v>
      </x:c>
      <x:c r="F819" s="24" t="n">
        <x:v>21.6656961</x:v>
      </x:c>
      <x:c r="G819" s="17" t="str">
        <x:v>P13</x:v>
      </x:c>
      <x:c r="H819" s="17" t="str">
        <x:v>recycling</x:v>
      </x:c>
      <x:c r="I819" s="17" t="str">
        <x:v>广东佳纳能源科技有限公司</x:v>
      </x:c>
      <x:c r="J819" s="24" t="n">
        <x:v>113.0505994</x:v>
      </x:c>
      <x:c r="K819" s="24" t="n">
        <x:v>23.6832984</x:v>
      </x:c>
      <x:c r="L819" s="21" t="n">
        <x:f>6371*ACOS(MIN(1,COS(F819*PI()/180)*COS(K819*PI()/180)*COS((J819-E819)*PI()/180)+SIN(F819*PI()/180)*SIN(K819*PI()/180)))</x:f>
        <x:v>313.15649752256786</x:v>
      </x:c>
      <x:c r="M819" s="21" t="n">
        <x:f>L819*'情景参数模板'!$D$31</x:f>
        <x:v>375.7877970270814</x:v>
      </x:c>
      <x:c r="N819" s="21" t="n">
        <x:f>IF(C819="source",'情景参数模板'!$D$12,IF(H819="echelon",'情景参数模板'!$D$13,'情景参数模板'!$D$14))</x:f>
        <x:v>0.49</x:v>
      </x:c>
      <x:c r="O819" s="21" t="n">
        <x:f>IF(C819="source",'情景参数模板'!$D$18,IF(H819="echelon",'情景参数模板'!$D$19,'情景参数模板'!$D$20))</x:f>
        <x:v>400</x:v>
      </x:c>
      <x:c r="P819" s="17" t="n">
        <x:f>IF(M819&lt;=O819,1,0)</x:f>
        <x:v>1</x:v>
      </x:c>
      <x:c r="Q819" s="17" t="str">
        <x:v>D-road proxy; B-coordinates</x:v>
      </x:c>
    </x:row>
    <x:row r="820">
      <x:c r="A820" s="17" t="str">
        <x:v>A0816</x:v>
      </x:c>
      <x:c r="B820" s="17" t="str">
        <x:v>C16</x:v>
      </x:c>
      <x:c r="C820" s="17" t="str">
        <x:v>collection</x:v>
      </x:c>
      <x:c r="D820" s="17" t="str">
        <x:v>茂名虚拟回收/检测中心</x:v>
      </x:c>
      <x:c r="E820" s="24" t="n">
        <x:v>110.9209511</x:v>
      </x:c>
      <x:c r="F820" s="24" t="n">
        <x:v>21.6656961</x:v>
      </x:c>
      <x:c r="G820" s="17" t="str">
        <x:v>P14</x:v>
      </x:c>
      <x:c r="H820" s="17" t="str">
        <x:v>echelon</x:v>
      </x:c>
      <x:c r="I820" s="17" t="str">
        <x:v>格林美（深圳）循环科技有限公司</x:v>
      </x:c>
      <x:c r="J820" s="24" t="n">
        <x:v>114.0545429</x:v>
      </x:c>
      <x:c r="K820" s="24" t="n">
        <x:v>22.5445741</x:v>
      </x:c>
      <x:c r="L820" s="21" t="n">
        <x:f>6371*ACOS(MIN(1,COS(F820*PI()/180)*COS(K820*PI()/180)*COS((J820-E820)*PI()/180)+SIN(F820*PI()/180)*SIN(K820*PI()/180)))</x:f>
        <x:v>337.2852485873363</x:v>
      </x:c>
      <x:c r="M820" s="21" t="n">
        <x:f>L820*'情景参数模板'!$D$31</x:f>
        <x:v>404.74229830480357</x:v>
      </x:c>
      <x:c r="N820" s="21" t="n">
        <x:f>IF(C820="source",'情景参数模板'!$D$12,IF(H820="echelon",'情景参数模板'!$D$13,'情景参数模板'!$D$14))</x:f>
        <x:v>0.49</x:v>
      </x:c>
      <x:c r="O820" s="21" t="n">
        <x:f>IF(C820="source",'情景参数模板'!$D$18,IF(H820="echelon",'情景参数模板'!$D$19,'情景参数模板'!$D$20))</x:f>
        <x:v>300</x:v>
      </x:c>
      <x:c r="P820" s="17" t="n">
        <x:f>IF(M820&lt;=O820,1,0)</x:f>
        <x:v>0</x:v>
      </x:c>
      <x:c r="Q820" s="17" t="str">
        <x:v>D-road proxy; B-coordinates</x:v>
      </x:c>
    </x:row>
    <x:row r="821">
      <x:c r="A821" s="17" t="str">
        <x:v>A0817</x:v>
      </x:c>
      <x:c r="B821" s="17" t="str">
        <x:v>C16</x:v>
      </x:c>
      <x:c r="C821" s="17" t="str">
        <x:v>collection</x:v>
      </x:c>
      <x:c r="D821" s="17" t="str">
        <x:v>茂名虚拟回收/检测中心</x:v>
      </x:c>
      <x:c r="E821" s="24" t="n">
        <x:v>110.9209511</x:v>
      </x:c>
      <x:c r="F821" s="24" t="n">
        <x:v>21.6656961</x:v>
      </x:c>
      <x:c r="G821" s="17" t="str">
        <x:v>P15</x:v>
      </x:c>
      <x:c r="H821" s="17" t="str">
        <x:v>echelon</x:v>
      </x:c>
      <x:c r="I821" s="17" t="str">
        <x:v>绿循新能源科技（佛山）有限责任公司</x:v>
      </x:c>
      <x:c r="J821" s="24" t="n">
        <x:v>113.1159558</x:v>
      </x:c>
      <x:c r="K821" s="24" t="n">
        <x:v>23.0239788</x:v>
      </x:c>
      <x:c r="L821" s="21" t="n">
        <x:f>6371*ACOS(MIN(1,COS(F821*PI()/180)*COS(K821*PI()/180)*COS((J821-E821)*PI()/180)+SIN(F821*PI()/180)*SIN(K821*PI()/180)))</x:f>
        <x:v>271.60321814176973</x:v>
      </x:c>
      <x:c r="M821" s="21" t="n">
        <x:f>L821*'情景参数模板'!$D$31</x:f>
        <x:v>325.92386177012366</x:v>
      </x:c>
      <x:c r="N821" s="21" t="n">
        <x:f>IF(C821="source",'情景参数模板'!$D$12,IF(H821="echelon",'情景参数模板'!$D$13,'情景参数模板'!$D$14))</x:f>
        <x:v>0.49</x:v>
      </x:c>
      <x:c r="O821" s="21" t="n">
        <x:f>IF(C821="source",'情景参数模板'!$D$18,IF(H821="echelon",'情景参数模板'!$D$19,'情景参数模板'!$D$20))</x:f>
        <x:v>300</x:v>
      </x:c>
      <x:c r="P821" s="17" t="n">
        <x:f>IF(M821&lt;=O821,1,0)</x:f>
        <x:v>0</x:v>
      </x:c>
      <x:c r="Q821" s="17" t="str">
        <x:v>D-road proxy; B-coordinates</x:v>
      </x:c>
    </x:row>
    <x:row r="822">
      <x:c r="A822" s="17" t="str">
        <x:v>A0818</x:v>
      </x:c>
      <x:c r="B822" s="17" t="str">
        <x:v>C16</x:v>
      </x:c>
      <x:c r="C822" s="17" t="str">
        <x:v>collection</x:v>
      </x:c>
      <x:c r="D822" s="17" t="str">
        <x:v>茂名虚拟回收/检测中心</x:v>
      </x:c>
      <x:c r="E822" s="24" t="n">
        <x:v>110.9209511</x:v>
      </x:c>
      <x:c r="F822" s="24" t="n">
        <x:v>21.6656961</x:v>
      </x:c>
      <x:c r="G822" s="17" t="str">
        <x:v>P16</x:v>
      </x:c>
      <x:c r="H822" s="17" t="str">
        <x:v>echelon</x:v>
      </x:c>
      <x:c r="I822" s="17" t="str">
        <x:v>深圳艾云动智慧科技有限公司</x:v>
      </x:c>
      <x:c r="J822" s="24" t="n">
        <x:v>114.0545429</x:v>
      </x:c>
      <x:c r="K822" s="24" t="n">
        <x:v>22.5445741</x:v>
      </x:c>
      <x:c r="L822" s="21" t="n">
        <x:f>6371*ACOS(MIN(1,COS(F822*PI()/180)*COS(K822*PI()/180)*COS((J822-E822)*PI()/180)+SIN(F822*PI()/180)*SIN(K822*PI()/180)))</x:f>
        <x:v>337.2852485873363</x:v>
      </x:c>
      <x:c r="M822" s="21" t="n">
        <x:f>L822*'情景参数模板'!$D$31</x:f>
        <x:v>404.74229830480357</x:v>
      </x:c>
      <x:c r="N822" s="21" t="n">
        <x:f>IF(C822="source",'情景参数模板'!$D$12,IF(H822="echelon",'情景参数模板'!$D$13,'情景参数模板'!$D$14))</x:f>
        <x:v>0.49</x:v>
      </x:c>
      <x:c r="O822" s="21" t="n">
        <x:f>IF(C822="source",'情景参数模板'!$D$18,IF(H822="echelon",'情景参数模板'!$D$19,'情景参数模板'!$D$20))</x:f>
        <x:v>300</x:v>
      </x:c>
      <x:c r="P822" s="17" t="n">
        <x:f>IF(M822&lt;=O822,1,0)</x:f>
        <x:v>0</x:v>
      </x:c>
      <x:c r="Q822" s="17" t="str">
        <x:v>D-road proxy; B-coordinates</x:v>
      </x:c>
    </x:row>
    <x:row r="823">
      <x:c r="A823" s="17" t="str">
        <x:v>A0819</x:v>
      </x:c>
      <x:c r="B823" s="17" t="str">
        <x:v>C16</x:v>
      </x:c>
      <x:c r="C823" s="17" t="str">
        <x:v>collection</x:v>
      </x:c>
      <x:c r="D823" s="17" t="str">
        <x:v>茂名虚拟回收/检测中心</x:v>
      </x:c>
      <x:c r="E823" s="24" t="n">
        <x:v>110.9209511</x:v>
      </x:c>
      <x:c r="F823" s="24" t="n">
        <x:v>21.6656961</x:v>
      </x:c>
      <x:c r="G823" s="17" t="str">
        <x:v>P17</x:v>
      </x:c>
      <x:c r="H823" s="17" t="str">
        <x:v>echelon</x:v>
      </x:c>
      <x:c r="I823" s="17" t="str">
        <x:v>深圳市荣高晟新能源科技有限公司</x:v>
      </x:c>
      <x:c r="J823" s="24" t="n">
        <x:v>114.0545429</x:v>
      </x:c>
      <x:c r="K823" s="24" t="n">
        <x:v>22.5445741</x:v>
      </x:c>
      <x:c r="L823" s="21" t="n">
        <x:f>6371*ACOS(MIN(1,COS(F823*PI()/180)*COS(K823*PI()/180)*COS((J823-E823)*PI()/180)+SIN(F823*PI()/180)*SIN(K823*PI()/180)))</x:f>
        <x:v>337.2852485873363</x:v>
      </x:c>
      <x:c r="M823" s="21" t="n">
        <x:f>L823*'情景参数模板'!$D$31</x:f>
        <x:v>404.74229830480357</x:v>
      </x:c>
      <x:c r="N823" s="21" t="n">
        <x:f>IF(C823="source",'情景参数模板'!$D$12,IF(H823="echelon",'情景参数模板'!$D$13,'情景参数模板'!$D$14))</x:f>
        <x:v>0.49</x:v>
      </x:c>
      <x:c r="O823" s="21" t="n">
        <x:f>IF(C823="source",'情景参数模板'!$D$18,IF(H823="echelon",'情景参数模板'!$D$19,'情景参数模板'!$D$20))</x:f>
        <x:v>300</x:v>
      </x:c>
      <x:c r="P823" s="17" t="n">
        <x:f>IF(M823&lt;=O823,1,0)</x:f>
        <x:v>0</x:v>
      </x:c>
      <x:c r="Q823" s="17" t="str">
        <x:v>D-road proxy; B-coordinates</x:v>
      </x:c>
    </x:row>
    <x:row r="824">
      <x:c r="A824" s="17" t="str">
        <x:v>A0820</x:v>
      </x:c>
      <x:c r="B824" s="17" t="str">
        <x:v>C16</x:v>
      </x:c>
      <x:c r="C824" s="17" t="str">
        <x:v>collection</x:v>
      </x:c>
      <x:c r="D824" s="17" t="str">
        <x:v>茂名虚拟回收/检测中心</x:v>
      </x:c>
      <x:c r="E824" s="24" t="n">
        <x:v>110.9209511</x:v>
      </x:c>
      <x:c r="F824" s="24" t="n">
        <x:v>21.6656961</x:v>
      </x:c>
      <x:c r="G824" s="17" t="str">
        <x:v>P18</x:v>
      </x:c>
      <x:c r="H824" s="17" t="str">
        <x:v>echelon</x:v>
      </x:c>
      <x:c r="I824" s="17" t="str">
        <x:v>中商锂新能源科技（惠州）有限公司</x:v>
      </x:c>
      <x:c r="J824" s="24" t="n">
        <x:v>114.4127007</x:v>
      </x:c>
      <x:c r="K824" s="24" t="n">
        <x:v>23.1125153</x:v>
      </x:c>
      <x:c r="L824" s="21" t="n">
        <x:f>6371*ACOS(MIN(1,COS(F824*PI()/180)*COS(K824*PI()/180)*COS((J824-E824)*PI()/180)+SIN(F824*PI()/180)*SIN(K824*PI()/180)))</x:f>
        <x:v>393.3759625308256</x:v>
      </x:c>
      <x:c r="M824" s="21" t="n">
        <x:f>L824*'情景参数模板'!$D$31</x:f>
        <x:v>472.0511550369907</x:v>
      </x:c>
      <x:c r="N824" s="21" t="n">
        <x:f>IF(C824="source",'情景参数模板'!$D$12,IF(H824="echelon",'情景参数模板'!$D$13,'情景参数模板'!$D$14))</x:f>
        <x:v>0.49</x:v>
      </x:c>
      <x:c r="O824" s="21" t="n">
        <x:f>IF(C824="source",'情景参数模板'!$D$18,IF(H824="echelon",'情景参数模板'!$D$19,'情景参数模板'!$D$20))</x:f>
        <x:v>300</x:v>
      </x:c>
      <x:c r="P824" s="17" t="n">
        <x:f>IF(M824&lt;=O824,1,0)</x:f>
        <x:v>0</x:v>
      </x:c>
      <x:c r="Q824" s="17" t="str">
        <x:v>D-road proxy; B-coordinates</x:v>
      </x:c>
    </x:row>
    <x:row r="825">
      <x:c r="A825" s="17" t="str">
        <x:v>A0821</x:v>
      </x:c>
      <x:c r="B825" s="17" t="str">
        <x:v>C16</x:v>
      </x:c>
      <x:c r="C825" s="17" t="str">
        <x:v>collection</x:v>
      </x:c>
      <x:c r="D825" s="17" t="str">
        <x:v>茂名虚拟回收/检测中心</x:v>
      </x:c>
      <x:c r="E825" s="24" t="n">
        <x:v>110.9209511</x:v>
      </x:c>
      <x:c r="F825" s="24" t="n">
        <x:v>21.6656961</x:v>
      </x:c>
      <x:c r="G825" s="17" t="str">
        <x:v>P19</x:v>
      </x:c>
      <x:c r="H825" s="17" t="str">
        <x:v>recycling</x:v>
      </x:c>
      <x:c r="I825" s="17" t="str">
        <x:v>广东盛祥新材料科技有限公司</x:v>
      </x:c>
      <x:c r="J825" s="24" t="n">
        <x:v>113.8155263</x:v>
      </x:c>
      <x:c r="K825" s="24" t="n">
        <x:v>24.8309489</x:v>
      </x:c>
      <x:c r="L825" s="21" t="n">
        <x:f>6371*ACOS(MIN(1,COS(F825*PI()/180)*COS(K825*PI()/180)*COS((J825-E825)*PI()/180)+SIN(F825*PI()/180)*SIN(K825*PI()/180)))</x:f>
        <x:v>459.66654172601613</x:v>
      </x:c>
      <x:c r="M825" s="21" t="n">
        <x:f>L825*'情景参数模板'!$D$31</x:f>
        <x:v>551.5998500712193</x:v>
      </x:c>
      <x:c r="N825" s="21" t="n">
        <x:f>IF(C825="source",'情景参数模板'!$D$12,IF(H825="echelon",'情景参数模板'!$D$13,'情景参数模板'!$D$14))</x:f>
        <x:v>0.49</x:v>
      </x:c>
      <x:c r="O825" s="21" t="n">
        <x:f>IF(C825="source",'情景参数模板'!$D$18,IF(H825="echelon",'情景参数模板'!$D$19,'情景参数模板'!$D$20))</x:f>
        <x:v>400</x:v>
      </x:c>
      <x:c r="P825" s="17" t="n">
        <x:f>IF(M825&lt;=O825,1,0)</x:f>
        <x:v>0</x:v>
      </x:c>
      <x:c r="Q825" s="17" t="str">
        <x:v>D-road proxy; B-coordinates</x:v>
      </x:c>
    </x:row>
    <x:row r="826">
      <x:c r="A826" s="17" t="str">
        <x:v>A0822</x:v>
      </x:c>
      <x:c r="B826" s="17" t="str">
        <x:v>C16</x:v>
      </x:c>
      <x:c r="C826" s="17" t="str">
        <x:v>collection</x:v>
      </x:c>
      <x:c r="D826" s="17" t="str">
        <x:v>茂名虚拟回收/检测中心</x:v>
      </x:c>
      <x:c r="E826" s="24" t="n">
        <x:v>110.9209511</x:v>
      </x:c>
      <x:c r="F826" s="24" t="n">
        <x:v>21.6656961</x:v>
      </x:c>
      <x:c r="G826" s="17" t="str">
        <x:v>P20E</x:v>
      </x:c>
      <x:c r="H826" s="17" t="str">
        <x:v>echelon</x:v>
      </x:c>
      <x:c r="I826" s="17" t="str">
        <x:v>广东金晟新能源股份有限公司（梯次功能）</x:v>
      </x:c>
      <x:c r="J826" s="24" t="n">
        <x:v>112.4603629</x:v>
      </x:c>
      <x:c r="K826" s="24" t="n">
        <x:v>23.0501661</x:v>
      </x:c>
      <x:c r="L826" s="21" t="n">
        <x:f>6371*ACOS(MIN(1,COS(F826*PI()/180)*COS(K826*PI()/180)*COS((J826-E826)*PI()/180)+SIN(F826*PI()/180)*SIN(K826*PI()/180)))</x:f>
        <x:v>220.81298704421815</x:v>
      </x:c>
      <x:c r="M826" s="21" t="n">
        <x:f>L826*'情景参数模板'!$D$31</x:f>
        <x:v>264.97558445306174</x:v>
      </x:c>
      <x:c r="N826" s="21" t="n">
        <x:f>IF(C826="source",'情景参数模板'!$D$12,IF(H826="echelon",'情景参数模板'!$D$13,'情景参数模板'!$D$14))</x:f>
        <x:v>0.49</x:v>
      </x:c>
      <x:c r="O826" s="21" t="n">
        <x:f>IF(C826="source",'情景参数模板'!$D$18,IF(H826="echelon",'情景参数模板'!$D$19,'情景参数模板'!$D$20))</x:f>
        <x:v>300</x:v>
      </x:c>
      <x:c r="P826" s="17" t="n">
        <x:f>IF(M826&lt;=O826,1,0)</x:f>
        <x:v>1</x:v>
      </x:c>
      <x:c r="Q826" s="17" t="str">
        <x:v>D-road proxy; B-coordinates</x:v>
      </x:c>
    </x:row>
    <x:row r="827">
      <x:c r="A827" s="17" t="str">
        <x:v>A0823</x:v>
      </x:c>
      <x:c r="B827" s="17" t="str">
        <x:v>C16</x:v>
      </x:c>
      <x:c r="C827" s="17" t="str">
        <x:v>collection</x:v>
      </x:c>
      <x:c r="D827" s="17" t="str">
        <x:v>茂名虚拟回收/检测中心</x:v>
      </x:c>
      <x:c r="E827" s="24" t="n">
        <x:v>110.9209511</x:v>
      </x:c>
      <x:c r="F827" s="24" t="n">
        <x:v>21.6656961</x:v>
      </x:c>
      <x:c r="G827" s="17" t="str">
        <x:v>P20R</x:v>
      </x:c>
      <x:c r="H827" s="17" t="str">
        <x:v>recycling</x:v>
      </x:c>
      <x:c r="I827" s="17" t="str">
        <x:v>广东金晟新能源股份有限公司（再生功能）</x:v>
      </x:c>
      <x:c r="J827" s="24" t="n">
        <x:v>112.4603629</x:v>
      </x:c>
      <x:c r="K827" s="24" t="n">
        <x:v>23.0501661</x:v>
      </x:c>
      <x:c r="L827" s="21" t="n">
        <x:f>6371*ACOS(MIN(1,COS(F827*PI()/180)*COS(K827*PI()/180)*COS((J827-E827)*PI()/180)+SIN(F827*PI()/180)*SIN(K827*PI()/180)))</x:f>
        <x:v>220.81298704421815</x:v>
      </x:c>
      <x:c r="M827" s="21" t="n">
        <x:f>L827*'情景参数模板'!$D$31</x:f>
        <x:v>264.97558445306174</x:v>
      </x:c>
      <x:c r="N827" s="21" t="n">
        <x:f>IF(C827="source",'情景参数模板'!$D$12,IF(H827="echelon",'情景参数模板'!$D$13,'情景参数模板'!$D$14))</x:f>
        <x:v>0.49</x:v>
      </x:c>
      <x:c r="O827" s="21" t="n">
        <x:f>IF(C827="source",'情景参数模板'!$D$18,IF(H827="echelon",'情景参数模板'!$D$19,'情景参数模板'!$D$20))</x:f>
        <x:v>400</x:v>
      </x:c>
      <x:c r="P827" s="17" t="n">
        <x:f>IF(M827&lt;=O827,1,0)</x:f>
        <x:v>1</x:v>
      </x:c>
      <x:c r="Q827" s="17" t="str">
        <x:v>D-road proxy; B-coordinates</x:v>
      </x:c>
    </x:row>
    <x:row r="828">
      <x:c r="A828" s="17" t="str">
        <x:v>A0824</x:v>
      </x:c>
      <x:c r="B828" s="17" t="str">
        <x:v>C16</x:v>
      </x:c>
      <x:c r="C828" s="17" t="str">
        <x:v>collection</x:v>
      </x:c>
      <x:c r="D828" s="17" t="str">
        <x:v>茂名虚拟回收/检测中心</x:v>
      </x:c>
      <x:c r="E828" s="24" t="n">
        <x:v>110.9209511</x:v>
      </x:c>
      <x:c r="F828" s="24" t="n">
        <x:v>21.6656961</x:v>
      </x:c>
      <x:c r="G828" s="17" t="str">
        <x:v>P21E</x:v>
      </x:c>
      <x:c r="H828" s="17" t="str">
        <x:v>echelon</x:v>
      </x:c>
      <x:c r="I828" s="17" t="str">
        <x:v>广东瑞科美电源技术有限公司（梯次功能）</x:v>
      </x:c>
      <x:c r="J828" s="24" t="n">
        <x:v>113.1159558</x:v>
      </x:c>
      <x:c r="K828" s="24" t="n">
        <x:v>23.0239788</x:v>
      </x:c>
      <x:c r="L828" s="21" t="n">
        <x:f>6371*ACOS(MIN(1,COS(F828*PI()/180)*COS(K828*PI()/180)*COS((J828-E828)*PI()/180)+SIN(F828*PI()/180)*SIN(K828*PI()/180)))</x:f>
        <x:v>271.60321814176973</x:v>
      </x:c>
      <x:c r="M828" s="21" t="n">
        <x:f>L828*'情景参数模板'!$D$31</x:f>
        <x:v>325.92386177012366</x:v>
      </x:c>
      <x:c r="N828" s="21" t="n">
        <x:f>IF(C828="source",'情景参数模板'!$D$12,IF(H828="echelon",'情景参数模板'!$D$13,'情景参数模板'!$D$14))</x:f>
        <x:v>0.49</x:v>
      </x:c>
      <x:c r="O828" s="21" t="n">
        <x:f>IF(C828="source",'情景参数模板'!$D$18,IF(H828="echelon",'情景参数模板'!$D$19,'情景参数模板'!$D$20))</x:f>
        <x:v>300</x:v>
      </x:c>
      <x:c r="P828" s="17" t="n">
        <x:f>IF(M828&lt;=O828,1,0)</x:f>
        <x:v>0</x:v>
      </x:c>
      <x:c r="Q828" s="17" t="str">
        <x:v>D-road proxy; B-coordinates</x:v>
      </x:c>
    </x:row>
    <x:row r="829">
      <x:c r="A829" s="17" t="str">
        <x:v>A0825</x:v>
      </x:c>
      <x:c r="B829" s="17" t="str">
        <x:v>C16</x:v>
      </x:c>
      <x:c r="C829" s="17" t="str">
        <x:v>collection</x:v>
      </x:c>
      <x:c r="D829" s="17" t="str">
        <x:v>茂名虚拟回收/检测中心</x:v>
      </x:c>
      <x:c r="E829" s="24" t="n">
        <x:v>110.9209511</x:v>
      </x:c>
      <x:c r="F829" s="24" t="n">
        <x:v>21.6656961</x:v>
      </x:c>
      <x:c r="G829" s="17" t="str">
        <x:v>P21R</x:v>
      </x:c>
      <x:c r="H829" s="17" t="str">
        <x:v>recycling</x:v>
      </x:c>
      <x:c r="I829" s="17" t="str">
        <x:v>广东瑞科美电源技术有限公司（再生功能）</x:v>
      </x:c>
      <x:c r="J829" s="24" t="n">
        <x:v>113.1159558</x:v>
      </x:c>
      <x:c r="K829" s="24" t="n">
        <x:v>23.0239788</x:v>
      </x:c>
      <x:c r="L829" s="21" t="n">
        <x:f>6371*ACOS(MIN(1,COS(F829*PI()/180)*COS(K829*PI()/180)*COS((J829-E829)*PI()/180)+SIN(F829*PI()/180)*SIN(K829*PI()/180)))</x:f>
        <x:v>271.60321814176973</x:v>
      </x:c>
      <x:c r="M829" s="21" t="n">
        <x:f>L829*'情景参数模板'!$D$31</x:f>
        <x:v>325.92386177012366</x:v>
      </x:c>
      <x:c r="N829" s="21" t="n">
        <x:f>IF(C829="source",'情景参数模板'!$D$12,IF(H829="echelon",'情景参数模板'!$D$13,'情景参数模板'!$D$14))</x:f>
        <x:v>0.49</x:v>
      </x:c>
      <x:c r="O829" s="21" t="n">
        <x:f>IF(C829="source",'情景参数模板'!$D$18,IF(H829="echelon",'情景参数模板'!$D$19,'情景参数模板'!$D$20))</x:f>
        <x:v>400</x:v>
      </x:c>
      <x:c r="P829" s="17" t="n">
        <x:f>IF(M829&lt;=O829,1,0)</x:f>
        <x:v>1</x:v>
      </x:c>
      <x:c r="Q829" s="17" t="str">
        <x:v>D-road proxy; B-coordinates</x:v>
      </x:c>
    </x:row>
    <x:row r="830">
      <x:c r="A830" s="17" t="str">
        <x:v>A0826</x:v>
      </x:c>
      <x:c r="B830" s="17" t="str">
        <x:v>C17</x:v>
      </x:c>
      <x:c r="C830" s="17" t="str">
        <x:v>collection</x:v>
      </x:c>
      <x:c r="D830" s="17" t="str">
        <x:v>肇庆虚拟回收/检测中心</x:v>
      </x:c>
      <x:c r="E830" s="24" t="n">
        <x:v>112.4603629</x:v>
      </x:c>
      <x:c r="F830" s="24" t="n">
        <x:v>23.0501661</x:v>
      </x:c>
      <x:c r="G830" s="17" t="str">
        <x:v>P01</x:v>
      </x:c>
      <x:c r="H830" s="17" t="str">
        <x:v>recycling</x:v>
      </x:c>
      <x:c r="I830" s="17" t="str">
        <x:v>汕尾比亚迪废旧动力电池回收项目</x:v>
      </x:c>
      <x:c r="J830" s="24" t="n">
        <x:v>115.3492668</x:v>
      </x:c>
      <x:c r="K830" s="24" t="n">
        <x:v>22.838065</x:v>
      </x:c>
      <x:c r="L830" s="21" t="n">
        <x:f>6371*ACOS(MIN(1,COS(F830*PI()/180)*COS(K830*PI()/180)*COS((J830-E830)*PI()/180)+SIN(F830*PI()/180)*SIN(K830*PI()/180)))</x:f>
        <x:v>296.7510627302265</x:v>
      </x:c>
      <x:c r="M830" s="21" t="n">
        <x:f>L830*'情景参数模板'!$D$31</x:f>
        <x:v>356.1012752762718</x:v>
      </x:c>
      <x:c r="N830" s="21" t="n">
        <x:f>IF(C830="source",'情景参数模板'!$D$12,IF(H830="echelon",'情景参数模板'!$D$13,'情景参数模板'!$D$14))</x:f>
        <x:v>0.49</x:v>
      </x:c>
      <x:c r="O830" s="21" t="n">
        <x:f>IF(C830="source",'情景参数模板'!$D$18,IF(H830="echelon",'情景参数模板'!$D$19,'情景参数模板'!$D$20))</x:f>
        <x:v>400</x:v>
      </x:c>
      <x:c r="P830" s="17" t="n">
        <x:f>IF(M830&lt;=O830,1,0)</x:f>
        <x:v>1</x:v>
      </x:c>
      <x:c r="Q830" s="17" t="str">
        <x:v>D-road proxy; B-coordinates</x:v>
      </x:c>
    </x:row>
    <x:row r="831">
      <x:c r="A831" s="17" t="str">
        <x:v>A0827</x:v>
      </x:c>
      <x:c r="B831" s="17" t="str">
        <x:v>C17</x:v>
      </x:c>
      <x:c r="C831" s="17" t="str">
        <x:v>collection</x:v>
      </x:c>
      <x:c r="D831" s="17" t="str">
        <x:v>肇庆虚拟回收/检测中心</x:v>
      </x:c>
      <x:c r="E831" s="24" t="n">
        <x:v>112.4603629</x:v>
      </x:c>
      <x:c r="F831" s="24" t="n">
        <x:v>23.0501661</x:v>
      </x:c>
      <x:c r="G831" s="17" t="str">
        <x:v>P02E</x:v>
      </x:c>
      <x:c r="H831" s="17" t="str">
        <x:v>echelon</x:v>
      </x:c>
      <x:c r="I831" s="17" t="str">
        <x:v>广东光华科技股份有限公司（梯次功能）</x:v>
      </x:c>
      <x:c r="J831" s="24" t="n">
        <x:v>116.6775856</x:v>
      </x:c>
      <x:c r="K831" s="24" t="n">
        <x:v>23.3563921</x:v>
      </x:c>
      <x:c r="L831" s="21" t="n">
        <x:f>6371*ACOS(MIN(1,COS(F831*PI()/180)*COS(K831*PI()/180)*COS((J831-E831)*PI()/180)+SIN(F831*PI()/180)*SIN(K831*PI()/180)))</x:f>
        <x:v>432.3301436322801</x:v>
      </x:c>
      <x:c r="M831" s="21" t="n">
        <x:f>L831*'情景参数模板'!$D$31</x:f>
        <x:v>518.7961723587362</x:v>
      </x:c>
      <x:c r="N831" s="21" t="n">
        <x:f>IF(C831="source",'情景参数模板'!$D$12,IF(H831="echelon",'情景参数模板'!$D$13,'情景参数模板'!$D$14))</x:f>
        <x:v>0.49</x:v>
      </x:c>
      <x:c r="O831" s="21" t="n">
        <x:f>IF(C831="source",'情景参数模板'!$D$18,IF(H831="echelon",'情景参数模板'!$D$19,'情景参数模板'!$D$20))</x:f>
        <x:v>300</x:v>
      </x:c>
      <x:c r="P831" s="17" t="n">
        <x:f>IF(M831&lt;=O831,1,0)</x:f>
        <x:v>0</x:v>
      </x:c>
      <x:c r="Q831" s="17" t="str">
        <x:v>D-road proxy; B-coordinates</x:v>
      </x:c>
    </x:row>
    <x:row r="832">
      <x:c r="A832" s="17" t="str">
        <x:v>A0828</x:v>
      </x:c>
      <x:c r="B832" s="17" t="str">
        <x:v>C17</x:v>
      </x:c>
      <x:c r="C832" s="17" t="str">
        <x:v>collection</x:v>
      </x:c>
      <x:c r="D832" s="17" t="str">
        <x:v>肇庆虚拟回收/检测中心</x:v>
      </x:c>
      <x:c r="E832" s="24" t="n">
        <x:v>112.4603629</x:v>
      </x:c>
      <x:c r="F832" s="24" t="n">
        <x:v>23.0501661</x:v>
      </x:c>
      <x:c r="G832" s="17" t="str">
        <x:v>P02R</x:v>
      </x:c>
      <x:c r="H832" s="17" t="str">
        <x:v>recycling</x:v>
      </x:c>
      <x:c r="I832" s="17" t="str">
        <x:v>广东光华科技股份有限公司（再生功能）</x:v>
      </x:c>
      <x:c r="J832" s="24" t="n">
        <x:v>116.6775856</x:v>
      </x:c>
      <x:c r="K832" s="24" t="n">
        <x:v>23.3563921</x:v>
      </x:c>
      <x:c r="L832" s="21" t="n">
        <x:f>6371*ACOS(MIN(1,COS(F832*PI()/180)*COS(K832*PI()/180)*COS((J832-E832)*PI()/180)+SIN(F832*PI()/180)*SIN(K832*PI()/180)))</x:f>
        <x:v>432.3301436322801</x:v>
      </x:c>
      <x:c r="M832" s="21" t="n">
        <x:f>L832*'情景参数模板'!$D$31</x:f>
        <x:v>518.7961723587362</x:v>
      </x:c>
      <x:c r="N832" s="21" t="n">
        <x:f>IF(C832="source",'情景参数模板'!$D$12,IF(H832="echelon",'情景参数模板'!$D$13,'情景参数模板'!$D$14))</x:f>
        <x:v>0.49</x:v>
      </x:c>
      <x:c r="O832" s="21" t="n">
        <x:f>IF(C832="source",'情景参数模板'!$D$18,IF(H832="echelon",'情景参数模板'!$D$19,'情景参数模板'!$D$20))</x:f>
        <x:v>400</x:v>
      </x:c>
      <x:c r="P832" s="17" t="n">
        <x:f>IF(M832&lt;=O832,1,0)</x:f>
        <x:v>0</x:v>
      </x:c>
      <x:c r="Q832" s="17" t="str">
        <x:v>D-road proxy; B-coordinates</x:v>
      </x:c>
    </x:row>
    <x:row r="833">
      <x:c r="A833" s="17" t="str">
        <x:v>A0829</x:v>
      </x:c>
      <x:c r="B833" s="17" t="str">
        <x:v>C17</x:v>
      </x:c>
      <x:c r="C833" s="17" t="str">
        <x:v>collection</x:v>
      </x:c>
      <x:c r="D833" s="17" t="str">
        <x:v>肇庆虚拟回收/检测中心</x:v>
      </x:c>
      <x:c r="E833" s="24" t="n">
        <x:v>112.4603629</x:v>
      </x:c>
      <x:c r="F833" s="24" t="n">
        <x:v>23.0501661</x:v>
      </x:c>
      <x:c r="G833" s="17" t="str">
        <x:v>P03</x:v>
      </x:c>
      <x:c r="H833" s="17" t="str">
        <x:v>echelon</x:v>
      </x:c>
      <x:c r="I833" s="17" t="str">
        <x:v>深圳深汕特别合作区乾泰技术有限公司</x:v>
      </x:c>
      <x:c r="J833" s="24" t="n">
        <x:v>115.5099937</x:v>
      </x:c>
      <x:c r="K833" s="24" t="n">
        <x:v>23.0123639</x:v>
      </x:c>
      <x:c r="L833" s="21" t="n">
        <x:f>6371*ACOS(MIN(1,COS(F833*PI()/180)*COS(K833*PI()/180)*COS((J833-E833)*PI()/180)+SIN(F833*PI()/180)*SIN(K833*PI()/180)))</x:f>
        <x:v>312.0967041495048</x:v>
      </x:c>
      <x:c r="M833" s="21" t="n">
        <x:f>L833*'情景参数模板'!$D$31</x:f>
        <x:v>374.5160449794057</x:v>
      </x:c>
      <x:c r="N833" s="21" t="n">
        <x:f>IF(C833="source",'情景参数模板'!$D$12,IF(H833="echelon",'情景参数模板'!$D$13,'情景参数模板'!$D$14))</x:f>
        <x:v>0.49</x:v>
      </x:c>
      <x:c r="O833" s="21" t="n">
        <x:f>IF(C833="source",'情景参数模板'!$D$18,IF(H833="echelon",'情景参数模板'!$D$19,'情景参数模板'!$D$20))</x:f>
        <x:v>300</x:v>
      </x:c>
      <x:c r="P833" s="17" t="n">
        <x:f>IF(M833&lt;=O833,1,0)</x:f>
        <x:v>0</x:v>
      </x:c>
      <x:c r="Q833" s="17" t="str">
        <x:v>D-road proxy; B-coordinates</x:v>
      </x:c>
    </x:row>
    <x:row r="834">
      <x:c r="A834" s="17" t="str">
        <x:v>A0830</x:v>
      </x:c>
      <x:c r="B834" s="17" t="str">
        <x:v>C17</x:v>
      </x:c>
      <x:c r="C834" s="17" t="str">
        <x:v>collection</x:v>
      </x:c>
      <x:c r="D834" s="17" t="str">
        <x:v>肇庆虚拟回收/检测中心</x:v>
      </x:c>
      <x:c r="E834" s="24" t="n">
        <x:v>112.4603629</x:v>
      </x:c>
      <x:c r="F834" s="24" t="n">
        <x:v>23.0501661</x:v>
      </x:c>
      <x:c r="G834" s="17" t="str">
        <x:v>P04</x:v>
      </x:c>
      <x:c r="H834" s="17" t="str">
        <x:v>echelon</x:v>
      </x:c>
      <x:c r="I834" s="17" t="str">
        <x:v>珠海中力新能源科技有限公司</x:v>
      </x:c>
      <x:c r="J834" s="24" t="n">
        <x:v>113.5721327</x:v>
      </x:c>
      <x:c r="K834" s="24" t="n">
        <x:v>22.273734</x:v>
      </x:c>
      <x:c r="L834" s="21" t="n">
        <x:f>6371*ACOS(MIN(1,COS(F834*PI()/180)*COS(K834*PI()/180)*COS((J834-E834)*PI()/180)+SIN(F834*PI()/180)*SIN(K834*PI()/180)))</x:f>
        <x:v>143.0642477152054</x:v>
      </x:c>
      <x:c r="M834" s="21" t="n">
        <x:f>L834*'情景参数模板'!$D$31</x:f>
        <x:v>171.67709725824648</x:v>
      </x:c>
      <x:c r="N834" s="21" t="n">
        <x:f>IF(C834="source",'情景参数模板'!$D$12,IF(H834="echelon",'情景参数模板'!$D$13,'情景参数模板'!$D$14))</x:f>
        <x:v>0.49</x:v>
      </x:c>
      <x:c r="O834" s="21" t="n">
        <x:f>IF(C834="source",'情景参数模板'!$D$18,IF(H834="echelon",'情景参数模板'!$D$19,'情景参数模板'!$D$20))</x:f>
        <x:v>300</x:v>
      </x:c>
      <x:c r="P834" s="17" t="n">
        <x:f>IF(M834&lt;=O834,1,0)</x:f>
        <x:v>1</x:v>
      </x:c>
      <x:c r="Q834" s="17" t="str">
        <x:v>D-road proxy; B-coordinates</x:v>
      </x:c>
    </x:row>
    <x:row r="835">
      <x:c r="A835" s="17" t="str">
        <x:v>A0831</x:v>
      </x:c>
      <x:c r="B835" s="17" t="str">
        <x:v>C17</x:v>
      </x:c>
      <x:c r="C835" s="17" t="str">
        <x:v>collection</x:v>
      </x:c>
      <x:c r="D835" s="17" t="str">
        <x:v>肇庆虚拟回收/检测中心</x:v>
      </x:c>
      <x:c r="E835" s="24" t="n">
        <x:v>112.4603629</x:v>
      </x:c>
      <x:c r="F835" s="24" t="n">
        <x:v>23.0501661</x:v>
      </x:c>
      <x:c r="G835" s="17" t="str">
        <x:v>P05</x:v>
      </x:c>
      <x:c r="H835" s="17" t="str">
        <x:v>echelon</x:v>
      </x:c>
      <x:c r="I835" s="17" t="str">
        <x:v>惠州市恒创睿能环保科技有限公司</x:v>
      </x:c>
      <x:c r="J835" s="24" t="n">
        <x:v>114.4127007</x:v>
      </x:c>
      <x:c r="K835" s="24" t="n">
        <x:v>23.1125153</x:v>
      </x:c>
      <x:c r="L835" s="21" t="n">
        <x:f>6371*ACOS(MIN(1,COS(F835*PI()/180)*COS(K835*PI()/180)*COS((J835-E835)*PI()/180)+SIN(F835*PI()/180)*SIN(K835*PI()/180)))</x:f>
        <x:v>199.83063084164635</x:v>
      </x:c>
      <x:c r="M835" s="21" t="n">
        <x:f>L835*'情景参数模板'!$D$31</x:f>
        <x:v>239.7967570099756</x:v>
      </x:c>
      <x:c r="N835" s="21" t="n">
        <x:f>IF(C835="source",'情景参数模板'!$D$12,IF(H835="echelon",'情景参数模板'!$D$13,'情景参数模板'!$D$14))</x:f>
        <x:v>0.49</x:v>
      </x:c>
      <x:c r="O835" s="21" t="n">
        <x:f>IF(C835="source",'情景参数模板'!$D$18,IF(H835="echelon",'情景参数模板'!$D$19,'情景参数模板'!$D$20))</x:f>
        <x:v>300</x:v>
      </x:c>
      <x:c r="P835" s="17" t="n">
        <x:f>IF(M835&lt;=O835,1,0)</x:f>
        <x:v>1</x:v>
      </x:c>
      <x:c r="Q835" s="17" t="str">
        <x:v>D-road proxy; B-coordinates</x:v>
      </x:c>
    </x:row>
    <x:row r="836">
      <x:c r="A836" s="17" t="str">
        <x:v>A0832</x:v>
      </x:c>
      <x:c r="B836" s="17" t="str">
        <x:v>C17</x:v>
      </x:c>
      <x:c r="C836" s="17" t="str">
        <x:v>collection</x:v>
      </x:c>
      <x:c r="D836" s="17" t="str">
        <x:v>肇庆虚拟回收/检测中心</x:v>
      </x:c>
      <x:c r="E836" s="24" t="n">
        <x:v>112.4603629</x:v>
      </x:c>
      <x:c r="F836" s="24" t="n">
        <x:v>23.0501661</x:v>
      </x:c>
      <x:c r="G836" s="17" t="str">
        <x:v>P06</x:v>
      </x:c>
      <x:c r="H836" s="17" t="str">
        <x:v>echelon</x:v>
      </x:c>
      <x:c r="I836" s="17" t="str">
        <x:v>江门市朗达锂电池有限公司</x:v>
      </x:c>
      <x:c r="J836" s="24" t="n">
        <x:v>113.0761073</x:v>
      </x:c>
      <x:c r="K836" s="24" t="n">
        <x:v>22.5816619</x:v>
      </x:c>
      <x:c r="L836" s="21" t="n">
        <x:f>6371*ACOS(MIN(1,COS(F836*PI()/180)*COS(K836*PI()/180)*COS((J836-E836)*PI()/180)+SIN(F836*PI()/180)*SIN(K836*PI()/180)))</x:f>
        <x:v>81.8340180596413</x:v>
      </x:c>
      <x:c r="M836" s="21" t="n">
        <x:f>L836*'情景参数模板'!$D$31</x:f>
        <x:v>98.20082167156956</x:v>
      </x:c>
      <x:c r="N836" s="21" t="n">
        <x:f>IF(C836="source",'情景参数模板'!$D$12,IF(H836="echelon",'情景参数模板'!$D$13,'情景参数模板'!$D$14))</x:f>
        <x:v>0.49</x:v>
      </x:c>
      <x:c r="O836" s="21" t="n">
        <x:f>IF(C836="source",'情景参数模板'!$D$18,IF(H836="echelon",'情景参数模板'!$D$19,'情景参数模板'!$D$20))</x:f>
        <x:v>300</x:v>
      </x:c>
      <x:c r="P836" s="17" t="n">
        <x:f>IF(M836&lt;=O836,1,0)</x:f>
        <x:v>1</x:v>
      </x:c>
      <x:c r="Q836" s="17" t="str">
        <x:v>D-road proxy; B-coordinates</x:v>
      </x:c>
    </x:row>
    <x:row r="837">
      <x:c r="A837" s="17" t="str">
        <x:v>A0833</x:v>
      </x:c>
      <x:c r="B837" s="17" t="str">
        <x:v>C17</x:v>
      </x:c>
      <x:c r="C837" s="17" t="str">
        <x:v>collection</x:v>
      </x:c>
      <x:c r="D837" s="17" t="str">
        <x:v>肇庆虚拟回收/检测中心</x:v>
      </x:c>
      <x:c r="E837" s="24" t="n">
        <x:v>112.4603629</x:v>
      </x:c>
      <x:c r="F837" s="24" t="n">
        <x:v>23.0501661</x:v>
      </x:c>
      <x:c r="G837" s="17" t="str">
        <x:v>P07</x:v>
      </x:c>
      <x:c r="H837" s="17" t="str">
        <x:v>echelon</x:v>
      </x:c>
      <x:c r="I837" s="17" t="str">
        <x:v>广东迪度新能源有限公司</x:v>
      </x:c>
      <x:c r="J837" s="24" t="n">
        <x:v>113.7452332</x:v>
      </x:c>
      <x:c r="K837" s="24" t="n">
        <x:v>23.0183568</x:v>
      </x:c>
      <x:c r="L837" s="21" t="n">
        <x:f>6371*ACOS(MIN(1,COS(F837*PI()/180)*COS(K837*PI()/180)*COS((J837-E837)*PI()/180)+SIN(F837*PI()/180)*SIN(K837*PI()/180)))</x:f>
        <x:v>131.52724118580286</x:v>
      </x:c>
      <x:c r="M837" s="21" t="n">
        <x:f>L837*'情景参数模板'!$D$31</x:f>
        <x:v>157.83268942296343</x:v>
      </x:c>
      <x:c r="N837" s="21" t="n">
        <x:f>IF(C837="source",'情景参数模板'!$D$12,IF(H837="echelon",'情景参数模板'!$D$13,'情景参数模板'!$D$14))</x:f>
        <x:v>0.49</x:v>
      </x:c>
      <x:c r="O837" s="21" t="n">
        <x:f>IF(C837="source",'情景参数模板'!$D$18,IF(H837="echelon",'情景参数模板'!$D$19,'情景参数模板'!$D$20))</x:f>
        <x:v>300</x:v>
      </x:c>
      <x:c r="P837" s="17" t="n">
        <x:f>IF(M837&lt;=O837,1,0)</x:f>
        <x:v>1</x:v>
      </x:c>
      <x:c r="Q837" s="17" t="str">
        <x:v>D-road proxy; B-coordinates</x:v>
      </x:c>
    </x:row>
    <x:row r="838">
      <x:c r="A838" s="17" t="str">
        <x:v>A0834</x:v>
      </x:c>
      <x:c r="B838" s="17" t="str">
        <x:v>C17</x:v>
      </x:c>
      <x:c r="C838" s="17" t="str">
        <x:v>collection</x:v>
      </x:c>
      <x:c r="D838" s="17" t="str">
        <x:v>肇庆虚拟回收/检测中心</x:v>
      </x:c>
      <x:c r="E838" s="24" t="n">
        <x:v>112.4603629</x:v>
      </x:c>
      <x:c r="F838" s="24" t="n">
        <x:v>23.0501661</x:v>
      </x:c>
      <x:c r="G838" s="17" t="str">
        <x:v>P08</x:v>
      </x:c>
      <x:c r="H838" s="17" t="str">
        <x:v>echelon</x:v>
      </x:c>
      <x:c r="I838" s="17" t="str">
        <x:v>东莞市博森新能源有限公司</x:v>
      </x:c>
      <x:c r="J838" s="24" t="n">
        <x:v>113.7452332</x:v>
      </x:c>
      <x:c r="K838" s="24" t="n">
        <x:v>23.0183568</x:v>
      </x:c>
      <x:c r="L838" s="21" t="n">
        <x:f>6371*ACOS(MIN(1,COS(F838*PI()/180)*COS(K838*PI()/180)*COS((J838-E838)*PI()/180)+SIN(F838*PI()/180)*SIN(K838*PI()/180)))</x:f>
        <x:v>131.52724118580286</x:v>
      </x:c>
      <x:c r="M838" s="21" t="n">
        <x:f>L838*'情景参数模板'!$D$31</x:f>
        <x:v>157.83268942296343</x:v>
      </x:c>
      <x:c r="N838" s="21" t="n">
        <x:f>IF(C838="source",'情景参数模板'!$D$12,IF(H838="echelon",'情景参数模板'!$D$13,'情景参数模板'!$D$14))</x:f>
        <x:v>0.49</x:v>
      </x:c>
      <x:c r="O838" s="21" t="n">
        <x:f>IF(C838="source",'情景参数模板'!$D$18,IF(H838="echelon",'情景参数模板'!$D$19,'情景参数模板'!$D$20))</x:f>
        <x:v>300</x:v>
      </x:c>
      <x:c r="P838" s="17" t="n">
        <x:f>IF(M838&lt;=O838,1,0)</x:f>
        <x:v>1</x:v>
      </x:c>
      <x:c r="Q838" s="17" t="str">
        <x:v>D-road proxy; B-coordinates</x:v>
      </x:c>
    </x:row>
    <x:row r="839">
      <x:c r="A839" s="17" t="str">
        <x:v>A0835</x:v>
      </x:c>
      <x:c r="B839" s="17" t="str">
        <x:v>C17</x:v>
      </x:c>
      <x:c r="C839" s="17" t="str">
        <x:v>collection</x:v>
      </x:c>
      <x:c r="D839" s="17" t="str">
        <x:v>肇庆虚拟回收/检测中心</x:v>
      </x:c>
      <x:c r="E839" s="24" t="n">
        <x:v>112.4603629</x:v>
      </x:c>
      <x:c r="F839" s="24" t="n">
        <x:v>23.0501661</x:v>
      </x:c>
      <x:c r="G839" s="17" t="str">
        <x:v>P09</x:v>
      </x:c>
      <x:c r="H839" s="17" t="str">
        <x:v>echelon</x:v>
      </x:c>
      <x:c r="I839" s="17" t="str">
        <x:v>广东宇阳新能源有限公司</x:v>
      </x:c>
      <x:c r="J839" s="24" t="n">
        <x:v>113.7452332</x:v>
      </x:c>
      <x:c r="K839" s="24" t="n">
        <x:v>23.0183568</x:v>
      </x:c>
      <x:c r="L839" s="21" t="n">
        <x:f>6371*ACOS(MIN(1,COS(F839*PI()/180)*COS(K839*PI()/180)*COS((J839-E839)*PI()/180)+SIN(F839*PI()/180)*SIN(K839*PI()/180)))</x:f>
        <x:v>131.52724118580286</x:v>
      </x:c>
      <x:c r="M839" s="21" t="n">
        <x:f>L839*'情景参数模板'!$D$31</x:f>
        <x:v>157.83268942296343</x:v>
      </x:c>
      <x:c r="N839" s="21" t="n">
        <x:f>IF(C839="source",'情景参数模板'!$D$12,IF(H839="echelon",'情景参数模板'!$D$13,'情景参数模板'!$D$14))</x:f>
        <x:v>0.49</x:v>
      </x:c>
      <x:c r="O839" s="21" t="n">
        <x:f>IF(C839="source",'情景参数模板'!$D$18,IF(H839="echelon",'情景参数模板'!$D$19,'情景参数模板'!$D$20))</x:f>
        <x:v>300</x:v>
      </x:c>
      <x:c r="P839" s="17" t="n">
        <x:f>IF(M839&lt;=O839,1,0)</x:f>
        <x:v>1</x:v>
      </x:c>
      <x:c r="Q839" s="17" t="str">
        <x:v>D-road proxy; B-coordinates</x:v>
      </x:c>
    </x:row>
    <x:row r="840">
      <x:c r="A840" s="17" t="str">
        <x:v>A0836</x:v>
      </x:c>
      <x:c r="B840" s="17" t="str">
        <x:v>C17</x:v>
      </x:c>
      <x:c r="C840" s="17" t="str">
        <x:v>collection</x:v>
      </x:c>
      <x:c r="D840" s="17" t="str">
        <x:v>肇庆虚拟回收/检测中心</x:v>
      </x:c>
      <x:c r="E840" s="24" t="n">
        <x:v>112.4603629</x:v>
      </x:c>
      <x:c r="F840" s="24" t="n">
        <x:v>23.0501661</x:v>
      </x:c>
      <x:c r="G840" s="17" t="str">
        <x:v>P10</x:v>
      </x:c>
      <x:c r="H840" s="17" t="str">
        <x:v>echelon</x:v>
      </x:c>
      <x:c r="I840" s="17" t="str">
        <x:v>广州广汽商贸再生资源有限公司</x:v>
      </x:c>
      <x:c r="J840" s="24" t="n">
        <x:v>113.2589581</x:v>
      </x:c>
      <x:c r="K840" s="24" t="n">
        <x:v>23.1288429</x:v>
      </x:c>
      <x:c r="L840" s="21" t="n">
        <x:f>6371*ACOS(MIN(1,COS(F840*PI()/180)*COS(K840*PI()/180)*COS((J840-E840)*PI()/180)+SIN(F840*PI()/180)*SIN(K840*PI()/180)))</x:f>
        <x:v>82.15331137313247</x:v>
      </x:c>
      <x:c r="M840" s="21" t="n">
        <x:f>L840*'情景参数模板'!$D$31</x:f>
        <x:v>98.58397364775895</x:v>
      </x:c>
      <x:c r="N840" s="21" t="n">
        <x:f>IF(C840="source",'情景参数模板'!$D$12,IF(H840="echelon",'情景参数模板'!$D$13,'情景参数模板'!$D$14))</x:f>
        <x:v>0.49</x:v>
      </x:c>
      <x:c r="O840" s="21" t="n">
        <x:f>IF(C840="source",'情景参数模板'!$D$18,IF(H840="echelon",'情景参数模板'!$D$19,'情景参数模板'!$D$20))</x:f>
        <x:v>300</x:v>
      </x:c>
      <x:c r="P840" s="17" t="n">
        <x:f>IF(M840&lt;=O840,1,0)</x:f>
        <x:v>1</x:v>
      </x:c>
      <x:c r="Q840" s="17" t="str">
        <x:v>D-road proxy; B-coordinates</x:v>
      </x:c>
    </x:row>
    <x:row r="841">
      <x:c r="A841" s="17" t="str">
        <x:v>A0837</x:v>
      </x:c>
      <x:c r="B841" s="17" t="str">
        <x:v>C17</x:v>
      </x:c>
      <x:c r="C841" s="17" t="str">
        <x:v>collection</x:v>
      </x:c>
      <x:c r="D841" s="17" t="str">
        <x:v>肇庆虚拟回收/检测中心</x:v>
      </x:c>
      <x:c r="E841" s="24" t="n">
        <x:v>112.4603629</x:v>
      </x:c>
      <x:c r="F841" s="24" t="n">
        <x:v>23.0501661</x:v>
      </x:c>
      <x:c r="G841" s="17" t="str">
        <x:v>P11</x:v>
      </x:c>
      <x:c r="H841" s="17" t="str">
        <x:v>echelon</x:v>
      </x:c>
      <x:c r="I841" s="17" t="str">
        <x:v>深圳市杰成镍钴新能源科技有限公司</x:v>
      </x:c>
      <x:c r="J841" s="24" t="n">
        <x:v>114.0545429</x:v>
      </x:c>
      <x:c r="K841" s="24" t="n">
        <x:v>22.5445741</x:v>
      </x:c>
      <x:c r="L841" s="21" t="n">
        <x:f>6371*ACOS(MIN(1,COS(F841*PI()/180)*COS(K841*PI()/180)*COS((J841-E841)*PI()/180)+SIN(F841*PI()/180)*SIN(K841*PI()/180)))</x:f>
        <x:v>172.815477677631</x:v>
      </x:c>
      <x:c r="M841" s="21" t="n">
        <x:f>L841*'情景参数模板'!$D$31</x:f>
        <x:v>207.3785732131572</x:v>
      </x:c>
      <x:c r="N841" s="21" t="n">
        <x:f>IF(C841="source",'情景参数模板'!$D$12,IF(H841="echelon",'情景参数模板'!$D$13,'情景参数模板'!$D$14))</x:f>
        <x:v>0.49</x:v>
      </x:c>
      <x:c r="O841" s="21" t="n">
        <x:f>IF(C841="source",'情景参数模板'!$D$18,IF(H841="echelon",'情景参数模板'!$D$19,'情景参数模板'!$D$20))</x:f>
        <x:v>300</x:v>
      </x:c>
      <x:c r="P841" s="17" t="n">
        <x:f>IF(M841&lt;=O841,1,0)</x:f>
        <x:v>1</x:v>
      </x:c>
      <x:c r="Q841" s="17" t="str">
        <x:v>D-road proxy; B-coordinates</x:v>
      </x:c>
    </x:row>
    <x:row r="842">
      <x:c r="A842" s="17" t="str">
        <x:v>A0838</x:v>
      </x:c>
      <x:c r="B842" s="17" t="str">
        <x:v>C17</x:v>
      </x:c>
      <x:c r="C842" s="17" t="str">
        <x:v>collection</x:v>
      </x:c>
      <x:c r="D842" s="17" t="str">
        <x:v>肇庆虚拟回收/检测中心</x:v>
      </x:c>
      <x:c r="E842" s="24" t="n">
        <x:v>112.4603629</x:v>
      </x:c>
      <x:c r="F842" s="24" t="n">
        <x:v>23.0501661</x:v>
      </x:c>
      <x:c r="G842" s="17" t="str">
        <x:v>P12</x:v>
      </x:c>
      <x:c r="H842" s="17" t="str">
        <x:v>recycling</x:v>
      </x:c>
      <x:c r="I842" s="17" t="str">
        <x:v>江门市恒创睿能环保科技有限公司</x:v>
      </x:c>
      <x:c r="J842" s="24" t="n">
        <x:v>113.0761073</x:v>
      </x:c>
      <x:c r="K842" s="24" t="n">
        <x:v>22.5816619</x:v>
      </x:c>
      <x:c r="L842" s="21" t="n">
        <x:f>6371*ACOS(MIN(1,COS(F842*PI()/180)*COS(K842*PI()/180)*COS((J842-E842)*PI()/180)+SIN(F842*PI()/180)*SIN(K842*PI()/180)))</x:f>
        <x:v>81.8340180596413</x:v>
      </x:c>
      <x:c r="M842" s="21" t="n">
        <x:f>L842*'情景参数模板'!$D$31</x:f>
        <x:v>98.20082167156956</x:v>
      </x:c>
      <x:c r="N842" s="21" t="n">
        <x:f>IF(C842="source",'情景参数模板'!$D$12,IF(H842="echelon",'情景参数模板'!$D$13,'情景参数模板'!$D$14))</x:f>
        <x:v>0.49</x:v>
      </x:c>
      <x:c r="O842" s="21" t="n">
        <x:f>IF(C842="source",'情景参数模板'!$D$18,IF(H842="echelon",'情景参数模板'!$D$19,'情景参数模板'!$D$20))</x:f>
        <x:v>400</x:v>
      </x:c>
      <x:c r="P842" s="17" t="n">
        <x:f>IF(M842&lt;=O842,1,0)</x:f>
        <x:v>1</x:v>
      </x:c>
      <x:c r="Q842" s="17" t="str">
        <x:v>D-road proxy; B-coordinates</x:v>
      </x:c>
    </x:row>
    <x:row r="843">
      <x:c r="A843" s="17" t="str">
        <x:v>A0839</x:v>
      </x:c>
      <x:c r="B843" s="17" t="str">
        <x:v>C17</x:v>
      </x:c>
      <x:c r="C843" s="17" t="str">
        <x:v>collection</x:v>
      </x:c>
      <x:c r="D843" s="17" t="str">
        <x:v>肇庆虚拟回收/检测中心</x:v>
      </x:c>
      <x:c r="E843" s="24" t="n">
        <x:v>112.4603629</x:v>
      </x:c>
      <x:c r="F843" s="24" t="n">
        <x:v>23.0501661</x:v>
      </x:c>
      <x:c r="G843" s="17" t="str">
        <x:v>P13</x:v>
      </x:c>
      <x:c r="H843" s="17" t="str">
        <x:v>recycling</x:v>
      </x:c>
      <x:c r="I843" s="17" t="str">
        <x:v>广东佳纳能源科技有限公司</x:v>
      </x:c>
      <x:c r="J843" s="24" t="n">
        <x:v>113.0505994</x:v>
      </x:c>
      <x:c r="K843" s="24" t="n">
        <x:v>23.6832984</x:v>
      </x:c>
      <x:c r="L843" s="21" t="n">
        <x:f>6371*ACOS(MIN(1,COS(F843*PI()/180)*COS(K843*PI()/180)*COS((J843-E843)*PI()/180)+SIN(F843*PI()/180)*SIN(K843*PI()/180)))</x:f>
        <x:v>92.66143114992624</x:v>
      </x:c>
      <x:c r="M843" s="21" t="n">
        <x:f>L843*'情景参数模板'!$D$31</x:f>
        <x:v>111.19371737991149</x:v>
      </x:c>
      <x:c r="N843" s="21" t="n">
        <x:f>IF(C843="source",'情景参数模板'!$D$12,IF(H843="echelon",'情景参数模板'!$D$13,'情景参数模板'!$D$14))</x:f>
        <x:v>0.49</x:v>
      </x:c>
      <x:c r="O843" s="21" t="n">
        <x:f>IF(C843="source",'情景参数模板'!$D$18,IF(H843="echelon",'情景参数模板'!$D$19,'情景参数模板'!$D$20))</x:f>
        <x:v>400</x:v>
      </x:c>
      <x:c r="P843" s="17" t="n">
        <x:f>IF(M843&lt;=O843,1,0)</x:f>
        <x:v>1</x:v>
      </x:c>
      <x:c r="Q843" s="17" t="str">
        <x:v>D-road proxy; B-coordinates</x:v>
      </x:c>
    </x:row>
    <x:row r="844">
      <x:c r="A844" s="17" t="str">
        <x:v>A0840</x:v>
      </x:c>
      <x:c r="B844" s="17" t="str">
        <x:v>C17</x:v>
      </x:c>
      <x:c r="C844" s="17" t="str">
        <x:v>collection</x:v>
      </x:c>
      <x:c r="D844" s="17" t="str">
        <x:v>肇庆虚拟回收/检测中心</x:v>
      </x:c>
      <x:c r="E844" s="24" t="n">
        <x:v>112.4603629</x:v>
      </x:c>
      <x:c r="F844" s="24" t="n">
        <x:v>23.0501661</x:v>
      </x:c>
      <x:c r="G844" s="17" t="str">
        <x:v>P14</x:v>
      </x:c>
      <x:c r="H844" s="17" t="str">
        <x:v>echelon</x:v>
      </x:c>
      <x:c r="I844" s="17" t="str">
        <x:v>格林美（深圳）循环科技有限公司</x:v>
      </x:c>
      <x:c r="J844" s="24" t="n">
        <x:v>114.0545429</x:v>
      </x:c>
      <x:c r="K844" s="24" t="n">
        <x:v>22.5445741</x:v>
      </x:c>
      <x:c r="L844" s="21" t="n">
        <x:f>6371*ACOS(MIN(1,COS(F844*PI()/180)*COS(K844*PI()/180)*COS((J844-E844)*PI()/180)+SIN(F844*PI()/180)*SIN(K844*PI()/180)))</x:f>
        <x:v>172.815477677631</x:v>
      </x:c>
      <x:c r="M844" s="21" t="n">
        <x:f>L844*'情景参数模板'!$D$31</x:f>
        <x:v>207.3785732131572</x:v>
      </x:c>
      <x:c r="N844" s="21" t="n">
        <x:f>IF(C844="source",'情景参数模板'!$D$12,IF(H844="echelon",'情景参数模板'!$D$13,'情景参数模板'!$D$14))</x:f>
        <x:v>0.49</x:v>
      </x:c>
      <x:c r="O844" s="21" t="n">
        <x:f>IF(C844="source",'情景参数模板'!$D$18,IF(H844="echelon",'情景参数模板'!$D$19,'情景参数模板'!$D$20))</x:f>
        <x:v>300</x:v>
      </x:c>
      <x:c r="P844" s="17" t="n">
        <x:f>IF(M844&lt;=O844,1,0)</x:f>
        <x:v>1</x:v>
      </x:c>
      <x:c r="Q844" s="17" t="str">
        <x:v>D-road proxy; B-coordinates</x:v>
      </x:c>
    </x:row>
    <x:row r="845">
      <x:c r="A845" s="17" t="str">
        <x:v>A0841</x:v>
      </x:c>
      <x:c r="B845" s="17" t="str">
        <x:v>C17</x:v>
      </x:c>
      <x:c r="C845" s="17" t="str">
        <x:v>collection</x:v>
      </x:c>
      <x:c r="D845" s="17" t="str">
        <x:v>肇庆虚拟回收/检测中心</x:v>
      </x:c>
      <x:c r="E845" s="24" t="n">
        <x:v>112.4603629</x:v>
      </x:c>
      <x:c r="F845" s="24" t="n">
        <x:v>23.0501661</x:v>
      </x:c>
      <x:c r="G845" s="17" t="str">
        <x:v>P15</x:v>
      </x:c>
      <x:c r="H845" s="17" t="str">
        <x:v>echelon</x:v>
      </x:c>
      <x:c r="I845" s="17" t="str">
        <x:v>绿循新能源科技（佛山）有限责任公司</x:v>
      </x:c>
      <x:c r="J845" s="24" t="n">
        <x:v>113.1159558</x:v>
      </x:c>
      <x:c r="K845" s="24" t="n">
        <x:v>23.0239788</x:v>
      </x:c>
      <x:c r="L845" s="21" t="n">
        <x:f>6371*ACOS(MIN(1,COS(F845*PI()/180)*COS(K845*PI()/180)*COS((J845-E845)*PI()/180)+SIN(F845*PI()/180)*SIN(K845*PI()/180)))</x:f>
        <x:v>67.14818534262002</x:v>
      </x:c>
      <x:c r="M845" s="21" t="n">
        <x:f>L845*'情景参数模板'!$D$31</x:f>
        <x:v>80.57782241114403</x:v>
      </x:c>
      <x:c r="N845" s="21" t="n">
        <x:f>IF(C845="source",'情景参数模板'!$D$12,IF(H845="echelon",'情景参数模板'!$D$13,'情景参数模板'!$D$14))</x:f>
        <x:v>0.49</x:v>
      </x:c>
      <x:c r="O845" s="21" t="n">
        <x:f>IF(C845="source",'情景参数模板'!$D$18,IF(H845="echelon",'情景参数模板'!$D$19,'情景参数模板'!$D$20))</x:f>
        <x:v>300</x:v>
      </x:c>
      <x:c r="P845" s="17" t="n">
        <x:f>IF(M845&lt;=O845,1,0)</x:f>
        <x:v>1</x:v>
      </x:c>
      <x:c r="Q845" s="17" t="str">
        <x:v>D-road proxy; B-coordinates</x:v>
      </x:c>
    </x:row>
    <x:row r="846">
      <x:c r="A846" s="17" t="str">
        <x:v>A0842</x:v>
      </x:c>
      <x:c r="B846" s="17" t="str">
        <x:v>C17</x:v>
      </x:c>
      <x:c r="C846" s="17" t="str">
        <x:v>collection</x:v>
      </x:c>
      <x:c r="D846" s="17" t="str">
        <x:v>肇庆虚拟回收/检测中心</x:v>
      </x:c>
      <x:c r="E846" s="24" t="n">
        <x:v>112.4603629</x:v>
      </x:c>
      <x:c r="F846" s="24" t="n">
        <x:v>23.0501661</x:v>
      </x:c>
      <x:c r="G846" s="17" t="str">
        <x:v>P16</x:v>
      </x:c>
      <x:c r="H846" s="17" t="str">
        <x:v>echelon</x:v>
      </x:c>
      <x:c r="I846" s="17" t="str">
        <x:v>深圳艾云动智慧科技有限公司</x:v>
      </x:c>
      <x:c r="J846" s="24" t="n">
        <x:v>114.0545429</x:v>
      </x:c>
      <x:c r="K846" s="24" t="n">
        <x:v>22.5445741</x:v>
      </x:c>
      <x:c r="L846" s="21" t="n">
        <x:f>6371*ACOS(MIN(1,COS(F846*PI()/180)*COS(K846*PI()/180)*COS((J846-E846)*PI()/180)+SIN(F846*PI()/180)*SIN(K846*PI()/180)))</x:f>
        <x:v>172.815477677631</x:v>
      </x:c>
      <x:c r="M846" s="21" t="n">
        <x:f>L846*'情景参数模板'!$D$31</x:f>
        <x:v>207.3785732131572</x:v>
      </x:c>
      <x:c r="N846" s="21" t="n">
        <x:f>IF(C846="source",'情景参数模板'!$D$12,IF(H846="echelon",'情景参数模板'!$D$13,'情景参数模板'!$D$14))</x:f>
        <x:v>0.49</x:v>
      </x:c>
      <x:c r="O846" s="21" t="n">
        <x:f>IF(C846="source",'情景参数模板'!$D$18,IF(H846="echelon",'情景参数模板'!$D$19,'情景参数模板'!$D$20))</x:f>
        <x:v>300</x:v>
      </x:c>
      <x:c r="P846" s="17" t="n">
        <x:f>IF(M846&lt;=O846,1,0)</x:f>
        <x:v>1</x:v>
      </x:c>
      <x:c r="Q846" s="17" t="str">
        <x:v>D-road proxy; B-coordinates</x:v>
      </x:c>
    </x:row>
    <x:row r="847">
      <x:c r="A847" s="17" t="str">
        <x:v>A0843</x:v>
      </x:c>
      <x:c r="B847" s="17" t="str">
        <x:v>C17</x:v>
      </x:c>
      <x:c r="C847" s="17" t="str">
        <x:v>collection</x:v>
      </x:c>
      <x:c r="D847" s="17" t="str">
        <x:v>肇庆虚拟回收/检测中心</x:v>
      </x:c>
      <x:c r="E847" s="24" t="n">
        <x:v>112.4603629</x:v>
      </x:c>
      <x:c r="F847" s="24" t="n">
        <x:v>23.0501661</x:v>
      </x:c>
      <x:c r="G847" s="17" t="str">
        <x:v>P17</x:v>
      </x:c>
      <x:c r="H847" s="17" t="str">
        <x:v>echelon</x:v>
      </x:c>
      <x:c r="I847" s="17" t="str">
        <x:v>深圳市荣高晟新能源科技有限公司</x:v>
      </x:c>
      <x:c r="J847" s="24" t="n">
        <x:v>114.0545429</x:v>
      </x:c>
      <x:c r="K847" s="24" t="n">
        <x:v>22.5445741</x:v>
      </x:c>
      <x:c r="L847" s="21" t="n">
        <x:f>6371*ACOS(MIN(1,COS(F847*PI()/180)*COS(K847*PI()/180)*COS((J847-E847)*PI()/180)+SIN(F847*PI()/180)*SIN(K847*PI()/180)))</x:f>
        <x:v>172.815477677631</x:v>
      </x:c>
      <x:c r="M847" s="21" t="n">
        <x:f>L847*'情景参数模板'!$D$31</x:f>
        <x:v>207.3785732131572</x:v>
      </x:c>
      <x:c r="N847" s="21" t="n">
        <x:f>IF(C847="source",'情景参数模板'!$D$12,IF(H847="echelon",'情景参数模板'!$D$13,'情景参数模板'!$D$14))</x:f>
        <x:v>0.49</x:v>
      </x:c>
      <x:c r="O847" s="21" t="n">
        <x:f>IF(C847="source",'情景参数模板'!$D$18,IF(H847="echelon",'情景参数模板'!$D$19,'情景参数模板'!$D$20))</x:f>
        <x:v>300</x:v>
      </x:c>
      <x:c r="P847" s="17" t="n">
        <x:f>IF(M847&lt;=O847,1,0)</x:f>
        <x:v>1</x:v>
      </x:c>
      <x:c r="Q847" s="17" t="str">
        <x:v>D-road proxy; B-coordinates</x:v>
      </x:c>
    </x:row>
    <x:row r="848">
      <x:c r="A848" s="17" t="str">
        <x:v>A0844</x:v>
      </x:c>
      <x:c r="B848" s="17" t="str">
        <x:v>C17</x:v>
      </x:c>
      <x:c r="C848" s="17" t="str">
        <x:v>collection</x:v>
      </x:c>
      <x:c r="D848" s="17" t="str">
        <x:v>肇庆虚拟回收/检测中心</x:v>
      </x:c>
      <x:c r="E848" s="24" t="n">
        <x:v>112.4603629</x:v>
      </x:c>
      <x:c r="F848" s="24" t="n">
        <x:v>23.0501661</x:v>
      </x:c>
      <x:c r="G848" s="17" t="str">
        <x:v>P18</x:v>
      </x:c>
      <x:c r="H848" s="17" t="str">
        <x:v>echelon</x:v>
      </x:c>
      <x:c r="I848" s="17" t="str">
        <x:v>中商锂新能源科技（惠州）有限公司</x:v>
      </x:c>
      <x:c r="J848" s="24" t="n">
        <x:v>114.4127007</x:v>
      </x:c>
      <x:c r="K848" s="24" t="n">
        <x:v>23.1125153</x:v>
      </x:c>
      <x:c r="L848" s="21" t="n">
        <x:f>6371*ACOS(MIN(1,COS(F848*PI()/180)*COS(K848*PI()/180)*COS((J848-E848)*PI()/180)+SIN(F848*PI()/180)*SIN(K848*PI()/180)))</x:f>
        <x:v>199.83063084164635</x:v>
      </x:c>
      <x:c r="M848" s="21" t="n">
        <x:f>L848*'情景参数模板'!$D$31</x:f>
        <x:v>239.7967570099756</x:v>
      </x:c>
      <x:c r="N848" s="21" t="n">
        <x:f>IF(C848="source",'情景参数模板'!$D$12,IF(H848="echelon",'情景参数模板'!$D$13,'情景参数模板'!$D$14))</x:f>
        <x:v>0.49</x:v>
      </x:c>
      <x:c r="O848" s="21" t="n">
        <x:f>IF(C848="source",'情景参数模板'!$D$18,IF(H848="echelon",'情景参数模板'!$D$19,'情景参数模板'!$D$20))</x:f>
        <x:v>300</x:v>
      </x:c>
      <x:c r="P848" s="17" t="n">
        <x:f>IF(M848&lt;=O848,1,0)</x:f>
        <x:v>1</x:v>
      </x:c>
      <x:c r="Q848" s="17" t="str">
        <x:v>D-road proxy; B-coordinates</x:v>
      </x:c>
    </x:row>
    <x:row r="849">
      <x:c r="A849" s="17" t="str">
        <x:v>A0845</x:v>
      </x:c>
      <x:c r="B849" s="17" t="str">
        <x:v>C17</x:v>
      </x:c>
      <x:c r="C849" s="17" t="str">
        <x:v>collection</x:v>
      </x:c>
      <x:c r="D849" s="17" t="str">
        <x:v>肇庆虚拟回收/检测中心</x:v>
      </x:c>
      <x:c r="E849" s="24" t="n">
        <x:v>112.4603629</x:v>
      </x:c>
      <x:c r="F849" s="24" t="n">
        <x:v>23.0501661</x:v>
      </x:c>
      <x:c r="G849" s="17" t="str">
        <x:v>P19</x:v>
      </x:c>
      <x:c r="H849" s="17" t="str">
        <x:v>recycling</x:v>
      </x:c>
      <x:c r="I849" s="17" t="str">
        <x:v>广东盛祥新材料科技有限公司</x:v>
      </x:c>
      <x:c r="J849" s="24" t="n">
        <x:v>113.8155263</x:v>
      </x:c>
      <x:c r="K849" s="24" t="n">
        <x:v>24.8309489</x:v>
      </x:c>
      <x:c r="L849" s="21" t="n">
        <x:f>6371*ACOS(MIN(1,COS(F849*PI()/180)*COS(K849*PI()/180)*COS((J849-E849)*PI()/180)+SIN(F849*PI()/180)*SIN(K849*PI()/180)))</x:f>
        <x:v>241.1942270561686</x:v>
      </x:c>
      <x:c r="M849" s="21" t="n">
        <x:f>L849*'情景参数模板'!$D$31</x:f>
        <x:v>289.43307246740227</x:v>
      </x:c>
      <x:c r="N849" s="21" t="n">
        <x:f>IF(C849="source",'情景参数模板'!$D$12,IF(H849="echelon",'情景参数模板'!$D$13,'情景参数模板'!$D$14))</x:f>
        <x:v>0.49</x:v>
      </x:c>
      <x:c r="O849" s="21" t="n">
        <x:f>IF(C849="source",'情景参数模板'!$D$18,IF(H849="echelon",'情景参数模板'!$D$19,'情景参数模板'!$D$20))</x:f>
        <x:v>400</x:v>
      </x:c>
      <x:c r="P849" s="17" t="n">
        <x:f>IF(M849&lt;=O849,1,0)</x:f>
        <x:v>1</x:v>
      </x:c>
      <x:c r="Q849" s="17" t="str">
        <x:v>D-road proxy; B-coordinates</x:v>
      </x:c>
    </x:row>
    <x:row r="850">
      <x:c r="A850" s="17" t="str">
        <x:v>A0846</x:v>
      </x:c>
      <x:c r="B850" s="17" t="str">
        <x:v>C17</x:v>
      </x:c>
      <x:c r="C850" s="17" t="str">
        <x:v>collection</x:v>
      </x:c>
      <x:c r="D850" s="17" t="str">
        <x:v>肇庆虚拟回收/检测中心</x:v>
      </x:c>
      <x:c r="E850" s="24" t="n">
        <x:v>112.4603629</x:v>
      </x:c>
      <x:c r="F850" s="24" t="n">
        <x:v>23.0501661</x:v>
      </x:c>
      <x:c r="G850" s="17" t="str">
        <x:v>P20E</x:v>
      </x:c>
      <x:c r="H850" s="17" t="str">
        <x:v>echelon</x:v>
      </x:c>
      <x:c r="I850" s="17" t="str">
        <x:v>广东金晟新能源股份有限公司（梯次功能）</x:v>
      </x:c>
      <x:c r="J850" s="24" t="n">
        <x:v>112.4603629</x:v>
      </x:c>
      <x:c r="K850" s="24" t="n">
        <x:v>23.0501661</x:v>
      </x:c>
      <x:c r="L850" s="21" t="n">
        <x:f>6371*ACOS(MIN(1,COS(F850*PI()/180)*COS(K850*PI()/180)*COS((J850-E850)*PI()/180)+SIN(F850*PI()/180)*SIN(K850*PI()/180)))</x:f>
        <x:v>0</x:v>
      </x:c>
      <x:c r="M850" s="21" t="n">
        <x:f>L850*'情景参数模板'!$D$31</x:f>
        <x:v>0</x:v>
      </x:c>
      <x:c r="N850" s="21" t="n">
        <x:f>IF(C850="source",'情景参数模板'!$D$12,IF(H850="echelon",'情景参数模板'!$D$13,'情景参数模板'!$D$14))</x:f>
        <x:v>0.49</x:v>
      </x:c>
      <x:c r="O850" s="21" t="n">
        <x:f>IF(C850="source",'情景参数模板'!$D$18,IF(H850="echelon",'情景参数模板'!$D$19,'情景参数模板'!$D$20))</x:f>
        <x:v>300</x:v>
      </x:c>
      <x:c r="P850" s="17" t="n">
        <x:f>IF(M850&lt;=O850,1,0)</x:f>
        <x:v>1</x:v>
      </x:c>
      <x:c r="Q850" s="17" t="str">
        <x:v>D-road proxy; B-coordinates</x:v>
      </x:c>
    </x:row>
    <x:row r="851">
      <x:c r="A851" s="17" t="str">
        <x:v>A0847</x:v>
      </x:c>
      <x:c r="B851" s="17" t="str">
        <x:v>C17</x:v>
      </x:c>
      <x:c r="C851" s="17" t="str">
        <x:v>collection</x:v>
      </x:c>
      <x:c r="D851" s="17" t="str">
        <x:v>肇庆虚拟回收/检测中心</x:v>
      </x:c>
      <x:c r="E851" s="24" t="n">
        <x:v>112.4603629</x:v>
      </x:c>
      <x:c r="F851" s="24" t="n">
        <x:v>23.0501661</x:v>
      </x:c>
      <x:c r="G851" s="17" t="str">
        <x:v>P20R</x:v>
      </x:c>
      <x:c r="H851" s="17" t="str">
        <x:v>recycling</x:v>
      </x:c>
      <x:c r="I851" s="17" t="str">
        <x:v>广东金晟新能源股份有限公司（再生功能）</x:v>
      </x:c>
      <x:c r="J851" s="24" t="n">
        <x:v>112.4603629</x:v>
      </x:c>
      <x:c r="K851" s="24" t="n">
        <x:v>23.0501661</x:v>
      </x:c>
      <x:c r="L851" s="21" t="n">
        <x:f>6371*ACOS(MIN(1,COS(F851*PI()/180)*COS(K851*PI()/180)*COS((J851-E851)*PI()/180)+SIN(F851*PI()/180)*SIN(K851*PI()/180)))</x:f>
        <x:v>0</x:v>
      </x:c>
      <x:c r="M851" s="21" t="n">
        <x:f>L851*'情景参数模板'!$D$31</x:f>
        <x:v>0</x:v>
      </x:c>
      <x:c r="N851" s="21" t="n">
        <x:f>IF(C851="source",'情景参数模板'!$D$12,IF(H851="echelon",'情景参数模板'!$D$13,'情景参数模板'!$D$14))</x:f>
        <x:v>0.49</x:v>
      </x:c>
      <x:c r="O851" s="21" t="n">
        <x:f>IF(C851="source",'情景参数模板'!$D$18,IF(H851="echelon",'情景参数模板'!$D$19,'情景参数模板'!$D$20))</x:f>
        <x:v>400</x:v>
      </x:c>
      <x:c r="P851" s="17" t="n">
        <x:f>IF(M851&lt;=O851,1,0)</x:f>
        <x:v>1</x:v>
      </x:c>
      <x:c r="Q851" s="17" t="str">
        <x:v>D-road proxy; B-coordinates</x:v>
      </x:c>
    </x:row>
    <x:row r="852">
      <x:c r="A852" s="17" t="str">
        <x:v>A0848</x:v>
      </x:c>
      <x:c r="B852" s="17" t="str">
        <x:v>C17</x:v>
      </x:c>
      <x:c r="C852" s="17" t="str">
        <x:v>collection</x:v>
      </x:c>
      <x:c r="D852" s="17" t="str">
        <x:v>肇庆虚拟回收/检测中心</x:v>
      </x:c>
      <x:c r="E852" s="24" t="n">
        <x:v>112.4603629</x:v>
      </x:c>
      <x:c r="F852" s="24" t="n">
        <x:v>23.0501661</x:v>
      </x:c>
      <x:c r="G852" s="17" t="str">
        <x:v>P21E</x:v>
      </x:c>
      <x:c r="H852" s="17" t="str">
        <x:v>echelon</x:v>
      </x:c>
      <x:c r="I852" s="17" t="str">
        <x:v>广东瑞科美电源技术有限公司（梯次功能）</x:v>
      </x:c>
      <x:c r="J852" s="24" t="n">
        <x:v>113.1159558</x:v>
      </x:c>
      <x:c r="K852" s="24" t="n">
        <x:v>23.0239788</x:v>
      </x:c>
      <x:c r="L852" s="21" t="n">
        <x:f>6371*ACOS(MIN(1,COS(F852*PI()/180)*COS(K852*PI()/180)*COS((J852-E852)*PI()/180)+SIN(F852*PI()/180)*SIN(K852*PI()/180)))</x:f>
        <x:v>67.14818534262002</x:v>
      </x:c>
      <x:c r="M852" s="21" t="n">
        <x:f>L852*'情景参数模板'!$D$31</x:f>
        <x:v>80.57782241114403</x:v>
      </x:c>
      <x:c r="N852" s="21" t="n">
        <x:f>IF(C852="source",'情景参数模板'!$D$12,IF(H852="echelon",'情景参数模板'!$D$13,'情景参数模板'!$D$14))</x:f>
        <x:v>0.49</x:v>
      </x:c>
      <x:c r="O852" s="21" t="n">
        <x:f>IF(C852="source",'情景参数模板'!$D$18,IF(H852="echelon",'情景参数模板'!$D$19,'情景参数模板'!$D$20))</x:f>
        <x:v>300</x:v>
      </x:c>
      <x:c r="P852" s="17" t="n">
        <x:f>IF(M852&lt;=O852,1,0)</x:f>
        <x:v>1</x:v>
      </x:c>
      <x:c r="Q852" s="17" t="str">
        <x:v>D-road proxy; B-coordinates</x:v>
      </x:c>
    </x:row>
    <x:row r="853">
      <x:c r="A853" s="17" t="str">
        <x:v>A0849</x:v>
      </x:c>
      <x:c r="B853" s="17" t="str">
        <x:v>C17</x:v>
      </x:c>
      <x:c r="C853" s="17" t="str">
        <x:v>collection</x:v>
      </x:c>
      <x:c r="D853" s="17" t="str">
        <x:v>肇庆虚拟回收/检测中心</x:v>
      </x:c>
      <x:c r="E853" s="24" t="n">
        <x:v>112.4603629</x:v>
      </x:c>
      <x:c r="F853" s="24" t="n">
        <x:v>23.0501661</x:v>
      </x:c>
      <x:c r="G853" s="17" t="str">
        <x:v>P21R</x:v>
      </x:c>
      <x:c r="H853" s="17" t="str">
        <x:v>recycling</x:v>
      </x:c>
      <x:c r="I853" s="17" t="str">
        <x:v>广东瑞科美电源技术有限公司（再生功能）</x:v>
      </x:c>
      <x:c r="J853" s="24" t="n">
        <x:v>113.1159558</x:v>
      </x:c>
      <x:c r="K853" s="24" t="n">
        <x:v>23.0239788</x:v>
      </x:c>
      <x:c r="L853" s="21" t="n">
        <x:f>6371*ACOS(MIN(1,COS(F853*PI()/180)*COS(K853*PI()/180)*COS((J853-E853)*PI()/180)+SIN(F853*PI()/180)*SIN(K853*PI()/180)))</x:f>
        <x:v>67.14818534262002</x:v>
      </x:c>
      <x:c r="M853" s="21" t="n">
        <x:f>L853*'情景参数模板'!$D$31</x:f>
        <x:v>80.57782241114403</x:v>
      </x:c>
      <x:c r="N853" s="21" t="n">
        <x:f>IF(C853="source",'情景参数模板'!$D$12,IF(H853="echelon",'情景参数模板'!$D$13,'情景参数模板'!$D$14))</x:f>
        <x:v>0.49</x:v>
      </x:c>
      <x:c r="O853" s="21" t="n">
        <x:f>IF(C853="source",'情景参数模板'!$D$18,IF(H853="echelon",'情景参数模板'!$D$19,'情景参数模板'!$D$20))</x:f>
        <x:v>400</x:v>
      </x:c>
      <x:c r="P853" s="17" t="n">
        <x:f>IF(M853&lt;=O853,1,0)</x:f>
        <x:v>1</x:v>
      </x:c>
      <x:c r="Q853" s="17" t="str">
        <x:v>D-road proxy; B-coordinates</x:v>
      </x:c>
    </x:row>
    <x:row r="854">
      <x:c r="A854" s="17" t="str">
        <x:v>A0850</x:v>
      </x:c>
      <x:c r="B854" s="17" t="str">
        <x:v>C18</x:v>
      </x:c>
      <x:c r="C854" s="17" t="str">
        <x:v>collection</x:v>
      </x:c>
      <x:c r="D854" s="17" t="str">
        <x:v>清远虚拟回收/检测中心</x:v>
      </x:c>
      <x:c r="E854" s="24" t="n">
        <x:v>113.0505994</x:v>
      </x:c>
      <x:c r="F854" s="24" t="n">
        <x:v>23.6832984</x:v>
      </x:c>
      <x:c r="G854" s="17" t="str">
        <x:v>P01</x:v>
      </x:c>
      <x:c r="H854" s="17" t="str">
        <x:v>recycling</x:v>
      </x:c>
      <x:c r="I854" s="17" t="str">
        <x:v>汕尾比亚迪废旧动力电池回收项目</x:v>
      </x:c>
      <x:c r="J854" s="24" t="n">
        <x:v>115.3492668</x:v>
      </x:c>
      <x:c r="K854" s="24" t="n">
        <x:v>22.838065</x:v>
      </x:c>
      <x:c r="L854" s="21" t="n">
        <x:f>6371*ACOS(MIN(1,COS(F854*PI()/180)*COS(K854*PI()/180)*COS((J854-E854)*PI()/180)+SIN(F854*PI()/180)*SIN(K854*PI()/180)))</x:f>
        <x:v>252.92899620442395</x:v>
      </x:c>
      <x:c r="M854" s="21" t="n">
        <x:f>L854*'情景参数模板'!$D$31</x:f>
        <x:v>303.5147954453087</x:v>
      </x:c>
      <x:c r="N854" s="21" t="n">
        <x:f>IF(C854="source",'情景参数模板'!$D$12,IF(H854="echelon",'情景参数模板'!$D$13,'情景参数模板'!$D$14))</x:f>
        <x:v>0.49</x:v>
      </x:c>
      <x:c r="O854" s="21" t="n">
        <x:f>IF(C854="source",'情景参数模板'!$D$18,IF(H854="echelon",'情景参数模板'!$D$19,'情景参数模板'!$D$20))</x:f>
        <x:v>400</x:v>
      </x:c>
      <x:c r="P854" s="17" t="n">
        <x:f>IF(M854&lt;=O854,1,0)</x:f>
        <x:v>1</x:v>
      </x:c>
      <x:c r="Q854" s="17" t="str">
        <x:v>D-road proxy; B-coordinates</x:v>
      </x:c>
    </x:row>
    <x:row r="855">
      <x:c r="A855" s="17" t="str">
        <x:v>A0851</x:v>
      </x:c>
      <x:c r="B855" s="17" t="str">
        <x:v>C18</x:v>
      </x:c>
      <x:c r="C855" s="17" t="str">
        <x:v>collection</x:v>
      </x:c>
      <x:c r="D855" s="17" t="str">
        <x:v>清远虚拟回收/检测中心</x:v>
      </x:c>
      <x:c r="E855" s="24" t="n">
        <x:v>113.0505994</x:v>
      </x:c>
      <x:c r="F855" s="24" t="n">
        <x:v>23.6832984</x:v>
      </x:c>
      <x:c r="G855" s="17" t="str">
        <x:v>P02E</x:v>
      </x:c>
      <x:c r="H855" s="17" t="str">
        <x:v>echelon</x:v>
      </x:c>
      <x:c r="I855" s="17" t="str">
        <x:v>广东光华科技股份有限公司（梯次功能）</x:v>
      </x:c>
      <x:c r="J855" s="24" t="n">
        <x:v>116.6775856</x:v>
      </x:c>
      <x:c r="K855" s="24" t="n">
        <x:v>23.3563921</x:v>
      </x:c>
      <x:c r="L855" s="21" t="n">
        <x:f>6371*ACOS(MIN(1,COS(F855*PI()/180)*COS(K855*PI()/180)*COS((J855-E855)*PI()/180)+SIN(F855*PI()/180)*SIN(K855*PI()/180)))</x:f>
        <x:v>371.5685810407413</x:v>
      </x:c>
      <x:c r="M855" s="21" t="n">
        <x:f>L855*'情景参数模板'!$D$31</x:f>
        <x:v>445.8822972488896</x:v>
      </x:c>
      <x:c r="N855" s="21" t="n">
        <x:f>IF(C855="source",'情景参数模板'!$D$12,IF(H855="echelon",'情景参数模板'!$D$13,'情景参数模板'!$D$14))</x:f>
        <x:v>0.49</x:v>
      </x:c>
      <x:c r="O855" s="21" t="n">
        <x:f>IF(C855="source",'情景参数模板'!$D$18,IF(H855="echelon",'情景参数模板'!$D$19,'情景参数模板'!$D$20))</x:f>
        <x:v>300</x:v>
      </x:c>
      <x:c r="P855" s="17" t="n">
        <x:f>IF(M855&lt;=O855,1,0)</x:f>
        <x:v>0</x:v>
      </x:c>
      <x:c r="Q855" s="17" t="str">
        <x:v>D-road proxy; B-coordinates</x:v>
      </x:c>
    </x:row>
    <x:row r="856">
      <x:c r="A856" s="17" t="str">
        <x:v>A0852</x:v>
      </x:c>
      <x:c r="B856" s="17" t="str">
        <x:v>C18</x:v>
      </x:c>
      <x:c r="C856" s="17" t="str">
        <x:v>collection</x:v>
      </x:c>
      <x:c r="D856" s="17" t="str">
        <x:v>清远虚拟回收/检测中心</x:v>
      </x:c>
      <x:c r="E856" s="24" t="n">
        <x:v>113.0505994</x:v>
      </x:c>
      <x:c r="F856" s="24" t="n">
        <x:v>23.6832984</x:v>
      </x:c>
      <x:c r="G856" s="17" t="str">
        <x:v>P02R</x:v>
      </x:c>
      <x:c r="H856" s="17" t="str">
        <x:v>recycling</x:v>
      </x:c>
      <x:c r="I856" s="17" t="str">
        <x:v>广东光华科技股份有限公司（再生功能）</x:v>
      </x:c>
      <x:c r="J856" s="24" t="n">
        <x:v>116.6775856</x:v>
      </x:c>
      <x:c r="K856" s="24" t="n">
        <x:v>23.3563921</x:v>
      </x:c>
      <x:c r="L856" s="21" t="n">
        <x:f>6371*ACOS(MIN(1,COS(F856*PI()/180)*COS(K856*PI()/180)*COS((J856-E856)*PI()/180)+SIN(F856*PI()/180)*SIN(K856*PI()/180)))</x:f>
        <x:v>371.5685810407413</x:v>
      </x:c>
      <x:c r="M856" s="21" t="n">
        <x:f>L856*'情景参数模板'!$D$31</x:f>
        <x:v>445.8822972488896</x:v>
      </x:c>
      <x:c r="N856" s="21" t="n">
        <x:f>IF(C856="source",'情景参数模板'!$D$12,IF(H856="echelon",'情景参数模板'!$D$13,'情景参数模板'!$D$14))</x:f>
        <x:v>0.49</x:v>
      </x:c>
      <x:c r="O856" s="21" t="n">
        <x:f>IF(C856="source",'情景参数模板'!$D$18,IF(H856="echelon",'情景参数模板'!$D$19,'情景参数模板'!$D$20))</x:f>
        <x:v>400</x:v>
      </x:c>
      <x:c r="P856" s="17" t="n">
        <x:f>IF(M856&lt;=O856,1,0)</x:f>
        <x:v>0</x:v>
      </x:c>
      <x:c r="Q856" s="17" t="str">
        <x:v>D-road proxy; B-coordinates</x:v>
      </x:c>
    </x:row>
    <x:row r="857">
      <x:c r="A857" s="17" t="str">
        <x:v>A0853</x:v>
      </x:c>
      <x:c r="B857" s="17" t="str">
        <x:v>C18</x:v>
      </x:c>
      <x:c r="C857" s="17" t="str">
        <x:v>collection</x:v>
      </x:c>
      <x:c r="D857" s="17" t="str">
        <x:v>清远虚拟回收/检测中心</x:v>
      </x:c>
      <x:c r="E857" s="24" t="n">
        <x:v>113.0505994</x:v>
      </x:c>
      <x:c r="F857" s="24" t="n">
        <x:v>23.6832984</x:v>
      </x:c>
      <x:c r="G857" s="17" t="str">
        <x:v>P03</x:v>
      </x:c>
      <x:c r="H857" s="17" t="str">
        <x:v>echelon</x:v>
      </x:c>
      <x:c r="I857" s="17" t="str">
        <x:v>深圳深汕特别合作区乾泰技术有限公司</x:v>
      </x:c>
      <x:c r="J857" s="24" t="n">
        <x:v>115.5099937</x:v>
      </x:c>
      <x:c r="K857" s="24" t="n">
        <x:v>23.0123639</x:v>
      </x:c>
      <x:c r="L857" s="21" t="n">
        <x:f>6371*ACOS(MIN(1,COS(F857*PI()/180)*COS(K857*PI()/180)*COS((J857-E857)*PI()/180)+SIN(F857*PI()/180)*SIN(K857*PI()/180)))</x:f>
        <x:v>261.9235028063955</x:v>
      </x:c>
      <x:c r="M857" s="21" t="n">
        <x:f>L857*'情景参数模板'!$D$31</x:f>
        <x:v>314.3082033676746</x:v>
      </x:c>
      <x:c r="N857" s="21" t="n">
        <x:f>IF(C857="source",'情景参数模板'!$D$12,IF(H857="echelon",'情景参数模板'!$D$13,'情景参数模板'!$D$14))</x:f>
        <x:v>0.49</x:v>
      </x:c>
      <x:c r="O857" s="21" t="n">
        <x:f>IF(C857="source",'情景参数模板'!$D$18,IF(H857="echelon",'情景参数模板'!$D$19,'情景参数模板'!$D$20))</x:f>
        <x:v>300</x:v>
      </x:c>
      <x:c r="P857" s="17" t="n">
        <x:f>IF(M857&lt;=O857,1,0)</x:f>
        <x:v>0</x:v>
      </x:c>
      <x:c r="Q857" s="17" t="str">
        <x:v>D-road proxy; B-coordinates</x:v>
      </x:c>
    </x:row>
    <x:row r="858">
      <x:c r="A858" s="17" t="str">
        <x:v>A0854</x:v>
      </x:c>
      <x:c r="B858" s="17" t="str">
        <x:v>C18</x:v>
      </x:c>
      <x:c r="C858" s="17" t="str">
        <x:v>collection</x:v>
      </x:c>
      <x:c r="D858" s="17" t="str">
        <x:v>清远虚拟回收/检测中心</x:v>
      </x:c>
      <x:c r="E858" s="24" t="n">
        <x:v>113.0505994</x:v>
      </x:c>
      <x:c r="F858" s="24" t="n">
        <x:v>23.6832984</x:v>
      </x:c>
      <x:c r="G858" s="17" t="str">
        <x:v>P04</x:v>
      </x:c>
      <x:c r="H858" s="17" t="str">
        <x:v>echelon</x:v>
      </x:c>
      <x:c r="I858" s="17" t="str">
        <x:v>珠海中力新能源科技有限公司</x:v>
      </x:c>
      <x:c r="J858" s="24" t="n">
        <x:v>113.5721327</x:v>
      </x:c>
      <x:c r="K858" s="24" t="n">
        <x:v>22.273734</x:v>
      </x:c>
      <x:c r="L858" s="21" t="n">
        <x:f>6371*ACOS(MIN(1,COS(F858*PI()/180)*COS(K858*PI()/180)*COS((J858-E858)*PI()/180)+SIN(F858*PI()/180)*SIN(K858*PI()/180)))</x:f>
        <x:v>165.57958735422196</x:v>
      </x:c>
      <x:c r="M858" s="21" t="n">
        <x:f>L858*'情景参数模板'!$D$31</x:f>
        <x:v>198.69550482506634</x:v>
      </x:c>
      <x:c r="N858" s="21" t="n">
        <x:f>IF(C858="source",'情景参数模板'!$D$12,IF(H858="echelon",'情景参数模板'!$D$13,'情景参数模板'!$D$14))</x:f>
        <x:v>0.49</x:v>
      </x:c>
      <x:c r="O858" s="21" t="n">
        <x:f>IF(C858="source",'情景参数模板'!$D$18,IF(H858="echelon",'情景参数模板'!$D$19,'情景参数模板'!$D$20))</x:f>
        <x:v>300</x:v>
      </x:c>
      <x:c r="P858" s="17" t="n">
        <x:f>IF(M858&lt;=O858,1,0)</x:f>
        <x:v>1</x:v>
      </x:c>
      <x:c r="Q858" s="17" t="str">
        <x:v>D-road proxy; B-coordinates</x:v>
      </x:c>
    </x:row>
    <x:row r="859">
      <x:c r="A859" s="17" t="str">
        <x:v>A0855</x:v>
      </x:c>
      <x:c r="B859" s="17" t="str">
        <x:v>C18</x:v>
      </x:c>
      <x:c r="C859" s="17" t="str">
        <x:v>collection</x:v>
      </x:c>
      <x:c r="D859" s="17" t="str">
        <x:v>清远虚拟回收/检测中心</x:v>
      </x:c>
      <x:c r="E859" s="24" t="n">
        <x:v>113.0505994</x:v>
      </x:c>
      <x:c r="F859" s="24" t="n">
        <x:v>23.6832984</x:v>
      </x:c>
      <x:c r="G859" s="17" t="str">
        <x:v>P05</x:v>
      </x:c>
      <x:c r="H859" s="17" t="str">
        <x:v>echelon</x:v>
      </x:c>
      <x:c r="I859" s="17" t="str">
        <x:v>惠州市恒创睿能环保科技有限公司</x:v>
      </x:c>
      <x:c r="J859" s="24" t="n">
        <x:v>114.4127007</x:v>
      </x:c>
      <x:c r="K859" s="24" t="n">
        <x:v>23.1125153</x:v>
      </x:c>
      <x:c r="L859" s="21" t="n">
        <x:f>6371*ACOS(MIN(1,COS(F859*PI()/180)*COS(K859*PI()/180)*COS((J859-E859)*PI()/180)+SIN(F859*PI()/180)*SIN(K859*PI()/180)))</x:f>
        <x:v>152.80699130297583</x:v>
      </x:c>
      <x:c r="M859" s="21" t="n">
        <x:f>L859*'情景参数模板'!$D$31</x:f>
        <x:v>183.368389563571</x:v>
      </x:c>
      <x:c r="N859" s="21" t="n">
        <x:f>IF(C859="source",'情景参数模板'!$D$12,IF(H859="echelon",'情景参数模板'!$D$13,'情景参数模板'!$D$14))</x:f>
        <x:v>0.49</x:v>
      </x:c>
      <x:c r="O859" s="21" t="n">
        <x:f>IF(C859="source",'情景参数模板'!$D$18,IF(H859="echelon",'情景参数模板'!$D$19,'情景参数模板'!$D$20))</x:f>
        <x:v>300</x:v>
      </x:c>
      <x:c r="P859" s="17" t="n">
        <x:f>IF(M859&lt;=O859,1,0)</x:f>
        <x:v>1</x:v>
      </x:c>
      <x:c r="Q859" s="17" t="str">
        <x:v>D-road proxy; B-coordinates</x:v>
      </x:c>
    </x:row>
    <x:row r="860">
      <x:c r="A860" s="17" t="str">
        <x:v>A0856</x:v>
      </x:c>
      <x:c r="B860" s="17" t="str">
        <x:v>C18</x:v>
      </x:c>
      <x:c r="C860" s="17" t="str">
        <x:v>collection</x:v>
      </x:c>
      <x:c r="D860" s="17" t="str">
        <x:v>清远虚拟回收/检测中心</x:v>
      </x:c>
      <x:c r="E860" s="24" t="n">
        <x:v>113.0505994</x:v>
      </x:c>
      <x:c r="F860" s="24" t="n">
        <x:v>23.6832984</x:v>
      </x:c>
      <x:c r="G860" s="17" t="str">
        <x:v>P06</x:v>
      </x:c>
      <x:c r="H860" s="17" t="str">
        <x:v>echelon</x:v>
      </x:c>
      <x:c r="I860" s="17" t="str">
        <x:v>江门市朗达锂电池有限公司</x:v>
      </x:c>
      <x:c r="J860" s="24" t="n">
        <x:v>113.0761073</x:v>
      </x:c>
      <x:c r="K860" s="24" t="n">
        <x:v>22.5816619</x:v>
      </x:c>
      <x:c r="L860" s="21" t="n">
        <x:f>6371*ACOS(MIN(1,COS(F860*PI()/180)*COS(K860*PI()/180)*COS((J860-E860)*PI()/180)+SIN(F860*PI()/180)*SIN(K860*PI()/180)))</x:f>
        <x:v>122.52415451208954</x:v>
      </x:c>
      <x:c r="M860" s="21" t="n">
        <x:f>L860*'情景参数模板'!$D$31</x:f>
        <x:v>147.02898541450745</x:v>
      </x:c>
      <x:c r="N860" s="21" t="n">
        <x:f>IF(C860="source",'情景参数模板'!$D$12,IF(H860="echelon",'情景参数模板'!$D$13,'情景参数模板'!$D$14))</x:f>
        <x:v>0.49</x:v>
      </x:c>
      <x:c r="O860" s="21" t="n">
        <x:f>IF(C860="source",'情景参数模板'!$D$18,IF(H860="echelon",'情景参数模板'!$D$19,'情景参数模板'!$D$20))</x:f>
        <x:v>300</x:v>
      </x:c>
      <x:c r="P860" s="17" t="n">
        <x:f>IF(M860&lt;=O860,1,0)</x:f>
        <x:v>1</x:v>
      </x:c>
      <x:c r="Q860" s="17" t="str">
        <x:v>D-road proxy; B-coordinates</x:v>
      </x:c>
    </x:row>
    <x:row r="861">
      <x:c r="A861" s="17" t="str">
        <x:v>A0857</x:v>
      </x:c>
      <x:c r="B861" s="17" t="str">
        <x:v>C18</x:v>
      </x:c>
      <x:c r="C861" s="17" t="str">
        <x:v>collection</x:v>
      </x:c>
      <x:c r="D861" s="17" t="str">
        <x:v>清远虚拟回收/检测中心</x:v>
      </x:c>
      <x:c r="E861" s="24" t="n">
        <x:v>113.0505994</x:v>
      </x:c>
      <x:c r="F861" s="24" t="n">
        <x:v>23.6832984</x:v>
      </x:c>
      <x:c r="G861" s="17" t="str">
        <x:v>P07</x:v>
      </x:c>
      <x:c r="H861" s="17" t="str">
        <x:v>echelon</x:v>
      </x:c>
      <x:c r="I861" s="17" t="str">
        <x:v>广东迪度新能源有限公司</x:v>
      </x:c>
      <x:c r="J861" s="24" t="n">
        <x:v>113.7452332</x:v>
      </x:c>
      <x:c r="K861" s="24" t="n">
        <x:v>23.0183568</x:v>
      </x:c>
      <x:c r="L861" s="21" t="n">
        <x:f>6371*ACOS(MIN(1,COS(F861*PI()/180)*COS(K861*PI()/180)*COS((J861-E861)*PI()/180)+SIN(F861*PI()/180)*SIN(K861*PI()/180)))</x:f>
        <x:v>102.44738181217072</x:v>
      </x:c>
      <x:c r="M861" s="21" t="n">
        <x:f>L861*'情景参数模板'!$D$31</x:f>
        <x:v>122.93685817460485</x:v>
      </x:c>
      <x:c r="N861" s="21" t="n">
        <x:f>IF(C861="source",'情景参数模板'!$D$12,IF(H861="echelon",'情景参数模板'!$D$13,'情景参数模板'!$D$14))</x:f>
        <x:v>0.49</x:v>
      </x:c>
      <x:c r="O861" s="21" t="n">
        <x:f>IF(C861="source",'情景参数模板'!$D$18,IF(H861="echelon",'情景参数模板'!$D$19,'情景参数模板'!$D$20))</x:f>
        <x:v>300</x:v>
      </x:c>
      <x:c r="P861" s="17" t="n">
        <x:f>IF(M861&lt;=O861,1,0)</x:f>
        <x:v>1</x:v>
      </x:c>
      <x:c r="Q861" s="17" t="str">
        <x:v>D-road proxy; B-coordinates</x:v>
      </x:c>
    </x:row>
    <x:row r="862">
      <x:c r="A862" s="17" t="str">
        <x:v>A0858</x:v>
      </x:c>
      <x:c r="B862" s="17" t="str">
        <x:v>C18</x:v>
      </x:c>
      <x:c r="C862" s="17" t="str">
        <x:v>collection</x:v>
      </x:c>
      <x:c r="D862" s="17" t="str">
        <x:v>清远虚拟回收/检测中心</x:v>
      </x:c>
      <x:c r="E862" s="24" t="n">
        <x:v>113.0505994</x:v>
      </x:c>
      <x:c r="F862" s="24" t="n">
        <x:v>23.6832984</x:v>
      </x:c>
      <x:c r="G862" s="17" t="str">
        <x:v>P08</x:v>
      </x:c>
      <x:c r="H862" s="17" t="str">
        <x:v>echelon</x:v>
      </x:c>
      <x:c r="I862" s="17" t="str">
        <x:v>东莞市博森新能源有限公司</x:v>
      </x:c>
      <x:c r="J862" s="24" t="n">
        <x:v>113.7452332</x:v>
      </x:c>
      <x:c r="K862" s="24" t="n">
        <x:v>23.0183568</x:v>
      </x:c>
      <x:c r="L862" s="21" t="n">
        <x:f>6371*ACOS(MIN(1,COS(F862*PI()/180)*COS(K862*PI()/180)*COS((J862-E862)*PI()/180)+SIN(F862*PI()/180)*SIN(K862*PI()/180)))</x:f>
        <x:v>102.44738181217072</x:v>
      </x:c>
      <x:c r="M862" s="21" t="n">
        <x:f>L862*'情景参数模板'!$D$31</x:f>
        <x:v>122.93685817460485</x:v>
      </x:c>
      <x:c r="N862" s="21" t="n">
        <x:f>IF(C862="source",'情景参数模板'!$D$12,IF(H862="echelon",'情景参数模板'!$D$13,'情景参数模板'!$D$14))</x:f>
        <x:v>0.49</x:v>
      </x:c>
      <x:c r="O862" s="21" t="n">
        <x:f>IF(C862="source",'情景参数模板'!$D$18,IF(H862="echelon",'情景参数模板'!$D$19,'情景参数模板'!$D$20))</x:f>
        <x:v>300</x:v>
      </x:c>
      <x:c r="P862" s="17" t="n">
        <x:f>IF(M862&lt;=O862,1,0)</x:f>
        <x:v>1</x:v>
      </x:c>
      <x:c r="Q862" s="17" t="str">
        <x:v>D-road proxy; B-coordinates</x:v>
      </x:c>
    </x:row>
    <x:row r="863">
      <x:c r="A863" s="17" t="str">
        <x:v>A0859</x:v>
      </x:c>
      <x:c r="B863" s="17" t="str">
        <x:v>C18</x:v>
      </x:c>
      <x:c r="C863" s="17" t="str">
        <x:v>collection</x:v>
      </x:c>
      <x:c r="D863" s="17" t="str">
        <x:v>清远虚拟回收/检测中心</x:v>
      </x:c>
      <x:c r="E863" s="24" t="n">
        <x:v>113.0505994</x:v>
      </x:c>
      <x:c r="F863" s="24" t="n">
        <x:v>23.6832984</x:v>
      </x:c>
      <x:c r="G863" s="17" t="str">
        <x:v>P09</x:v>
      </x:c>
      <x:c r="H863" s="17" t="str">
        <x:v>echelon</x:v>
      </x:c>
      <x:c r="I863" s="17" t="str">
        <x:v>广东宇阳新能源有限公司</x:v>
      </x:c>
      <x:c r="J863" s="24" t="n">
        <x:v>113.7452332</x:v>
      </x:c>
      <x:c r="K863" s="24" t="n">
        <x:v>23.0183568</x:v>
      </x:c>
      <x:c r="L863" s="21" t="n">
        <x:f>6371*ACOS(MIN(1,COS(F863*PI()/180)*COS(K863*PI()/180)*COS((J863-E863)*PI()/180)+SIN(F863*PI()/180)*SIN(K863*PI()/180)))</x:f>
        <x:v>102.44738181217072</x:v>
      </x:c>
      <x:c r="M863" s="21" t="n">
        <x:f>L863*'情景参数模板'!$D$31</x:f>
        <x:v>122.93685817460485</x:v>
      </x:c>
      <x:c r="N863" s="21" t="n">
        <x:f>IF(C863="source",'情景参数模板'!$D$12,IF(H863="echelon",'情景参数模板'!$D$13,'情景参数模板'!$D$14))</x:f>
        <x:v>0.49</x:v>
      </x:c>
      <x:c r="O863" s="21" t="n">
        <x:f>IF(C863="source",'情景参数模板'!$D$18,IF(H863="echelon",'情景参数模板'!$D$19,'情景参数模板'!$D$20))</x:f>
        <x:v>300</x:v>
      </x:c>
      <x:c r="P863" s="17" t="n">
        <x:f>IF(M863&lt;=O863,1,0)</x:f>
        <x:v>1</x:v>
      </x:c>
      <x:c r="Q863" s="17" t="str">
        <x:v>D-road proxy; B-coordinates</x:v>
      </x:c>
    </x:row>
    <x:row r="864">
      <x:c r="A864" s="17" t="str">
        <x:v>A0860</x:v>
      </x:c>
      <x:c r="B864" s="17" t="str">
        <x:v>C18</x:v>
      </x:c>
      <x:c r="C864" s="17" t="str">
        <x:v>collection</x:v>
      </x:c>
      <x:c r="D864" s="17" t="str">
        <x:v>清远虚拟回收/检测中心</x:v>
      </x:c>
      <x:c r="E864" s="24" t="n">
        <x:v>113.0505994</x:v>
      </x:c>
      <x:c r="F864" s="24" t="n">
        <x:v>23.6832984</x:v>
      </x:c>
      <x:c r="G864" s="17" t="str">
        <x:v>P10</x:v>
      </x:c>
      <x:c r="H864" s="17" t="str">
        <x:v>echelon</x:v>
      </x:c>
      <x:c r="I864" s="17" t="str">
        <x:v>广州广汽商贸再生资源有限公司</x:v>
      </x:c>
      <x:c r="J864" s="24" t="n">
        <x:v>113.2589581</x:v>
      </x:c>
      <x:c r="K864" s="24" t="n">
        <x:v>23.1288429</x:v>
      </x:c>
      <x:c r="L864" s="21" t="n">
        <x:f>6371*ACOS(MIN(1,COS(F864*PI()/180)*COS(K864*PI()/180)*COS((J864-E864)*PI()/180)+SIN(F864*PI()/180)*SIN(K864*PI()/180)))</x:f>
        <x:v>65.21589659147114</x:v>
      </x:c>
      <x:c r="M864" s="21" t="n">
        <x:f>L864*'情景参数模板'!$D$31</x:f>
        <x:v>78.25907590976536</x:v>
      </x:c>
      <x:c r="N864" s="21" t="n">
        <x:f>IF(C864="source",'情景参数模板'!$D$12,IF(H864="echelon",'情景参数模板'!$D$13,'情景参数模板'!$D$14))</x:f>
        <x:v>0.49</x:v>
      </x:c>
      <x:c r="O864" s="21" t="n">
        <x:f>IF(C864="source",'情景参数模板'!$D$18,IF(H864="echelon",'情景参数模板'!$D$19,'情景参数模板'!$D$20))</x:f>
        <x:v>300</x:v>
      </x:c>
      <x:c r="P864" s="17" t="n">
        <x:f>IF(M864&lt;=O864,1,0)</x:f>
        <x:v>1</x:v>
      </x:c>
      <x:c r="Q864" s="17" t="str">
        <x:v>D-road proxy; B-coordinates</x:v>
      </x:c>
    </x:row>
    <x:row r="865">
      <x:c r="A865" s="17" t="str">
        <x:v>A0861</x:v>
      </x:c>
      <x:c r="B865" s="17" t="str">
        <x:v>C18</x:v>
      </x:c>
      <x:c r="C865" s="17" t="str">
        <x:v>collection</x:v>
      </x:c>
      <x:c r="D865" s="17" t="str">
        <x:v>清远虚拟回收/检测中心</x:v>
      </x:c>
      <x:c r="E865" s="24" t="n">
        <x:v>113.0505994</x:v>
      </x:c>
      <x:c r="F865" s="24" t="n">
        <x:v>23.6832984</x:v>
      </x:c>
      <x:c r="G865" s="17" t="str">
        <x:v>P11</x:v>
      </x:c>
      <x:c r="H865" s="17" t="str">
        <x:v>echelon</x:v>
      </x:c>
      <x:c r="I865" s="17" t="str">
        <x:v>深圳市杰成镍钴新能源科技有限公司</x:v>
      </x:c>
      <x:c r="J865" s="24" t="n">
        <x:v>114.0545429</x:v>
      </x:c>
      <x:c r="K865" s="24" t="n">
        <x:v>22.5445741</x:v>
      </x:c>
      <x:c r="L865" s="21" t="n">
        <x:f>6371*ACOS(MIN(1,COS(F865*PI()/180)*COS(K865*PI()/180)*COS((J865-E865)*PI()/180)+SIN(F865*PI()/180)*SIN(K865*PI()/180)))</x:f>
        <x:v>163.01445483081335</x:v>
      </x:c>
      <x:c r="M865" s="21" t="n">
        <x:f>L865*'情景参数模板'!$D$31</x:f>
        <x:v>195.61734579697602</x:v>
      </x:c>
      <x:c r="N865" s="21" t="n">
        <x:f>IF(C865="source",'情景参数模板'!$D$12,IF(H865="echelon",'情景参数模板'!$D$13,'情景参数模板'!$D$14))</x:f>
        <x:v>0.49</x:v>
      </x:c>
      <x:c r="O865" s="21" t="n">
        <x:f>IF(C865="source",'情景参数模板'!$D$18,IF(H865="echelon",'情景参数模板'!$D$19,'情景参数模板'!$D$20))</x:f>
        <x:v>300</x:v>
      </x:c>
      <x:c r="P865" s="17" t="n">
        <x:f>IF(M865&lt;=O865,1,0)</x:f>
        <x:v>1</x:v>
      </x:c>
      <x:c r="Q865" s="17" t="str">
        <x:v>D-road proxy; B-coordinates</x:v>
      </x:c>
    </x:row>
    <x:row r="866">
      <x:c r="A866" s="17" t="str">
        <x:v>A0862</x:v>
      </x:c>
      <x:c r="B866" s="17" t="str">
        <x:v>C18</x:v>
      </x:c>
      <x:c r="C866" s="17" t="str">
        <x:v>collection</x:v>
      </x:c>
      <x:c r="D866" s="17" t="str">
        <x:v>清远虚拟回收/检测中心</x:v>
      </x:c>
      <x:c r="E866" s="24" t="n">
        <x:v>113.0505994</x:v>
      </x:c>
      <x:c r="F866" s="24" t="n">
        <x:v>23.6832984</x:v>
      </x:c>
      <x:c r="G866" s="17" t="str">
        <x:v>P12</x:v>
      </x:c>
      <x:c r="H866" s="17" t="str">
        <x:v>recycling</x:v>
      </x:c>
      <x:c r="I866" s="17" t="str">
        <x:v>江门市恒创睿能环保科技有限公司</x:v>
      </x:c>
      <x:c r="J866" s="24" t="n">
        <x:v>113.0761073</x:v>
      </x:c>
      <x:c r="K866" s="24" t="n">
        <x:v>22.5816619</x:v>
      </x:c>
      <x:c r="L866" s="21" t="n">
        <x:f>6371*ACOS(MIN(1,COS(F866*PI()/180)*COS(K866*PI()/180)*COS((J866-E866)*PI()/180)+SIN(F866*PI()/180)*SIN(K866*PI()/180)))</x:f>
        <x:v>122.52415451208954</x:v>
      </x:c>
      <x:c r="M866" s="21" t="n">
        <x:f>L866*'情景参数模板'!$D$31</x:f>
        <x:v>147.02898541450745</x:v>
      </x:c>
      <x:c r="N866" s="21" t="n">
        <x:f>IF(C866="source",'情景参数模板'!$D$12,IF(H866="echelon",'情景参数模板'!$D$13,'情景参数模板'!$D$14))</x:f>
        <x:v>0.49</x:v>
      </x:c>
      <x:c r="O866" s="21" t="n">
        <x:f>IF(C866="source",'情景参数模板'!$D$18,IF(H866="echelon",'情景参数模板'!$D$19,'情景参数模板'!$D$20))</x:f>
        <x:v>400</x:v>
      </x:c>
      <x:c r="P866" s="17" t="n">
        <x:f>IF(M866&lt;=O866,1,0)</x:f>
        <x:v>1</x:v>
      </x:c>
      <x:c r="Q866" s="17" t="str">
        <x:v>D-road proxy; B-coordinates</x:v>
      </x:c>
    </x:row>
    <x:row r="867">
      <x:c r="A867" s="17" t="str">
        <x:v>A0863</x:v>
      </x:c>
      <x:c r="B867" s="17" t="str">
        <x:v>C18</x:v>
      </x:c>
      <x:c r="C867" s="17" t="str">
        <x:v>collection</x:v>
      </x:c>
      <x:c r="D867" s="17" t="str">
        <x:v>清远虚拟回收/检测中心</x:v>
      </x:c>
      <x:c r="E867" s="24" t="n">
        <x:v>113.0505994</x:v>
      </x:c>
      <x:c r="F867" s="24" t="n">
        <x:v>23.6832984</x:v>
      </x:c>
      <x:c r="G867" s="17" t="str">
        <x:v>P13</x:v>
      </x:c>
      <x:c r="H867" s="17" t="str">
        <x:v>recycling</x:v>
      </x:c>
      <x:c r="I867" s="17" t="str">
        <x:v>广东佳纳能源科技有限公司</x:v>
      </x:c>
      <x:c r="J867" s="24" t="n">
        <x:v>113.0505994</x:v>
      </x:c>
      <x:c r="K867" s="24" t="n">
        <x:v>23.6832984</x:v>
      </x:c>
      <x:c r="L867" s="21" t="n">
        <x:f>6371*ACOS(MIN(1,COS(F867*PI()/180)*COS(K867*PI()/180)*COS((J867-E867)*PI()/180)+SIN(F867*PI()/180)*SIN(K867*PI()/180)))</x:f>
        <x:v>0</x:v>
      </x:c>
      <x:c r="M867" s="21" t="n">
        <x:f>L867*'情景参数模板'!$D$31</x:f>
        <x:v>0</x:v>
      </x:c>
      <x:c r="N867" s="21" t="n">
        <x:f>IF(C867="source",'情景参数模板'!$D$12,IF(H867="echelon",'情景参数模板'!$D$13,'情景参数模板'!$D$14))</x:f>
        <x:v>0.49</x:v>
      </x:c>
      <x:c r="O867" s="21" t="n">
        <x:f>IF(C867="source",'情景参数模板'!$D$18,IF(H867="echelon",'情景参数模板'!$D$19,'情景参数模板'!$D$20))</x:f>
        <x:v>400</x:v>
      </x:c>
      <x:c r="P867" s="17" t="n">
        <x:f>IF(M867&lt;=O867,1,0)</x:f>
        <x:v>1</x:v>
      </x:c>
      <x:c r="Q867" s="17" t="str">
        <x:v>D-road proxy; B-coordinates</x:v>
      </x:c>
    </x:row>
    <x:row r="868">
      <x:c r="A868" s="17" t="str">
        <x:v>A0864</x:v>
      </x:c>
      <x:c r="B868" s="17" t="str">
        <x:v>C18</x:v>
      </x:c>
      <x:c r="C868" s="17" t="str">
        <x:v>collection</x:v>
      </x:c>
      <x:c r="D868" s="17" t="str">
        <x:v>清远虚拟回收/检测中心</x:v>
      </x:c>
      <x:c r="E868" s="24" t="n">
        <x:v>113.0505994</x:v>
      </x:c>
      <x:c r="F868" s="24" t="n">
        <x:v>23.6832984</x:v>
      </x:c>
      <x:c r="G868" s="17" t="str">
        <x:v>P14</x:v>
      </x:c>
      <x:c r="H868" s="17" t="str">
        <x:v>echelon</x:v>
      </x:c>
      <x:c r="I868" s="17" t="str">
        <x:v>格林美（深圳）循环科技有限公司</x:v>
      </x:c>
      <x:c r="J868" s="24" t="n">
        <x:v>114.0545429</x:v>
      </x:c>
      <x:c r="K868" s="24" t="n">
        <x:v>22.5445741</x:v>
      </x:c>
      <x:c r="L868" s="21" t="n">
        <x:f>6371*ACOS(MIN(1,COS(F868*PI()/180)*COS(K868*PI()/180)*COS((J868-E868)*PI()/180)+SIN(F868*PI()/180)*SIN(K868*PI()/180)))</x:f>
        <x:v>163.01445483081335</x:v>
      </x:c>
      <x:c r="M868" s="21" t="n">
        <x:f>L868*'情景参数模板'!$D$31</x:f>
        <x:v>195.61734579697602</x:v>
      </x:c>
      <x:c r="N868" s="21" t="n">
        <x:f>IF(C868="source",'情景参数模板'!$D$12,IF(H868="echelon",'情景参数模板'!$D$13,'情景参数模板'!$D$14))</x:f>
        <x:v>0.49</x:v>
      </x:c>
      <x:c r="O868" s="21" t="n">
        <x:f>IF(C868="source",'情景参数模板'!$D$18,IF(H868="echelon",'情景参数模板'!$D$19,'情景参数模板'!$D$20))</x:f>
        <x:v>300</x:v>
      </x:c>
      <x:c r="P868" s="17" t="n">
        <x:f>IF(M868&lt;=O868,1,0)</x:f>
        <x:v>1</x:v>
      </x:c>
      <x:c r="Q868" s="17" t="str">
        <x:v>D-road proxy; B-coordinates</x:v>
      </x:c>
    </x:row>
    <x:row r="869">
      <x:c r="A869" s="17" t="str">
        <x:v>A0865</x:v>
      </x:c>
      <x:c r="B869" s="17" t="str">
        <x:v>C18</x:v>
      </x:c>
      <x:c r="C869" s="17" t="str">
        <x:v>collection</x:v>
      </x:c>
      <x:c r="D869" s="17" t="str">
        <x:v>清远虚拟回收/检测中心</x:v>
      </x:c>
      <x:c r="E869" s="24" t="n">
        <x:v>113.0505994</x:v>
      </x:c>
      <x:c r="F869" s="24" t="n">
        <x:v>23.6832984</x:v>
      </x:c>
      <x:c r="G869" s="17" t="str">
        <x:v>P15</x:v>
      </x:c>
      <x:c r="H869" s="17" t="str">
        <x:v>echelon</x:v>
      </x:c>
      <x:c r="I869" s="17" t="str">
        <x:v>绿循新能源科技（佛山）有限责任公司</x:v>
      </x:c>
      <x:c r="J869" s="24" t="n">
        <x:v>113.1159558</x:v>
      </x:c>
      <x:c r="K869" s="24" t="n">
        <x:v>23.0239788</x:v>
      </x:c>
      <x:c r="L869" s="21" t="n">
        <x:f>6371*ACOS(MIN(1,COS(F869*PI()/180)*COS(K869*PI()/180)*COS((J869-E869)*PI()/180)+SIN(F869*PI()/180)*SIN(K869*PI()/180)))</x:f>
        <x:v>73.61595665399058</x:v>
      </x:c>
      <x:c r="M869" s="21" t="n">
        <x:f>L869*'情景参数模板'!$D$31</x:f>
        <x:v>88.3391479847887</x:v>
      </x:c>
      <x:c r="N869" s="21" t="n">
        <x:f>IF(C869="source",'情景参数模板'!$D$12,IF(H869="echelon",'情景参数模板'!$D$13,'情景参数模板'!$D$14))</x:f>
        <x:v>0.49</x:v>
      </x:c>
      <x:c r="O869" s="21" t="n">
        <x:f>IF(C869="source",'情景参数模板'!$D$18,IF(H869="echelon",'情景参数模板'!$D$19,'情景参数模板'!$D$20))</x:f>
        <x:v>300</x:v>
      </x:c>
      <x:c r="P869" s="17" t="n">
        <x:f>IF(M869&lt;=O869,1,0)</x:f>
        <x:v>1</x:v>
      </x:c>
      <x:c r="Q869" s="17" t="str">
        <x:v>D-road proxy; B-coordinates</x:v>
      </x:c>
    </x:row>
    <x:row r="870">
      <x:c r="A870" s="17" t="str">
        <x:v>A0866</x:v>
      </x:c>
      <x:c r="B870" s="17" t="str">
        <x:v>C18</x:v>
      </x:c>
      <x:c r="C870" s="17" t="str">
        <x:v>collection</x:v>
      </x:c>
      <x:c r="D870" s="17" t="str">
        <x:v>清远虚拟回收/检测中心</x:v>
      </x:c>
      <x:c r="E870" s="24" t="n">
        <x:v>113.0505994</x:v>
      </x:c>
      <x:c r="F870" s="24" t="n">
        <x:v>23.6832984</x:v>
      </x:c>
      <x:c r="G870" s="17" t="str">
        <x:v>P16</x:v>
      </x:c>
      <x:c r="H870" s="17" t="str">
        <x:v>echelon</x:v>
      </x:c>
      <x:c r="I870" s="17" t="str">
        <x:v>深圳艾云动智慧科技有限公司</x:v>
      </x:c>
      <x:c r="J870" s="24" t="n">
        <x:v>114.0545429</x:v>
      </x:c>
      <x:c r="K870" s="24" t="n">
        <x:v>22.5445741</x:v>
      </x:c>
      <x:c r="L870" s="21" t="n">
        <x:f>6371*ACOS(MIN(1,COS(F870*PI()/180)*COS(K870*PI()/180)*COS((J870-E870)*PI()/180)+SIN(F870*PI()/180)*SIN(K870*PI()/180)))</x:f>
        <x:v>163.01445483081335</x:v>
      </x:c>
      <x:c r="M870" s="21" t="n">
        <x:f>L870*'情景参数模板'!$D$31</x:f>
        <x:v>195.61734579697602</x:v>
      </x:c>
      <x:c r="N870" s="21" t="n">
        <x:f>IF(C870="source",'情景参数模板'!$D$12,IF(H870="echelon",'情景参数模板'!$D$13,'情景参数模板'!$D$14))</x:f>
        <x:v>0.49</x:v>
      </x:c>
      <x:c r="O870" s="21" t="n">
        <x:f>IF(C870="source",'情景参数模板'!$D$18,IF(H870="echelon",'情景参数模板'!$D$19,'情景参数模板'!$D$20))</x:f>
        <x:v>300</x:v>
      </x:c>
      <x:c r="P870" s="17" t="n">
        <x:f>IF(M870&lt;=O870,1,0)</x:f>
        <x:v>1</x:v>
      </x:c>
      <x:c r="Q870" s="17" t="str">
        <x:v>D-road proxy; B-coordinates</x:v>
      </x:c>
    </x:row>
    <x:row r="871">
      <x:c r="A871" s="17" t="str">
        <x:v>A0867</x:v>
      </x:c>
      <x:c r="B871" s="17" t="str">
        <x:v>C18</x:v>
      </x:c>
      <x:c r="C871" s="17" t="str">
        <x:v>collection</x:v>
      </x:c>
      <x:c r="D871" s="17" t="str">
        <x:v>清远虚拟回收/检测中心</x:v>
      </x:c>
      <x:c r="E871" s="24" t="n">
        <x:v>113.0505994</x:v>
      </x:c>
      <x:c r="F871" s="24" t="n">
        <x:v>23.6832984</x:v>
      </x:c>
      <x:c r="G871" s="17" t="str">
        <x:v>P17</x:v>
      </x:c>
      <x:c r="H871" s="17" t="str">
        <x:v>echelon</x:v>
      </x:c>
      <x:c r="I871" s="17" t="str">
        <x:v>深圳市荣高晟新能源科技有限公司</x:v>
      </x:c>
      <x:c r="J871" s="24" t="n">
        <x:v>114.0545429</x:v>
      </x:c>
      <x:c r="K871" s="24" t="n">
        <x:v>22.5445741</x:v>
      </x:c>
      <x:c r="L871" s="21" t="n">
        <x:f>6371*ACOS(MIN(1,COS(F871*PI()/180)*COS(K871*PI()/180)*COS((J871-E871)*PI()/180)+SIN(F871*PI()/180)*SIN(K871*PI()/180)))</x:f>
        <x:v>163.01445483081335</x:v>
      </x:c>
      <x:c r="M871" s="21" t="n">
        <x:f>L871*'情景参数模板'!$D$31</x:f>
        <x:v>195.61734579697602</x:v>
      </x:c>
      <x:c r="N871" s="21" t="n">
        <x:f>IF(C871="source",'情景参数模板'!$D$12,IF(H871="echelon",'情景参数模板'!$D$13,'情景参数模板'!$D$14))</x:f>
        <x:v>0.49</x:v>
      </x:c>
      <x:c r="O871" s="21" t="n">
        <x:f>IF(C871="source",'情景参数模板'!$D$18,IF(H871="echelon",'情景参数模板'!$D$19,'情景参数模板'!$D$20))</x:f>
        <x:v>300</x:v>
      </x:c>
      <x:c r="P871" s="17" t="n">
        <x:f>IF(M871&lt;=O871,1,0)</x:f>
        <x:v>1</x:v>
      </x:c>
      <x:c r="Q871" s="17" t="str">
        <x:v>D-road proxy; B-coordinates</x:v>
      </x:c>
    </x:row>
    <x:row r="872">
      <x:c r="A872" s="17" t="str">
        <x:v>A0868</x:v>
      </x:c>
      <x:c r="B872" s="17" t="str">
        <x:v>C18</x:v>
      </x:c>
      <x:c r="C872" s="17" t="str">
        <x:v>collection</x:v>
      </x:c>
      <x:c r="D872" s="17" t="str">
        <x:v>清远虚拟回收/检测中心</x:v>
      </x:c>
      <x:c r="E872" s="24" t="n">
        <x:v>113.0505994</x:v>
      </x:c>
      <x:c r="F872" s="24" t="n">
        <x:v>23.6832984</x:v>
      </x:c>
      <x:c r="G872" s="17" t="str">
        <x:v>P18</x:v>
      </x:c>
      <x:c r="H872" s="17" t="str">
        <x:v>echelon</x:v>
      </x:c>
      <x:c r="I872" s="17" t="str">
        <x:v>中商锂新能源科技（惠州）有限公司</x:v>
      </x:c>
      <x:c r="J872" s="24" t="n">
        <x:v>114.4127007</x:v>
      </x:c>
      <x:c r="K872" s="24" t="n">
        <x:v>23.1125153</x:v>
      </x:c>
      <x:c r="L872" s="21" t="n">
        <x:f>6371*ACOS(MIN(1,COS(F872*PI()/180)*COS(K872*PI()/180)*COS((J872-E872)*PI()/180)+SIN(F872*PI()/180)*SIN(K872*PI()/180)))</x:f>
        <x:v>152.80699130297583</x:v>
      </x:c>
      <x:c r="M872" s="21" t="n">
        <x:f>L872*'情景参数模板'!$D$31</x:f>
        <x:v>183.368389563571</x:v>
      </x:c>
      <x:c r="N872" s="21" t="n">
        <x:f>IF(C872="source",'情景参数模板'!$D$12,IF(H872="echelon",'情景参数模板'!$D$13,'情景参数模板'!$D$14))</x:f>
        <x:v>0.49</x:v>
      </x:c>
      <x:c r="O872" s="21" t="n">
        <x:f>IF(C872="source",'情景参数模板'!$D$18,IF(H872="echelon",'情景参数模板'!$D$19,'情景参数模板'!$D$20))</x:f>
        <x:v>300</x:v>
      </x:c>
      <x:c r="P872" s="17" t="n">
        <x:f>IF(M872&lt;=O872,1,0)</x:f>
        <x:v>1</x:v>
      </x:c>
      <x:c r="Q872" s="17" t="str">
        <x:v>D-road proxy; B-coordinates</x:v>
      </x:c>
    </x:row>
    <x:row r="873">
      <x:c r="A873" s="17" t="str">
        <x:v>A0869</x:v>
      </x:c>
      <x:c r="B873" s="17" t="str">
        <x:v>C18</x:v>
      </x:c>
      <x:c r="C873" s="17" t="str">
        <x:v>collection</x:v>
      </x:c>
      <x:c r="D873" s="17" t="str">
        <x:v>清远虚拟回收/检测中心</x:v>
      </x:c>
      <x:c r="E873" s="24" t="n">
        <x:v>113.0505994</x:v>
      </x:c>
      <x:c r="F873" s="24" t="n">
        <x:v>23.6832984</x:v>
      </x:c>
      <x:c r="G873" s="17" t="str">
        <x:v>P19</x:v>
      </x:c>
      <x:c r="H873" s="17" t="str">
        <x:v>recycling</x:v>
      </x:c>
      <x:c r="I873" s="17" t="str">
        <x:v>广东盛祥新材料科技有限公司</x:v>
      </x:c>
      <x:c r="J873" s="24" t="n">
        <x:v>113.8155263</x:v>
      </x:c>
      <x:c r="K873" s="24" t="n">
        <x:v>24.8309489</x:v>
      </x:c>
      <x:c r="L873" s="21" t="n">
        <x:f>6371*ACOS(MIN(1,COS(F873*PI()/180)*COS(K873*PI()/180)*COS((J873-E873)*PI()/180)+SIN(F873*PI()/180)*SIN(K873*PI()/180)))</x:f>
        <x:v>149.32572957361296</x:v>
      </x:c>
      <x:c r="M873" s="21" t="n">
        <x:f>L873*'情景参数模板'!$D$31</x:f>
        <x:v>179.19087548833554</x:v>
      </x:c>
      <x:c r="N873" s="21" t="n">
        <x:f>IF(C873="source",'情景参数模板'!$D$12,IF(H873="echelon",'情景参数模板'!$D$13,'情景参数模板'!$D$14))</x:f>
        <x:v>0.49</x:v>
      </x:c>
      <x:c r="O873" s="21" t="n">
        <x:f>IF(C873="source",'情景参数模板'!$D$18,IF(H873="echelon",'情景参数模板'!$D$19,'情景参数模板'!$D$20))</x:f>
        <x:v>400</x:v>
      </x:c>
      <x:c r="P873" s="17" t="n">
        <x:f>IF(M873&lt;=O873,1,0)</x:f>
        <x:v>1</x:v>
      </x:c>
      <x:c r="Q873" s="17" t="str">
        <x:v>D-road proxy; B-coordinates</x:v>
      </x:c>
    </x:row>
    <x:row r="874">
      <x:c r="A874" s="17" t="str">
        <x:v>A0870</x:v>
      </x:c>
      <x:c r="B874" s="17" t="str">
        <x:v>C18</x:v>
      </x:c>
      <x:c r="C874" s="17" t="str">
        <x:v>collection</x:v>
      </x:c>
      <x:c r="D874" s="17" t="str">
        <x:v>清远虚拟回收/检测中心</x:v>
      </x:c>
      <x:c r="E874" s="24" t="n">
        <x:v>113.0505994</x:v>
      </x:c>
      <x:c r="F874" s="24" t="n">
        <x:v>23.6832984</x:v>
      </x:c>
      <x:c r="G874" s="17" t="str">
        <x:v>P20E</x:v>
      </x:c>
      <x:c r="H874" s="17" t="str">
        <x:v>echelon</x:v>
      </x:c>
      <x:c r="I874" s="17" t="str">
        <x:v>广东金晟新能源股份有限公司（梯次功能）</x:v>
      </x:c>
      <x:c r="J874" s="24" t="n">
        <x:v>112.4603629</x:v>
      </x:c>
      <x:c r="K874" s="24" t="n">
        <x:v>23.0501661</x:v>
      </x:c>
      <x:c r="L874" s="21" t="n">
        <x:f>6371*ACOS(MIN(1,COS(F874*PI()/180)*COS(K874*PI()/180)*COS((J874-E874)*PI()/180)+SIN(F874*PI()/180)*SIN(K874*PI()/180)))</x:f>
        <x:v>92.66143114992624</x:v>
      </x:c>
      <x:c r="M874" s="21" t="n">
        <x:f>L874*'情景参数模板'!$D$31</x:f>
        <x:v>111.19371737991149</x:v>
      </x:c>
      <x:c r="N874" s="21" t="n">
        <x:f>IF(C874="source",'情景参数模板'!$D$12,IF(H874="echelon",'情景参数模板'!$D$13,'情景参数模板'!$D$14))</x:f>
        <x:v>0.49</x:v>
      </x:c>
      <x:c r="O874" s="21" t="n">
        <x:f>IF(C874="source",'情景参数模板'!$D$18,IF(H874="echelon",'情景参数模板'!$D$19,'情景参数模板'!$D$20))</x:f>
        <x:v>300</x:v>
      </x:c>
      <x:c r="P874" s="17" t="n">
        <x:f>IF(M874&lt;=O874,1,0)</x:f>
        <x:v>1</x:v>
      </x:c>
      <x:c r="Q874" s="17" t="str">
        <x:v>D-road proxy; B-coordinates</x:v>
      </x:c>
    </x:row>
    <x:row r="875">
      <x:c r="A875" s="17" t="str">
        <x:v>A0871</x:v>
      </x:c>
      <x:c r="B875" s="17" t="str">
        <x:v>C18</x:v>
      </x:c>
      <x:c r="C875" s="17" t="str">
        <x:v>collection</x:v>
      </x:c>
      <x:c r="D875" s="17" t="str">
        <x:v>清远虚拟回收/检测中心</x:v>
      </x:c>
      <x:c r="E875" s="24" t="n">
        <x:v>113.0505994</x:v>
      </x:c>
      <x:c r="F875" s="24" t="n">
        <x:v>23.6832984</x:v>
      </x:c>
      <x:c r="G875" s="17" t="str">
        <x:v>P20R</x:v>
      </x:c>
      <x:c r="H875" s="17" t="str">
        <x:v>recycling</x:v>
      </x:c>
      <x:c r="I875" s="17" t="str">
        <x:v>广东金晟新能源股份有限公司（再生功能）</x:v>
      </x:c>
      <x:c r="J875" s="24" t="n">
        <x:v>112.4603629</x:v>
      </x:c>
      <x:c r="K875" s="24" t="n">
        <x:v>23.0501661</x:v>
      </x:c>
      <x:c r="L875" s="21" t="n">
        <x:f>6371*ACOS(MIN(1,COS(F875*PI()/180)*COS(K875*PI()/180)*COS((J875-E875)*PI()/180)+SIN(F875*PI()/180)*SIN(K875*PI()/180)))</x:f>
        <x:v>92.66143114992624</x:v>
      </x:c>
      <x:c r="M875" s="21" t="n">
        <x:f>L875*'情景参数模板'!$D$31</x:f>
        <x:v>111.19371737991149</x:v>
      </x:c>
      <x:c r="N875" s="21" t="n">
        <x:f>IF(C875="source",'情景参数模板'!$D$12,IF(H875="echelon",'情景参数模板'!$D$13,'情景参数模板'!$D$14))</x:f>
        <x:v>0.49</x:v>
      </x:c>
      <x:c r="O875" s="21" t="n">
        <x:f>IF(C875="source",'情景参数模板'!$D$18,IF(H875="echelon",'情景参数模板'!$D$19,'情景参数模板'!$D$20))</x:f>
        <x:v>400</x:v>
      </x:c>
      <x:c r="P875" s="17" t="n">
        <x:f>IF(M875&lt;=O875,1,0)</x:f>
        <x:v>1</x:v>
      </x:c>
      <x:c r="Q875" s="17" t="str">
        <x:v>D-road proxy; B-coordinates</x:v>
      </x:c>
    </x:row>
    <x:row r="876">
      <x:c r="A876" s="17" t="str">
        <x:v>A0872</x:v>
      </x:c>
      <x:c r="B876" s="17" t="str">
        <x:v>C18</x:v>
      </x:c>
      <x:c r="C876" s="17" t="str">
        <x:v>collection</x:v>
      </x:c>
      <x:c r="D876" s="17" t="str">
        <x:v>清远虚拟回收/检测中心</x:v>
      </x:c>
      <x:c r="E876" s="24" t="n">
        <x:v>113.0505994</x:v>
      </x:c>
      <x:c r="F876" s="24" t="n">
        <x:v>23.6832984</x:v>
      </x:c>
      <x:c r="G876" s="17" t="str">
        <x:v>P21E</x:v>
      </x:c>
      <x:c r="H876" s="17" t="str">
        <x:v>echelon</x:v>
      </x:c>
      <x:c r="I876" s="17" t="str">
        <x:v>广东瑞科美电源技术有限公司（梯次功能）</x:v>
      </x:c>
      <x:c r="J876" s="24" t="n">
        <x:v>113.1159558</x:v>
      </x:c>
      <x:c r="K876" s="24" t="n">
        <x:v>23.0239788</x:v>
      </x:c>
      <x:c r="L876" s="21" t="n">
        <x:f>6371*ACOS(MIN(1,COS(F876*PI()/180)*COS(K876*PI()/180)*COS((J876-E876)*PI()/180)+SIN(F876*PI()/180)*SIN(K876*PI()/180)))</x:f>
        <x:v>73.61595665399058</x:v>
      </x:c>
      <x:c r="M876" s="21" t="n">
        <x:f>L876*'情景参数模板'!$D$31</x:f>
        <x:v>88.3391479847887</x:v>
      </x:c>
      <x:c r="N876" s="21" t="n">
        <x:f>IF(C876="source",'情景参数模板'!$D$12,IF(H876="echelon",'情景参数模板'!$D$13,'情景参数模板'!$D$14))</x:f>
        <x:v>0.49</x:v>
      </x:c>
      <x:c r="O876" s="21" t="n">
        <x:f>IF(C876="source",'情景参数模板'!$D$18,IF(H876="echelon",'情景参数模板'!$D$19,'情景参数模板'!$D$20))</x:f>
        <x:v>300</x:v>
      </x:c>
      <x:c r="P876" s="17" t="n">
        <x:f>IF(M876&lt;=O876,1,0)</x:f>
        <x:v>1</x:v>
      </x:c>
      <x:c r="Q876" s="17" t="str">
        <x:v>D-road proxy; B-coordinates</x:v>
      </x:c>
    </x:row>
    <x:row r="877">
      <x:c r="A877" s="17" t="str">
        <x:v>A0873</x:v>
      </x:c>
      <x:c r="B877" s="17" t="str">
        <x:v>C18</x:v>
      </x:c>
      <x:c r="C877" s="17" t="str">
        <x:v>collection</x:v>
      </x:c>
      <x:c r="D877" s="17" t="str">
        <x:v>清远虚拟回收/检测中心</x:v>
      </x:c>
      <x:c r="E877" s="24" t="n">
        <x:v>113.0505994</x:v>
      </x:c>
      <x:c r="F877" s="24" t="n">
        <x:v>23.6832984</x:v>
      </x:c>
      <x:c r="G877" s="17" t="str">
        <x:v>P21R</x:v>
      </x:c>
      <x:c r="H877" s="17" t="str">
        <x:v>recycling</x:v>
      </x:c>
      <x:c r="I877" s="17" t="str">
        <x:v>广东瑞科美电源技术有限公司（再生功能）</x:v>
      </x:c>
      <x:c r="J877" s="24" t="n">
        <x:v>113.1159558</x:v>
      </x:c>
      <x:c r="K877" s="24" t="n">
        <x:v>23.0239788</x:v>
      </x:c>
      <x:c r="L877" s="21" t="n">
        <x:f>6371*ACOS(MIN(1,COS(F877*PI()/180)*COS(K877*PI()/180)*COS((J877-E877)*PI()/180)+SIN(F877*PI()/180)*SIN(K877*PI()/180)))</x:f>
        <x:v>73.61595665399058</x:v>
      </x:c>
      <x:c r="M877" s="21" t="n">
        <x:f>L877*'情景参数模板'!$D$31</x:f>
        <x:v>88.3391479847887</x:v>
      </x:c>
      <x:c r="N877" s="21" t="n">
        <x:f>IF(C877="source",'情景参数模板'!$D$12,IF(H877="echelon",'情景参数模板'!$D$13,'情景参数模板'!$D$14))</x:f>
        <x:v>0.49</x:v>
      </x:c>
      <x:c r="O877" s="21" t="n">
        <x:f>IF(C877="source",'情景参数模板'!$D$18,IF(H877="echelon",'情景参数模板'!$D$19,'情景参数模板'!$D$20))</x:f>
        <x:v>400</x:v>
      </x:c>
      <x:c r="P877" s="17" t="n">
        <x:f>IF(M877&lt;=O877,1,0)</x:f>
        <x:v>1</x:v>
      </x:c>
      <x:c r="Q877" s="17" t="str">
        <x:v>D-road proxy; B-coordinates</x:v>
      </x:c>
    </x:row>
    <x:row r="878">
      <x:c r="A878" s="17" t="str">
        <x:v>A0874</x:v>
      </x:c>
      <x:c r="B878" s="17" t="str">
        <x:v>C19</x:v>
      </x:c>
      <x:c r="C878" s="17" t="str">
        <x:v>collection</x:v>
      </x:c>
      <x:c r="D878" s="17" t="str">
        <x:v>潮州虚拟回收/检测中心</x:v>
      </x:c>
      <x:c r="E878" s="24" t="n">
        <x:v>116.6204223</x:v>
      </x:c>
      <x:c r="F878" s="24" t="n">
        <x:v>23.656593</x:v>
      </x:c>
      <x:c r="G878" s="17" t="str">
        <x:v>P01</x:v>
      </x:c>
      <x:c r="H878" s="17" t="str">
        <x:v>recycling</x:v>
      </x:c>
      <x:c r="I878" s="17" t="str">
        <x:v>汕尾比亚迪废旧动力电池回收项目</x:v>
      </x:c>
      <x:c r="J878" s="24" t="n">
        <x:v>115.3492668</x:v>
      </x:c>
      <x:c r="K878" s="24" t="n">
        <x:v>22.838065</x:v>
      </x:c>
      <x:c r="L878" s="21" t="n">
        <x:f>6371*ACOS(MIN(1,COS(F878*PI()/180)*COS(K878*PI()/180)*COS((J878-E878)*PI()/180)+SIN(F878*PI()/180)*SIN(K878*PI()/180)))</x:f>
        <x:v>158.5863537782904</x:v>
      </x:c>
      <x:c r="M878" s="21" t="n">
        <x:f>L878*'情景参数模板'!$D$31</x:f>
        <x:v>190.30362453394847</x:v>
      </x:c>
      <x:c r="N878" s="21" t="n">
        <x:f>IF(C878="source",'情景参数模板'!$D$12,IF(H878="echelon",'情景参数模板'!$D$13,'情景参数模板'!$D$14))</x:f>
        <x:v>0.49</x:v>
      </x:c>
      <x:c r="O878" s="21" t="n">
        <x:f>IF(C878="source",'情景参数模板'!$D$18,IF(H878="echelon",'情景参数模板'!$D$19,'情景参数模板'!$D$20))</x:f>
        <x:v>400</x:v>
      </x:c>
      <x:c r="P878" s="17" t="n">
        <x:f>IF(M878&lt;=O878,1,0)</x:f>
        <x:v>1</x:v>
      </x:c>
      <x:c r="Q878" s="17" t="str">
        <x:v>D-road proxy; B-coordinates</x:v>
      </x:c>
    </x:row>
    <x:row r="879">
      <x:c r="A879" s="17" t="str">
        <x:v>A0875</x:v>
      </x:c>
      <x:c r="B879" s="17" t="str">
        <x:v>C19</x:v>
      </x:c>
      <x:c r="C879" s="17" t="str">
        <x:v>collection</x:v>
      </x:c>
      <x:c r="D879" s="17" t="str">
        <x:v>潮州虚拟回收/检测中心</x:v>
      </x:c>
      <x:c r="E879" s="24" t="n">
        <x:v>116.6204223</x:v>
      </x:c>
      <x:c r="F879" s="24" t="n">
        <x:v>23.656593</x:v>
      </x:c>
      <x:c r="G879" s="17" t="str">
        <x:v>P02E</x:v>
      </x:c>
      <x:c r="H879" s="17" t="str">
        <x:v>echelon</x:v>
      </x:c>
      <x:c r="I879" s="17" t="str">
        <x:v>广东光华科技股份有限公司（梯次功能）</x:v>
      </x:c>
      <x:c r="J879" s="24" t="n">
        <x:v>116.6775856</x:v>
      </x:c>
      <x:c r="K879" s="24" t="n">
        <x:v>23.3563921</x:v>
      </x:c>
      <x:c r="L879" s="21" t="n">
        <x:f>6371*ACOS(MIN(1,COS(F879*PI()/180)*COS(K879*PI()/180)*COS((J879-E879)*PI()/180)+SIN(F879*PI()/180)*SIN(K879*PI()/180)))</x:f>
        <x:v>33.88589168759266</x:v>
      </x:c>
      <x:c r="M879" s="21" t="n">
        <x:f>L879*'情景参数模板'!$D$31</x:f>
        <x:v>40.66307002511119</x:v>
      </x:c>
      <x:c r="N879" s="21" t="n">
        <x:f>IF(C879="source",'情景参数模板'!$D$12,IF(H879="echelon",'情景参数模板'!$D$13,'情景参数模板'!$D$14))</x:f>
        <x:v>0.49</x:v>
      </x:c>
      <x:c r="O879" s="21" t="n">
        <x:f>IF(C879="source",'情景参数模板'!$D$18,IF(H879="echelon",'情景参数模板'!$D$19,'情景参数模板'!$D$20))</x:f>
        <x:v>300</x:v>
      </x:c>
      <x:c r="P879" s="17" t="n">
        <x:f>IF(M879&lt;=O879,1,0)</x:f>
        <x:v>1</x:v>
      </x:c>
      <x:c r="Q879" s="17" t="str">
        <x:v>D-road proxy; B-coordinates</x:v>
      </x:c>
    </x:row>
    <x:row r="880">
      <x:c r="A880" s="17" t="str">
        <x:v>A0876</x:v>
      </x:c>
      <x:c r="B880" s="17" t="str">
        <x:v>C19</x:v>
      </x:c>
      <x:c r="C880" s="17" t="str">
        <x:v>collection</x:v>
      </x:c>
      <x:c r="D880" s="17" t="str">
        <x:v>潮州虚拟回收/检测中心</x:v>
      </x:c>
      <x:c r="E880" s="24" t="n">
        <x:v>116.6204223</x:v>
      </x:c>
      <x:c r="F880" s="24" t="n">
        <x:v>23.656593</x:v>
      </x:c>
      <x:c r="G880" s="17" t="str">
        <x:v>P02R</x:v>
      </x:c>
      <x:c r="H880" s="17" t="str">
        <x:v>recycling</x:v>
      </x:c>
      <x:c r="I880" s="17" t="str">
        <x:v>广东光华科技股份有限公司（再生功能）</x:v>
      </x:c>
      <x:c r="J880" s="24" t="n">
        <x:v>116.6775856</x:v>
      </x:c>
      <x:c r="K880" s="24" t="n">
        <x:v>23.3563921</x:v>
      </x:c>
      <x:c r="L880" s="21" t="n">
        <x:f>6371*ACOS(MIN(1,COS(F880*PI()/180)*COS(K880*PI()/180)*COS((J880-E880)*PI()/180)+SIN(F880*PI()/180)*SIN(K880*PI()/180)))</x:f>
        <x:v>33.88589168759266</x:v>
      </x:c>
      <x:c r="M880" s="21" t="n">
        <x:f>L880*'情景参数模板'!$D$31</x:f>
        <x:v>40.66307002511119</x:v>
      </x:c>
      <x:c r="N880" s="21" t="n">
        <x:f>IF(C880="source",'情景参数模板'!$D$12,IF(H880="echelon",'情景参数模板'!$D$13,'情景参数模板'!$D$14))</x:f>
        <x:v>0.49</x:v>
      </x:c>
      <x:c r="O880" s="21" t="n">
        <x:f>IF(C880="source",'情景参数模板'!$D$18,IF(H880="echelon",'情景参数模板'!$D$19,'情景参数模板'!$D$20))</x:f>
        <x:v>400</x:v>
      </x:c>
      <x:c r="P880" s="17" t="n">
        <x:f>IF(M880&lt;=O880,1,0)</x:f>
        <x:v>1</x:v>
      </x:c>
      <x:c r="Q880" s="17" t="str">
        <x:v>D-road proxy; B-coordinates</x:v>
      </x:c>
    </x:row>
    <x:row r="881">
      <x:c r="A881" s="17" t="str">
        <x:v>A0877</x:v>
      </x:c>
      <x:c r="B881" s="17" t="str">
        <x:v>C19</x:v>
      </x:c>
      <x:c r="C881" s="17" t="str">
        <x:v>collection</x:v>
      </x:c>
      <x:c r="D881" s="17" t="str">
        <x:v>潮州虚拟回收/检测中心</x:v>
      </x:c>
      <x:c r="E881" s="24" t="n">
        <x:v>116.6204223</x:v>
      </x:c>
      <x:c r="F881" s="24" t="n">
        <x:v>23.656593</x:v>
      </x:c>
      <x:c r="G881" s="17" t="str">
        <x:v>P03</x:v>
      </x:c>
      <x:c r="H881" s="17" t="str">
        <x:v>echelon</x:v>
      </x:c>
      <x:c r="I881" s="17" t="str">
        <x:v>深圳深汕特别合作区乾泰技术有限公司</x:v>
      </x:c>
      <x:c r="J881" s="24" t="n">
        <x:v>115.5099937</x:v>
      </x:c>
      <x:c r="K881" s="24" t="n">
        <x:v>23.0123639</x:v>
      </x:c>
      <x:c r="L881" s="21" t="n">
        <x:f>6371*ACOS(MIN(1,COS(F881*PI()/180)*COS(K881*PI()/180)*COS((J881-E881)*PI()/180)+SIN(F881*PI()/180)*SIN(K881*PI()/180)))</x:f>
        <x:v>134.10876046805132</x:v>
      </x:c>
      <x:c r="M881" s="21" t="n">
        <x:f>L881*'情景参数模板'!$D$31</x:f>
        <x:v>160.93051256166157</x:v>
      </x:c>
      <x:c r="N881" s="21" t="n">
        <x:f>IF(C881="source",'情景参数模板'!$D$12,IF(H881="echelon",'情景参数模板'!$D$13,'情景参数模板'!$D$14))</x:f>
        <x:v>0.49</x:v>
      </x:c>
      <x:c r="O881" s="21" t="n">
        <x:f>IF(C881="source",'情景参数模板'!$D$18,IF(H881="echelon",'情景参数模板'!$D$19,'情景参数模板'!$D$20))</x:f>
        <x:v>300</x:v>
      </x:c>
      <x:c r="P881" s="17" t="n">
        <x:f>IF(M881&lt;=O881,1,0)</x:f>
        <x:v>1</x:v>
      </x:c>
      <x:c r="Q881" s="17" t="str">
        <x:v>D-road proxy; B-coordinates</x:v>
      </x:c>
    </x:row>
    <x:row r="882">
      <x:c r="A882" s="17" t="str">
        <x:v>A0878</x:v>
      </x:c>
      <x:c r="B882" s="17" t="str">
        <x:v>C19</x:v>
      </x:c>
      <x:c r="C882" s="17" t="str">
        <x:v>collection</x:v>
      </x:c>
      <x:c r="D882" s="17" t="str">
        <x:v>潮州虚拟回收/检测中心</x:v>
      </x:c>
      <x:c r="E882" s="24" t="n">
        <x:v>116.6204223</x:v>
      </x:c>
      <x:c r="F882" s="24" t="n">
        <x:v>23.656593</x:v>
      </x:c>
      <x:c r="G882" s="17" t="str">
        <x:v>P04</x:v>
      </x:c>
      <x:c r="H882" s="17" t="str">
        <x:v>echelon</x:v>
      </x:c>
      <x:c r="I882" s="17" t="str">
        <x:v>珠海中力新能源科技有限公司</x:v>
      </x:c>
      <x:c r="J882" s="24" t="n">
        <x:v>113.5721327</x:v>
      </x:c>
      <x:c r="K882" s="24" t="n">
        <x:v>22.273734</x:v>
      </x:c>
      <x:c r="L882" s="21" t="n">
        <x:f>6371*ACOS(MIN(1,COS(F882*PI()/180)*COS(K882*PI()/180)*COS((J882-E882)*PI()/180)+SIN(F882*PI()/180)*SIN(K882*PI()/180)))</x:f>
        <x:v>347.89853925176067</x:v>
      </x:c>
      <x:c r="M882" s="21" t="n">
        <x:f>L882*'情景参数模板'!$D$31</x:f>
        <x:v>417.4782471021128</x:v>
      </x:c>
      <x:c r="N882" s="21" t="n">
        <x:f>IF(C882="source",'情景参数模板'!$D$12,IF(H882="echelon",'情景参数模板'!$D$13,'情景参数模板'!$D$14))</x:f>
        <x:v>0.49</x:v>
      </x:c>
      <x:c r="O882" s="21" t="n">
        <x:f>IF(C882="source",'情景参数模板'!$D$18,IF(H882="echelon",'情景参数模板'!$D$19,'情景参数模板'!$D$20))</x:f>
        <x:v>300</x:v>
      </x:c>
      <x:c r="P882" s="17" t="n">
        <x:f>IF(M882&lt;=O882,1,0)</x:f>
        <x:v>0</x:v>
      </x:c>
      <x:c r="Q882" s="17" t="str">
        <x:v>D-road proxy; B-coordinates</x:v>
      </x:c>
    </x:row>
    <x:row r="883">
      <x:c r="A883" s="17" t="str">
        <x:v>A0879</x:v>
      </x:c>
      <x:c r="B883" s="17" t="str">
        <x:v>C19</x:v>
      </x:c>
      <x:c r="C883" s="17" t="str">
        <x:v>collection</x:v>
      </x:c>
      <x:c r="D883" s="17" t="str">
        <x:v>潮州虚拟回收/检测中心</x:v>
      </x:c>
      <x:c r="E883" s="24" t="n">
        <x:v>116.6204223</x:v>
      </x:c>
      <x:c r="F883" s="24" t="n">
        <x:v>23.656593</x:v>
      </x:c>
      <x:c r="G883" s="17" t="str">
        <x:v>P05</x:v>
      </x:c>
      <x:c r="H883" s="17" t="str">
        <x:v>echelon</x:v>
      </x:c>
      <x:c r="I883" s="17" t="str">
        <x:v>惠州市恒创睿能环保科技有限公司</x:v>
      </x:c>
      <x:c r="J883" s="24" t="n">
        <x:v>114.4127007</x:v>
      </x:c>
      <x:c r="K883" s="24" t="n">
        <x:v>23.1125153</x:v>
      </x:c>
      <x:c r="L883" s="21" t="n">
        <x:f>6371*ACOS(MIN(1,COS(F883*PI()/180)*COS(K883*PI()/180)*COS((J883-E883)*PI()/180)+SIN(F883*PI()/180)*SIN(K883*PI()/180)))</x:f>
        <x:v>233.30064071473075</x:v>
      </x:c>
      <x:c r="M883" s="21" t="n">
        <x:f>L883*'情景参数模板'!$D$31</x:f>
        <x:v>279.9607688576769</x:v>
      </x:c>
      <x:c r="N883" s="21" t="n">
        <x:f>IF(C883="source",'情景参数模板'!$D$12,IF(H883="echelon",'情景参数模板'!$D$13,'情景参数模板'!$D$14))</x:f>
        <x:v>0.49</x:v>
      </x:c>
      <x:c r="O883" s="21" t="n">
        <x:f>IF(C883="source",'情景参数模板'!$D$18,IF(H883="echelon",'情景参数模板'!$D$19,'情景参数模板'!$D$20))</x:f>
        <x:v>300</x:v>
      </x:c>
      <x:c r="P883" s="17" t="n">
        <x:f>IF(M883&lt;=O883,1,0)</x:f>
        <x:v>1</x:v>
      </x:c>
      <x:c r="Q883" s="17" t="str">
        <x:v>D-road proxy; B-coordinates</x:v>
      </x:c>
    </x:row>
    <x:row r="884">
      <x:c r="A884" s="17" t="str">
        <x:v>A0880</x:v>
      </x:c>
      <x:c r="B884" s="17" t="str">
        <x:v>C19</x:v>
      </x:c>
      <x:c r="C884" s="17" t="str">
        <x:v>collection</x:v>
      </x:c>
      <x:c r="D884" s="17" t="str">
        <x:v>潮州虚拟回收/检测中心</x:v>
      </x:c>
      <x:c r="E884" s="24" t="n">
        <x:v>116.6204223</x:v>
      </x:c>
      <x:c r="F884" s="24" t="n">
        <x:v>23.656593</x:v>
      </x:c>
      <x:c r="G884" s="17" t="str">
        <x:v>P06</x:v>
      </x:c>
      <x:c r="H884" s="17" t="str">
        <x:v>echelon</x:v>
      </x:c>
      <x:c r="I884" s="17" t="str">
        <x:v>江门市朗达锂电池有限公司</x:v>
      </x:c>
      <x:c r="J884" s="24" t="n">
        <x:v>113.0761073</x:v>
      </x:c>
      <x:c r="K884" s="24" t="n">
        <x:v>22.5816619</x:v>
      </x:c>
      <x:c r="L884" s="21" t="n">
        <x:f>6371*ACOS(MIN(1,COS(F884*PI()/180)*COS(K884*PI()/180)*COS((J884-E884)*PI()/180)+SIN(F884*PI()/180)*SIN(K884*PI()/180)))</x:f>
        <x:v>381.64228200755093</x:v>
      </x:c>
      <x:c r="M884" s="21" t="n">
        <x:f>L884*'情景参数模板'!$D$31</x:f>
        <x:v>457.9707384090611</x:v>
      </x:c>
      <x:c r="N884" s="21" t="n">
        <x:f>IF(C884="source",'情景参数模板'!$D$12,IF(H884="echelon",'情景参数模板'!$D$13,'情景参数模板'!$D$14))</x:f>
        <x:v>0.49</x:v>
      </x:c>
      <x:c r="O884" s="21" t="n">
        <x:f>IF(C884="source",'情景参数模板'!$D$18,IF(H884="echelon",'情景参数模板'!$D$19,'情景参数模板'!$D$20))</x:f>
        <x:v>300</x:v>
      </x:c>
      <x:c r="P884" s="17" t="n">
        <x:f>IF(M884&lt;=O884,1,0)</x:f>
        <x:v>0</x:v>
      </x:c>
      <x:c r="Q884" s="17" t="str">
        <x:v>D-road proxy; B-coordinates</x:v>
      </x:c>
    </x:row>
    <x:row r="885">
      <x:c r="A885" s="17" t="str">
        <x:v>A0881</x:v>
      </x:c>
      <x:c r="B885" s="17" t="str">
        <x:v>C19</x:v>
      </x:c>
      <x:c r="C885" s="17" t="str">
        <x:v>collection</x:v>
      </x:c>
      <x:c r="D885" s="17" t="str">
        <x:v>潮州虚拟回收/检测中心</x:v>
      </x:c>
      <x:c r="E885" s="24" t="n">
        <x:v>116.6204223</x:v>
      </x:c>
      <x:c r="F885" s="24" t="n">
        <x:v>23.656593</x:v>
      </x:c>
      <x:c r="G885" s="17" t="str">
        <x:v>P07</x:v>
      </x:c>
      <x:c r="H885" s="17" t="str">
        <x:v>echelon</x:v>
      </x:c>
      <x:c r="I885" s="17" t="str">
        <x:v>广东迪度新能源有限公司</x:v>
      </x:c>
      <x:c r="J885" s="24" t="n">
        <x:v>113.7452332</x:v>
      </x:c>
      <x:c r="K885" s="24" t="n">
        <x:v>23.0183568</x:v>
      </x:c>
      <x:c r="L885" s="21" t="n">
        <x:f>6371*ACOS(MIN(1,COS(F885*PI()/180)*COS(K885*PI()/180)*COS((J885-E885)*PI()/180)+SIN(F885*PI()/180)*SIN(K885*PI()/180)))</x:f>
        <x:v>302.0003070616597</x:v>
      </x:c>
      <x:c r="M885" s="21" t="n">
        <x:f>L885*'情景参数模板'!$D$31</x:f>
        <x:v>362.40036847399165</x:v>
      </x:c>
      <x:c r="N885" s="21" t="n">
        <x:f>IF(C885="source",'情景参数模板'!$D$12,IF(H885="echelon",'情景参数模板'!$D$13,'情景参数模板'!$D$14))</x:f>
        <x:v>0.49</x:v>
      </x:c>
      <x:c r="O885" s="21" t="n">
        <x:f>IF(C885="source",'情景参数模板'!$D$18,IF(H885="echelon",'情景参数模板'!$D$19,'情景参数模板'!$D$20))</x:f>
        <x:v>300</x:v>
      </x:c>
      <x:c r="P885" s="17" t="n">
        <x:f>IF(M885&lt;=O885,1,0)</x:f>
        <x:v>0</x:v>
      </x:c>
      <x:c r="Q885" s="17" t="str">
        <x:v>D-road proxy; B-coordinates</x:v>
      </x:c>
    </x:row>
    <x:row r="886">
      <x:c r="A886" s="17" t="str">
        <x:v>A0882</x:v>
      </x:c>
      <x:c r="B886" s="17" t="str">
        <x:v>C19</x:v>
      </x:c>
      <x:c r="C886" s="17" t="str">
        <x:v>collection</x:v>
      </x:c>
      <x:c r="D886" s="17" t="str">
        <x:v>潮州虚拟回收/检测中心</x:v>
      </x:c>
      <x:c r="E886" s="24" t="n">
        <x:v>116.6204223</x:v>
      </x:c>
      <x:c r="F886" s="24" t="n">
        <x:v>23.656593</x:v>
      </x:c>
      <x:c r="G886" s="17" t="str">
        <x:v>P08</x:v>
      </x:c>
      <x:c r="H886" s="17" t="str">
        <x:v>echelon</x:v>
      </x:c>
      <x:c r="I886" s="17" t="str">
        <x:v>东莞市博森新能源有限公司</x:v>
      </x:c>
      <x:c r="J886" s="24" t="n">
        <x:v>113.7452332</x:v>
      </x:c>
      <x:c r="K886" s="24" t="n">
        <x:v>23.0183568</x:v>
      </x:c>
      <x:c r="L886" s="21" t="n">
        <x:f>6371*ACOS(MIN(1,COS(F886*PI()/180)*COS(K886*PI()/180)*COS((J886-E886)*PI()/180)+SIN(F886*PI()/180)*SIN(K886*PI()/180)))</x:f>
        <x:v>302.0003070616597</x:v>
      </x:c>
      <x:c r="M886" s="21" t="n">
        <x:f>L886*'情景参数模板'!$D$31</x:f>
        <x:v>362.40036847399165</x:v>
      </x:c>
      <x:c r="N886" s="21" t="n">
        <x:f>IF(C886="source",'情景参数模板'!$D$12,IF(H886="echelon",'情景参数模板'!$D$13,'情景参数模板'!$D$14))</x:f>
        <x:v>0.49</x:v>
      </x:c>
      <x:c r="O886" s="21" t="n">
        <x:f>IF(C886="source",'情景参数模板'!$D$18,IF(H886="echelon",'情景参数模板'!$D$19,'情景参数模板'!$D$20))</x:f>
        <x:v>300</x:v>
      </x:c>
      <x:c r="P886" s="17" t="n">
        <x:f>IF(M886&lt;=O886,1,0)</x:f>
        <x:v>0</x:v>
      </x:c>
      <x:c r="Q886" s="17" t="str">
        <x:v>D-road proxy; B-coordinates</x:v>
      </x:c>
    </x:row>
    <x:row r="887">
      <x:c r="A887" s="17" t="str">
        <x:v>A0883</x:v>
      </x:c>
      <x:c r="B887" s="17" t="str">
        <x:v>C19</x:v>
      </x:c>
      <x:c r="C887" s="17" t="str">
        <x:v>collection</x:v>
      </x:c>
      <x:c r="D887" s="17" t="str">
        <x:v>潮州虚拟回收/检测中心</x:v>
      </x:c>
      <x:c r="E887" s="24" t="n">
        <x:v>116.6204223</x:v>
      </x:c>
      <x:c r="F887" s="24" t="n">
        <x:v>23.656593</x:v>
      </x:c>
      <x:c r="G887" s="17" t="str">
        <x:v>P09</x:v>
      </x:c>
      <x:c r="H887" s="17" t="str">
        <x:v>echelon</x:v>
      </x:c>
      <x:c r="I887" s="17" t="str">
        <x:v>广东宇阳新能源有限公司</x:v>
      </x:c>
      <x:c r="J887" s="24" t="n">
        <x:v>113.7452332</x:v>
      </x:c>
      <x:c r="K887" s="24" t="n">
        <x:v>23.0183568</x:v>
      </x:c>
      <x:c r="L887" s="21" t="n">
        <x:f>6371*ACOS(MIN(1,COS(F887*PI()/180)*COS(K887*PI()/180)*COS((J887-E887)*PI()/180)+SIN(F887*PI()/180)*SIN(K887*PI()/180)))</x:f>
        <x:v>302.0003070616597</x:v>
      </x:c>
      <x:c r="M887" s="21" t="n">
        <x:f>L887*'情景参数模板'!$D$31</x:f>
        <x:v>362.40036847399165</x:v>
      </x:c>
      <x:c r="N887" s="21" t="n">
        <x:f>IF(C887="source",'情景参数模板'!$D$12,IF(H887="echelon",'情景参数模板'!$D$13,'情景参数模板'!$D$14))</x:f>
        <x:v>0.49</x:v>
      </x:c>
      <x:c r="O887" s="21" t="n">
        <x:f>IF(C887="source",'情景参数模板'!$D$18,IF(H887="echelon",'情景参数模板'!$D$19,'情景参数模板'!$D$20))</x:f>
        <x:v>300</x:v>
      </x:c>
      <x:c r="P887" s="17" t="n">
        <x:f>IF(M887&lt;=O887,1,0)</x:f>
        <x:v>0</x:v>
      </x:c>
      <x:c r="Q887" s="17" t="str">
        <x:v>D-road proxy; B-coordinates</x:v>
      </x:c>
    </x:row>
    <x:row r="888">
      <x:c r="A888" s="17" t="str">
        <x:v>A0884</x:v>
      </x:c>
      <x:c r="B888" s="17" t="str">
        <x:v>C19</x:v>
      </x:c>
      <x:c r="C888" s="17" t="str">
        <x:v>collection</x:v>
      </x:c>
      <x:c r="D888" s="17" t="str">
        <x:v>潮州虚拟回收/检测中心</x:v>
      </x:c>
      <x:c r="E888" s="24" t="n">
        <x:v>116.6204223</x:v>
      </x:c>
      <x:c r="F888" s="24" t="n">
        <x:v>23.656593</x:v>
      </x:c>
      <x:c r="G888" s="17" t="str">
        <x:v>P10</x:v>
      </x:c>
      <x:c r="H888" s="17" t="str">
        <x:v>echelon</x:v>
      </x:c>
      <x:c r="I888" s="17" t="str">
        <x:v>广州广汽商贸再生资源有限公司</x:v>
      </x:c>
      <x:c r="J888" s="24" t="n">
        <x:v>113.2589581</x:v>
      </x:c>
      <x:c r="K888" s="24" t="n">
        <x:v>23.1288429</x:v>
      </x:c>
      <x:c r="L888" s="21" t="n">
        <x:f>6371*ACOS(MIN(1,COS(F888*PI()/180)*COS(K888*PI()/180)*COS((J888-E888)*PI()/180)+SIN(F888*PI()/180)*SIN(K888*PI()/180)))</x:f>
        <x:v>348.02861264383995</x:v>
      </x:c>
      <x:c r="M888" s="21" t="n">
        <x:f>L888*'情景参数模板'!$D$31</x:f>
        <x:v>417.6343351726079</x:v>
      </x:c>
      <x:c r="N888" s="21" t="n">
        <x:f>IF(C888="source",'情景参数模板'!$D$12,IF(H888="echelon",'情景参数模板'!$D$13,'情景参数模板'!$D$14))</x:f>
        <x:v>0.49</x:v>
      </x:c>
      <x:c r="O888" s="21" t="n">
        <x:f>IF(C888="source",'情景参数模板'!$D$18,IF(H888="echelon",'情景参数模板'!$D$19,'情景参数模板'!$D$20))</x:f>
        <x:v>300</x:v>
      </x:c>
      <x:c r="P888" s="17" t="n">
        <x:f>IF(M888&lt;=O888,1,0)</x:f>
        <x:v>0</x:v>
      </x:c>
      <x:c r="Q888" s="17" t="str">
        <x:v>D-road proxy; B-coordinates</x:v>
      </x:c>
    </x:row>
    <x:row r="889">
      <x:c r="A889" s="17" t="str">
        <x:v>A0885</x:v>
      </x:c>
      <x:c r="B889" s="17" t="str">
        <x:v>C19</x:v>
      </x:c>
      <x:c r="C889" s="17" t="str">
        <x:v>collection</x:v>
      </x:c>
      <x:c r="D889" s="17" t="str">
        <x:v>潮州虚拟回收/检测中心</x:v>
      </x:c>
      <x:c r="E889" s="24" t="n">
        <x:v>116.6204223</x:v>
      </x:c>
      <x:c r="F889" s="24" t="n">
        <x:v>23.656593</x:v>
      </x:c>
      <x:c r="G889" s="17" t="str">
        <x:v>P11</x:v>
      </x:c>
      <x:c r="H889" s="17" t="str">
        <x:v>echelon</x:v>
      </x:c>
      <x:c r="I889" s="17" t="str">
        <x:v>深圳市杰成镍钴新能源科技有限公司</x:v>
      </x:c>
      <x:c r="J889" s="24" t="n">
        <x:v>114.0545429</x:v>
      </x:c>
      <x:c r="K889" s="24" t="n">
        <x:v>22.5445741</x:v>
      </x:c>
      <x:c r="L889" s="21" t="n">
        <x:f>6371*ACOS(MIN(1,COS(F889*PI()/180)*COS(K889*PI()/180)*COS((J889-E889)*PI()/180)+SIN(F889*PI()/180)*SIN(K889*PI()/180)))</x:f>
        <x:v>290.0980995679465</x:v>
      </x:c>
      <x:c r="M889" s="21" t="n">
        <x:f>L889*'情景参数模板'!$D$31</x:f>
        <x:v>348.1177194815358</x:v>
      </x:c>
      <x:c r="N889" s="21" t="n">
        <x:f>IF(C889="source",'情景参数模板'!$D$12,IF(H889="echelon",'情景参数模板'!$D$13,'情景参数模板'!$D$14))</x:f>
        <x:v>0.49</x:v>
      </x:c>
      <x:c r="O889" s="21" t="n">
        <x:f>IF(C889="source",'情景参数模板'!$D$18,IF(H889="echelon",'情景参数模板'!$D$19,'情景参数模板'!$D$20))</x:f>
        <x:v>300</x:v>
      </x:c>
      <x:c r="P889" s="17" t="n">
        <x:f>IF(M889&lt;=O889,1,0)</x:f>
        <x:v>0</x:v>
      </x:c>
      <x:c r="Q889" s="17" t="str">
        <x:v>D-road proxy; B-coordinates</x:v>
      </x:c>
    </x:row>
    <x:row r="890">
      <x:c r="A890" s="17" t="str">
        <x:v>A0886</x:v>
      </x:c>
      <x:c r="B890" s="17" t="str">
        <x:v>C19</x:v>
      </x:c>
      <x:c r="C890" s="17" t="str">
        <x:v>collection</x:v>
      </x:c>
      <x:c r="D890" s="17" t="str">
        <x:v>潮州虚拟回收/检测中心</x:v>
      </x:c>
      <x:c r="E890" s="24" t="n">
        <x:v>116.6204223</x:v>
      </x:c>
      <x:c r="F890" s="24" t="n">
        <x:v>23.656593</x:v>
      </x:c>
      <x:c r="G890" s="17" t="str">
        <x:v>P12</x:v>
      </x:c>
      <x:c r="H890" s="17" t="str">
        <x:v>recycling</x:v>
      </x:c>
      <x:c r="I890" s="17" t="str">
        <x:v>江门市恒创睿能环保科技有限公司</x:v>
      </x:c>
      <x:c r="J890" s="24" t="n">
        <x:v>113.0761073</x:v>
      </x:c>
      <x:c r="K890" s="24" t="n">
        <x:v>22.5816619</x:v>
      </x:c>
      <x:c r="L890" s="21" t="n">
        <x:f>6371*ACOS(MIN(1,COS(F890*PI()/180)*COS(K890*PI()/180)*COS((J890-E890)*PI()/180)+SIN(F890*PI()/180)*SIN(K890*PI()/180)))</x:f>
        <x:v>381.64228200755093</x:v>
      </x:c>
      <x:c r="M890" s="21" t="n">
        <x:f>L890*'情景参数模板'!$D$31</x:f>
        <x:v>457.9707384090611</x:v>
      </x:c>
      <x:c r="N890" s="21" t="n">
        <x:f>IF(C890="source",'情景参数模板'!$D$12,IF(H890="echelon",'情景参数模板'!$D$13,'情景参数模板'!$D$14))</x:f>
        <x:v>0.49</x:v>
      </x:c>
      <x:c r="O890" s="21" t="n">
        <x:f>IF(C890="source",'情景参数模板'!$D$18,IF(H890="echelon",'情景参数模板'!$D$19,'情景参数模板'!$D$20))</x:f>
        <x:v>400</x:v>
      </x:c>
      <x:c r="P890" s="17" t="n">
        <x:f>IF(M890&lt;=O890,1,0)</x:f>
        <x:v>0</x:v>
      </x:c>
      <x:c r="Q890" s="17" t="str">
        <x:v>D-road proxy; B-coordinates</x:v>
      </x:c>
    </x:row>
    <x:row r="891">
      <x:c r="A891" s="17" t="str">
        <x:v>A0887</x:v>
      </x:c>
      <x:c r="B891" s="17" t="str">
        <x:v>C19</x:v>
      </x:c>
      <x:c r="C891" s="17" t="str">
        <x:v>collection</x:v>
      </x:c>
      <x:c r="D891" s="17" t="str">
        <x:v>潮州虚拟回收/检测中心</x:v>
      </x:c>
      <x:c r="E891" s="24" t="n">
        <x:v>116.6204223</x:v>
      </x:c>
      <x:c r="F891" s="24" t="n">
        <x:v>23.656593</x:v>
      </x:c>
      <x:c r="G891" s="17" t="str">
        <x:v>P13</x:v>
      </x:c>
      <x:c r="H891" s="17" t="str">
        <x:v>recycling</x:v>
      </x:c>
      <x:c r="I891" s="17" t="str">
        <x:v>广东佳纳能源科技有限公司</x:v>
      </x:c>
      <x:c r="J891" s="24" t="n">
        <x:v>113.0505994</x:v>
      </x:c>
      <x:c r="K891" s="24" t="n">
        <x:v>23.6832984</x:v>
      </x:c>
      <x:c r="L891" s="21" t="n">
        <x:f>6371*ACOS(MIN(1,COS(F891*PI()/180)*COS(K891*PI()/180)*COS((J891-E891)*PI()/180)+SIN(F891*PI()/180)*SIN(K891*PI()/180)))</x:f>
        <x:v>363.5550667063742</x:v>
      </x:c>
      <x:c r="M891" s="21" t="n">
        <x:f>L891*'情景参数模板'!$D$31</x:f>
        <x:v>436.26608004764904</x:v>
      </x:c>
      <x:c r="N891" s="21" t="n">
        <x:f>IF(C891="source",'情景参数模板'!$D$12,IF(H891="echelon",'情景参数模板'!$D$13,'情景参数模板'!$D$14))</x:f>
        <x:v>0.49</x:v>
      </x:c>
      <x:c r="O891" s="21" t="n">
        <x:f>IF(C891="source",'情景参数模板'!$D$18,IF(H891="echelon",'情景参数模板'!$D$19,'情景参数模板'!$D$20))</x:f>
        <x:v>400</x:v>
      </x:c>
      <x:c r="P891" s="17" t="n">
        <x:f>IF(M891&lt;=O891,1,0)</x:f>
        <x:v>0</x:v>
      </x:c>
      <x:c r="Q891" s="17" t="str">
        <x:v>D-road proxy; B-coordinates</x:v>
      </x:c>
    </x:row>
    <x:row r="892">
      <x:c r="A892" s="17" t="str">
        <x:v>A0888</x:v>
      </x:c>
      <x:c r="B892" s="17" t="str">
        <x:v>C19</x:v>
      </x:c>
      <x:c r="C892" s="17" t="str">
        <x:v>collection</x:v>
      </x:c>
      <x:c r="D892" s="17" t="str">
        <x:v>潮州虚拟回收/检测中心</x:v>
      </x:c>
      <x:c r="E892" s="24" t="n">
        <x:v>116.6204223</x:v>
      </x:c>
      <x:c r="F892" s="24" t="n">
        <x:v>23.656593</x:v>
      </x:c>
      <x:c r="G892" s="17" t="str">
        <x:v>P14</x:v>
      </x:c>
      <x:c r="H892" s="17" t="str">
        <x:v>echelon</x:v>
      </x:c>
      <x:c r="I892" s="17" t="str">
        <x:v>格林美（深圳）循环科技有限公司</x:v>
      </x:c>
      <x:c r="J892" s="24" t="n">
        <x:v>114.0545429</x:v>
      </x:c>
      <x:c r="K892" s="24" t="n">
        <x:v>22.5445741</x:v>
      </x:c>
      <x:c r="L892" s="21" t="n">
        <x:f>6371*ACOS(MIN(1,COS(F892*PI()/180)*COS(K892*PI()/180)*COS((J892-E892)*PI()/180)+SIN(F892*PI()/180)*SIN(K892*PI()/180)))</x:f>
        <x:v>290.0980995679465</x:v>
      </x:c>
      <x:c r="M892" s="21" t="n">
        <x:f>L892*'情景参数模板'!$D$31</x:f>
        <x:v>348.1177194815358</x:v>
      </x:c>
      <x:c r="N892" s="21" t="n">
        <x:f>IF(C892="source",'情景参数模板'!$D$12,IF(H892="echelon",'情景参数模板'!$D$13,'情景参数模板'!$D$14))</x:f>
        <x:v>0.49</x:v>
      </x:c>
      <x:c r="O892" s="21" t="n">
        <x:f>IF(C892="source",'情景参数模板'!$D$18,IF(H892="echelon",'情景参数模板'!$D$19,'情景参数模板'!$D$20))</x:f>
        <x:v>300</x:v>
      </x:c>
      <x:c r="P892" s="17" t="n">
        <x:f>IF(M892&lt;=O892,1,0)</x:f>
        <x:v>0</x:v>
      </x:c>
      <x:c r="Q892" s="17" t="str">
        <x:v>D-road proxy; B-coordinates</x:v>
      </x:c>
    </x:row>
    <x:row r="893">
      <x:c r="A893" s="17" t="str">
        <x:v>A0889</x:v>
      </x:c>
      <x:c r="B893" s="17" t="str">
        <x:v>C19</x:v>
      </x:c>
      <x:c r="C893" s="17" t="str">
        <x:v>collection</x:v>
      </x:c>
      <x:c r="D893" s="17" t="str">
        <x:v>潮州虚拟回收/检测中心</x:v>
      </x:c>
      <x:c r="E893" s="24" t="n">
        <x:v>116.6204223</x:v>
      </x:c>
      <x:c r="F893" s="24" t="n">
        <x:v>23.656593</x:v>
      </x:c>
      <x:c r="G893" s="17" t="str">
        <x:v>P15</x:v>
      </x:c>
      <x:c r="H893" s="17" t="str">
        <x:v>echelon</x:v>
      </x:c>
      <x:c r="I893" s="17" t="str">
        <x:v>绿循新能源科技（佛山）有限责任公司</x:v>
      </x:c>
      <x:c r="J893" s="24" t="n">
        <x:v>113.1159558</x:v>
      </x:c>
      <x:c r="K893" s="24" t="n">
        <x:v>23.0239788</x:v>
      </x:c>
      <x:c r="L893" s="21" t="n">
        <x:f>6371*ACOS(MIN(1,COS(F893*PI()/180)*COS(K893*PI()/180)*COS((J893-E893)*PI()/180)+SIN(F893*PI()/180)*SIN(K893*PI()/180)))</x:f>
        <x:v>364.62871927074957</x:v>
      </x:c>
      <x:c r="M893" s="21" t="n">
        <x:f>L893*'情景参数模板'!$D$31</x:f>
        <x:v>437.5544631248995</x:v>
      </x:c>
      <x:c r="N893" s="21" t="n">
        <x:f>IF(C893="source",'情景参数模板'!$D$12,IF(H893="echelon",'情景参数模板'!$D$13,'情景参数模板'!$D$14))</x:f>
        <x:v>0.49</x:v>
      </x:c>
      <x:c r="O893" s="21" t="n">
        <x:f>IF(C893="source",'情景参数模板'!$D$18,IF(H893="echelon",'情景参数模板'!$D$19,'情景参数模板'!$D$20))</x:f>
        <x:v>300</x:v>
      </x:c>
      <x:c r="P893" s="17" t="n">
        <x:f>IF(M893&lt;=O893,1,0)</x:f>
        <x:v>0</x:v>
      </x:c>
      <x:c r="Q893" s="17" t="str">
        <x:v>D-road proxy; B-coordinates</x:v>
      </x:c>
    </x:row>
    <x:row r="894">
      <x:c r="A894" s="17" t="str">
        <x:v>A0890</x:v>
      </x:c>
      <x:c r="B894" s="17" t="str">
        <x:v>C19</x:v>
      </x:c>
      <x:c r="C894" s="17" t="str">
        <x:v>collection</x:v>
      </x:c>
      <x:c r="D894" s="17" t="str">
        <x:v>潮州虚拟回收/检测中心</x:v>
      </x:c>
      <x:c r="E894" s="24" t="n">
        <x:v>116.6204223</x:v>
      </x:c>
      <x:c r="F894" s="24" t="n">
        <x:v>23.656593</x:v>
      </x:c>
      <x:c r="G894" s="17" t="str">
        <x:v>P16</x:v>
      </x:c>
      <x:c r="H894" s="17" t="str">
        <x:v>echelon</x:v>
      </x:c>
      <x:c r="I894" s="17" t="str">
        <x:v>深圳艾云动智慧科技有限公司</x:v>
      </x:c>
      <x:c r="J894" s="24" t="n">
        <x:v>114.0545429</x:v>
      </x:c>
      <x:c r="K894" s="24" t="n">
        <x:v>22.5445741</x:v>
      </x:c>
      <x:c r="L894" s="21" t="n">
        <x:f>6371*ACOS(MIN(1,COS(F894*PI()/180)*COS(K894*PI()/180)*COS((J894-E894)*PI()/180)+SIN(F894*PI()/180)*SIN(K894*PI()/180)))</x:f>
        <x:v>290.0980995679465</x:v>
      </x:c>
      <x:c r="M894" s="21" t="n">
        <x:f>L894*'情景参数模板'!$D$31</x:f>
        <x:v>348.1177194815358</x:v>
      </x:c>
      <x:c r="N894" s="21" t="n">
        <x:f>IF(C894="source",'情景参数模板'!$D$12,IF(H894="echelon",'情景参数模板'!$D$13,'情景参数模板'!$D$14))</x:f>
        <x:v>0.49</x:v>
      </x:c>
      <x:c r="O894" s="21" t="n">
        <x:f>IF(C894="source",'情景参数模板'!$D$18,IF(H894="echelon",'情景参数模板'!$D$19,'情景参数模板'!$D$20))</x:f>
        <x:v>300</x:v>
      </x:c>
      <x:c r="P894" s="17" t="n">
        <x:f>IF(M894&lt;=O894,1,0)</x:f>
        <x:v>0</x:v>
      </x:c>
      <x:c r="Q894" s="17" t="str">
        <x:v>D-road proxy; B-coordinates</x:v>
      </x:c>
    </x:row>
    <x:row r="895">
      <x:c r="A895" s="17" t="str">
        <x:v>A0891</x:v>
      </x:c>
      <x:c r="B895" s="17" t="str">
        <x:v>C19</x:v>
      </x:c>
      <x:c r="C895" s="17" t="str">
        <x:v>collection</x:v>
      </x:c>
      <x:c r="D895" s="17" t="str">
        <x:v>潮州虚拟回收/检测中心</x:v>
      </x:c>
      <x:c r="E895" s="24" t="n">
        <x:v>116.6204223</x:v>
      </x:c>
      <x:c r="F895" s="24" t="n">
        <x:v>23.656593</x:v>
      </x:c>
      <x:c r="G895" s="17" t="str">
        <x:v>P17</x:v>
      </x:c>
      <x:c r="H895" s="17" t="str">
        <x:v>echelon</x:v>
      </x:c>
      <x:c r="I895" s="17" t="str">
        <x:v>深圳市荣高晟新能源科技有限公司</x:v>
      </x:c>
      <x:c r="J895" s="24" t="n">
        <x:v>114.0545429</x:v>
      </x:c>
      <x:c r="K895" s="24" t="n">
        <x:v>22.5445741</x:v>
      </x:c>
      <x:c r="L895" s="21" t="n">
        <x:f>6371*ACOS(MIN(1,COS(F895*PI()/180)*COS(K895*PI()/180)*COS((J895-E895)*PI()/180)+SIN(F895*PI()/180)*SIN(K895*PI()/180)))</x:f>
        <x:v>290.0980995679465</x:v>
      </x:c>
      <x:c r="M895" s="21" t="n">
        <x:f>L895*'情景参数模板'!$D$31</x:f>
        <x:v>348.1177194815358</x:v>
      </x:c>
      <x:c r="N895" s="21" t="n">
        <x:f>IF(C895="source",'情景参数模板'!$D$12,IF(H895="echelon",'情景参数模板'!$D$13,'情景参数模板'!$D$14))</x:f>
        <x:v>0.49</x:v>
      </x:c>
      <x:c r="O895" s="21" t="n">
        <x:f>IF(C895="source",'情景参数模板'!$D$18,IF(H895="echelon",'情景参数模板'!$D$19,'情景参数模板'!$D$20))</x:f>
        <x:v>300</x:v>
      </x:c>
      <x:c r="P895" s="17" t="n">
        <x:f>IF(M895&lt;=O895,1,0)</x:f>
        <x:v>0</x:v>
      </x:c>
      <x:c r="Q895" s="17" t="str">
        <x:v>D-road proxy; B-coordinates</x:v>
      </x:c>
    </x:row>
    <x:row r="896">
      <x:c r="A896" s="17" t="str">
        <x:v>A0892</x:v>
      </x:c>
      <x:c r="B896" s="17" t="str">
        <x:v>C19</x:v>
      </x:c>
      <x:c r="C896" s="17" t="str">
        <x:v>collection</x:v>
      </x:c>
      <x:c r="D896" s="17" t="str">
        <x:v>潮州虚拟回收/检测中心</x:v>
      </x:c>
      <x:c r="E896" s="24" t="n">
        <x:v>116.6204223</x:v>
      </x:c>
      <x:c r="F896" s="24" t="n">
        <x:v>23.656593</x:v>
      </x:c>
      <x:c r="G896" s="17" t="str">
        <x:v>P18</x:v>
      </x:c>
      <x:c r="H896" s="17" t="str">
        <x:v>echelon</x:v>
      </x:c>
      <x:c r="I896" s="17" t="str">
        <x:v>中商锂新能源科技（惠州）有限公司</x:v>
      </x:c>
      <x:c r="J896" s="24" t="n">
        <x:v>114.4127007</x:v>
      </x:c>
      <x:c r="K896" s="24" t="n">
        <x:v>23.1125153</x:v>
      </x:c>
      <x:c r="L896" s="21" t="n">
        <x:f>6371*ACOS(MIN(1,COS(F896*PI()/180)*COS(K896*PI()/180)*COS((J896-E896)*PI()/180)+SIN(F896*PI()/180)*SIN(K896*PI()/180)))</x:f>
        <x:v>233.30064071473075</x:v>
      </x:c>
      <x:c r="M896" s="21" t="n">
        <x:f>L896*'情景参数模板'!$D$31</x:f>
        <x:v>279.9607688576769</x:v>
      </x:c>
      <x:c r="N896" s="21" t="n">
        <x:f>IF(C896="source",'情景参数模板'!$D$12,IF(H896="echelon",'情景参数模板'!$D$13,'情景参数模板'!$D$14))</x:f>
        <x:v>0.49</x:v>
      </x:c>
      <x:c r="O896" s="21" t="n">
        <x:f>IF(C896="source",'情景参数模板'!$D$18,IF(H896="echelon",'情景参数模板'!$D$19,'情景参数模板'!$D$20))</x:f>
        <x:v>300</x:v>
      </x:c>
      <x:c r="P896" s="17" t="n">
        <x:f>IF(M896&lt;=O896,1,0)</x:f>
        <x:v>1</x:v>
      </x:c>
      <x:c r="Q896" s="17" t="str">
        <x:v>D-road proxy; B-coordinates</x:v>
      </x:c>
    </x:row>
    <x:row r="897">
      <x:c r="A897" s="17" t="str">
        <x:v>A0893</x:v>
      </x:c>
      <x:c r="B897" s="17" t="str">
        <x:v>C19</x:v>
      </x:c>
      <x:c r="C897" s="17" t="str">
        <x:v>collection</x:v>
      </x:c>
      <x:c r="D897" s="17" t="str">
        <x:v>潮州虚拟回收/检测中心</x:v>
      </x:c>
      <x:c r="E897" s="24" t="n">
        <x:v>116.6204223</x:v>
      </x:c>
      <x:c r="F897" s="24" t="n">
        <x:v>23.656593</x:v>
      </x:c>
      <x:c r="G897" s="17" t="str">
        <x:v>P19</x:v>
      </x:c>
      <x:c r="H897" s="17" t="str">
        <x:v>recycling</x:v>
      </x:c>
      <x:c r="I897" s="17" t="str">
        <x:v>广东盛祥新材料科技有限公司</x:v>
      </x:c>
      <x:c r="J897" s="24" t="n">
        <x:v>113.8155263</x:v>
      </x:c>
      <x:c r="K897" s="24" t="n">
        <x:v>24.8309489</x:v>
      </x:c>
      <x:c r="L897" s="21" t="n">
        <x:f>6371*ACOS(MIN(1,COS(F897*PI()/180)*COS(K897*PI()/180)*COS((J897-E897)*PI()/180)+SIN(F897*PI()/180)*SIN(K897*PI()/180)))</x:f>
        <x:v>312.91933151179103</x:v>
      </x:c>
      <x:c r="M897" s="21" t="n">
        <x:f>L897*'情景参数模板'!$D$31</x:f>
        <x:v>375.50319781414925</x:v>
      </x:c>
      <x:c r="N897" s="21" t="n">
        <x:f>IF(C897="source",'情景参数模板'!$D$12,IF(H897="echelon",'情景参数模板'!$D$13,'情景参数模板'!$D$14))</x:f>
        <x:v>0.49</x:v>
      </x:c>
      <x:c r="O897" s="21" t="n">
        <x:f>IF(C897="source",'情景参数模板'!$D$18,IF(H897="echelon",'情景参数模板'!$D$19,'情景参数模板'!$D$20))</x:f>
        <x:v>400</x:v>
      </x:c>
      <x:c r="P897" s="17" t="n">
        <x:f>IF(M897&lt;=O897,1,0)</x:f>
        <x:v>1</x:v>
      </x:c>
      <x:c r="Q897" s="17" t="str">
        <x:v>D-road proxy; B-coordinates</x:v>
      </x:c>
    </x:row>
    <x:row r="898">
      <x:c r="A898" s="17" t="str">
        <x:v>A0894</x:v>
      </x:c>
      <x:c r="B898" s="17" t="str">
        <x:v>C19</x:v>
      </x:c>
      <x:c r="C898" s="17" t="str">
        <x:v>collection</x:v>
      </x:c>
      <x:c r="D898" s="17" t="str">
        <x:v>潮州虚拟回收/检测中心</x:v>
      </x:c>
      <x:c r="E898" s="24" t="n">
        <x:v>116.6204223</x:v>
      </x:c>
      <x:c r="F898" s="24" t="n">
        <x:v>23.656593</x:v>
      </x:c>
      <x:c r="G898" s="17" t="str">
        <x:v>P20E</x:v>
      </x:c>
      <x:c r="H898" s="17" t="str">
        <x:v>echelon</x:v>
      </x:c>
      <x:c r="I898" s="17" t="str">
        <x:v>广东金晟新能源股份有限公司（梯次功能）</x:v>
      </x:c>
      <x:c r="J898" s="24" t="n">
        <x:v>112.4603629</x:v>
      </x:c>
      <x:c r="K898" s="24" t="n">
        <x:v>23.0501661</x:v>
      </x:c>
      <x:c r="L898" s="21" t="n">
        <x:f>6371*ACOS(MIN(1,COS(F898*PI()/180)*COS(K898*PI()/180)*COS((J898-E898)*PI()/180)+SIN(F898*PI()/180)*SIN(K898*PI()/180)))</x:f>
        <x:v>429.98456385867706</x:v>
      </x:c>
      <x:c r="M898" s="21" t="n">
        <x:f>L898*'情景参数模板'!$D$31</x:f>
        <x:v>515.9814766304124</x:v>
      </x:c>
      <x:c r="N898" s="21" t="n">
        <x:f>IF(C898="source",'情景参数模板'!$D$12,IF(H898="echelon",'情景参数模板'!$D$13,'情景参数模板'!$D$14))</x:f>
        <x:v>0.49</x:v>
      </x:c>
      <x:c r="O898" s="21" t="n">
        <x:f>IF(C898="source",'情景参数模板'!$D$18,IF(H898="echelon",'情景参数模板'!$D$19,'情景参数模板'!$D$20))</x:f>
        <x:v>300</x:v>
      </x:c>
      <x:c r="P898" s="17" t="n">
        <x:f>IF(M898&lt;=O898,1,0)</x:f>
        <x:v>0</x:v>
      </x:c>
      <x:c r="Q898" s="17" t="str">
        <x:v>D-road proxy; B-coordinates</x:v>
      </x:c>
    </x:row>
    <x:row r="899">
      <x:c r="A899" s="17" t="str">
        <x:v>A0895</x:v>
      </x:c>
      <x:c r="B899" s="17" t="str">
        <x:v>C19</x:v>
      </x:c>
      <x:c r="C899" s="17" t="str">
        <x:v>collection</x:v>
      </x:c>
      <x:c r="D899" s="17" t="str">
        <x:v>潮州虚拟回收/检测中心</x:v>
      </x:c>
      <x:c r="E899" s="24" t="n">
        <x:v>116.6204223</x:v>
      </x:c>
      <x:c r="F899" s="24" t="n">
        <x:v>23.656593</x:v>
      </x:c>
      <x:c r="G899" s="17" t="str">
        <x:v>P20R</x:v>
      </x:c>
      <x:c r="H899" s="17" t="str">
        <x:v>recycling</x:v>
      </x:c>
      <x:c r="I899" s="17" t="str">
        <x:v>广东金晟新能源股份有限公司（再生功能）</x:v>
      </x:c>
      <x:c r="J899" s="24" t="n">
        <x:v>112.4603629</x:v>
      </x:c>
      <x:c r="K899" s="24" t="n">
        <x:v>23.0501661</x:v>
      </x:c>
      <x:c r="L899" s="21" t="n">
        <x:f>6371*ACOS(MIN(1,COS(F899*PI()/180)*COS(K899*PI()/180)*COS((J899-E899)*PI()/180)+SIN(F899*PI()/180)*SIN(K899*PI()/180)))</x:f>
        <x:v>429.98456385867706</x:v>
      </x:c>
      <x:c r="M899" s="21" t="n">
        <x:f>L899*'情景参数模板'!$D$31</x:f>
        <x:v>515.9814766304124</x:v>
      </x:c>
      <x:c r="N899" s="21" t="n">
        <x:f>IF(C899="source",'情景参数模板'!$D$12,IF(H899="echelon",'情景参数模板'!$D$13,'情景参数模板'!$D$14))</x:f>
        <x:v>0.49</x:v>
      </x:c>
      <x:c r="O899" s="21" t="n">
        <x:f>IF(C899="source",'情景参数模板'!$D$18,IF(H899="echelon",'情景参数模板'!$D$19,'情景参数模板'!$D$20))</x:f>
        <x:v>400</x:v>
      </x:c>
      <x:c r="P899" s="17" t="n">
        <x:f>IF(M899&lt;=O899,1,0)</x:f>
        <x:v>0</x:v>
      </x:c>
      <x:c r="Q899" s="17" t="str">
        <x:v>D-road proxy; B-coordinates</x:v>
      </x:c>
    </x:row>
    <x:row r="900">
      <x:c r="A900" s="17" t="str">
        <x:v>A0896</x:v>
      </x:c>
      <x:c r="B900" s="17" t="str">
        <x:v>C19</x:v>
      </x:c>
      <x:c r="C900" s="17" t="str">
        <x:v>collection</x:v>
      </x:c>
      <x:c r="D900" s="17" t="str">
        <x:v>潮州虚拟回收/检测中心</x:v>
      </x:c>
      <x:c r="E900" s="24" t="n">
        <x:v>116.6204223</x:v>
      </x:c>
      <x:c r="F900" s="24" t="n">
        <x:v>23.656593</x:v>
      </x:c>
      <x:c r="G900" s="17" t="str">
        <x:v>P21E</x:v>
      </x:c>
      <x:c r="H900" s="17" t="str">
        <x:v>echelon</x:v>
      </x:c>
      <x:c r="I900" s="17" t="str">
        <x:v>广东瑞科美电源技术有限公司（梯次功能）</x:v>
      </x:c>
      <x:c r="J900" s="24" t="n">
        <x:v>113.1159558</x:v>
      </x:c>
      <x:c r="K900" s="24" t="n">
        <x:v>23.0239788</x:v>
      </x:c>
      <x:c r="L900" s="21" t="n">
        <x:f>6371*ACOS(MIN(1,COS(F900*PI()/180)*COS(K900*PI()/180)*COS((J900-E900)*PI()/180)+SIN(F900*PI()/180)*SIN(K900*PI()/180)))</x:f>
        <x:v>364.62871927074957</x:v>
      </x:c>
      <x:c r="M900" s="21" t="n">
        <x:f>L900*'情景参数模板'!$D$31</x:f>
        <x:v>437.5544631248995</x:v>
      </x:c>
      <x:c r="N900" s="21" t="n">
        <x:f>IF(C900="source",'情景参数模板'!$D$12,IF(H900="echelon",'情景参数模板'!$D$13,'情景参数模板'!$D$14))</x:f>
        <x:v>0.49</x:v>
      </x:c>
      <x:c r="O900" s="21" t="n">
        <x:f>IF(C900="source",'情景参数模板'!$D$18,IF(H900="echelon",'情景参数模板'!$D$19,'情景参数模板'!$D$20))</x:f>
        <x:v>300</x:v>
      </x:c>
      <x:c r="P900" s="17" t="n">
        <x:f>IF(M900&lt;=O900,1,0)</x:f>
        <x:v>0</x:v>
      </x:c>
      <x:c r="Q900" s="17" t="str">
        <x:v>D-road proxy; B-coordinates</x:v>
      </x:c>
    </x:row>
    <x:row r="901">
      <x:c r="A901" s="17" t="str">
        <x:v>A0897</x:v>
      </x:c>
      <x:c r="B901" s="17" t="str">
        <x:v>C19</x:v>
      </x:c>
      <x:c r="C901" s="17" t="str">
        <x:v>collection</x:v>
      </x:c>
      <x:c r="D901" s="17" t="str">
        <x:v>潮州虚拟回收/检测中心</x:v>
      </x:c>
      <x:c r="E901" s="24" t="n">
        <x:v>116.6204223</x:v>
      </x:c>
      <x:c r="F901" s="24" t="n">
        <x:v>23.656593</x:v>
      </x:c>
      <x:c r="G901" s="17" t="str">
        <x:v>P21R</x:v>
      </x:c>
      <x:c r="H901" s="17" t="str">
        <x:v>recycling</x:v>
      </x:c>
      <x:c r="I901" s="17" t="str">
        <x:v>广东瑞科美电源技术有限公司（再生功能）</x:v>
      </x:c>
      <x:c r="J901" s="24" t="n">
        <x:v>113.1159558</x:v>
      </x:c>
      <x:c r="K901" s="24" t="n">
        <x:v>23.0239788</x:v>
      </x:c>
      <x:c r="L901" s="21" t="n">
        <x:f>6371*ACOS(MIN(1,COS(F901*PI()/180)*COS(K901*PI()/180)*COS((J901-E901)*PI()/180)+SIN(F901*PI()/180)*SIN(K901*PI()/180)))</x:f>
        <x:v>364.62871927074957</x:v>
      </x:c>
      <x:c r="M901" s="21" t="n">
        <x:f>L901*'情景参数模板'!$D$31</x:f>
        <x:v>437.5544631248995</x:v>
      </x:c>
      <x:c r="N901" s="21" t="n">
        <x:f>IF(C901="source",'情景参数模板'!$D$12,IF(H901="echelon",'情景参数模板'!$D$13,'情景参数模板'!$D$14))</x:f>
        <x:v>0.49</x:v>
      </x:c>
      <x:c r="O901" s="21" t="n">
        <x:f>IF(C901="source",'情景参数模板'!$D$18,IF(H901="echelon",'情景参数模板'!$D$19,'情景参数模板'!$D$20))</x:f>
        <x:v>400</x:v>
      </x:c>
      <x:c r="P901" s="17" t="n">
        <x:f>IF(M901&lt;=O901,1,0)</x:f>
        <x:v>0</x:v>
      </x:c>
      <x:c r="Q901" s="17" t="str">
        <x:v>D-road proxy; B-coordinates</x:v>
      </x:c>
    </x:row>
    <x:row r="902">
      <x:c r="A902" s="17" t="str">
        <x:v>A0898</x:v>
      </x:c>
      <x:c r="B902" s="17" t="str">
        <x:v>C20</x:v>
      </x:c>
      <x:c r="C902" s="17" t="str">
        <x:v>collection</x:v>
      </x:c>
      <x:c r="D902" s="17" t="str">
        <x:v>揭阳虚拟回收/检测中心</x:v>
      </x:c>
      <x:c r="E902" s="24" t="n">
        <x:v>116.3680354</x:v>
      </x:c>
      <x:c r="F902" s="24" t="n">
        <x:v>23.553156</x:v>
      </x:c>
      <x:c r="G902" s="17" t="str">
        <x:v>P01</x:v>
      </x:c>
      <x:c r="H902" s="17" t="str">
        <x:v>recycling</x:v>
      </x:c>
      <x:c r="I902" s="17" t="str">
        <x:v>汕尾比亚迪废旧动力电池回收项目</x:v>
      </x:c>
      <x:c r="J902" s="24" t="n">
        <x:v>115.3492668</x:v>
      </x:c>
      <x:c r="K902" s="24" t="n">
        <x:v>22.838065</x:v>
      </x:c>
      <x:c r="L902" s="21" t="n">
        <x:f>6371*ACOS(MIN(1,COS(F902*PI()/180)*COS(K902*PI()/180)*COS((J902-E902)*PI()/180)+SIN(F902*PI()/180)*SIN(K902*PI()/180)))</x:f>
        <x:v>131.0124766546225</x:v>
      </x:c>
      <x:c r="M902" s="21" t="n">
        <x:f>L902*'情景参数模板'!$D$31</x:f>
        <x:v>157.214971985547</x:v>
      </x:c>
      <x:c r="N902" s="21" t="n">
        <x:f>IF(C902="source",'情景参数模板'!$D$12,IF(H902="echelon",'情景参数模板'!$D$13,'情景参数模板'!$D$14))</x:f>
        <x:v>0.49</x:v>
      </x:c>
      <x:c r="O902" s="21" t="n">
        <x:f>IF(C902="source",'情景参数模板'!$D$18,IF(H902="echelon",'情景参数模板'!$D$19,'情景参数模板'!$D$20))</x:f>
        <x:v>400</x:v>
      </x:c>
      <x:c r="P902" s="17" t="n">
        <x:f>IF(M902&lt;=O902,1,0)</x:f>
        <x:v>1</x:v>
      </x:c>
      <x:c r="Q902" s="17" t="str">
        <x:v>D-road proxy; B-coordinates</x:v>
      </x:c>
    </x:row>
    <x:row r="903">
      <x:c r="A903" s="17" t="str">
        <x:v>A0899</x:v>
      </x:c>
      <x:c r="B903" s="17" t="str">
        <x:v>C20</x:v>
      </x:c>
      <x:c r="C903" s="17" t="str">
        <x:v>collection</x:v>
      </x:c>
      <x:c r="D903" s="17" t="str">
        <x:v>揭阳虚拟回收/检测中心</x:v>
      </x:c>
      <x:c r="E903" s="24" t="n">
        <x:v>116.3680354</x:v>
      </x:c>
      <x:c r="F903" s="24" t="n">
        <x:v>23.553156</x:v>
      </x:c>
      <x:c r="G903" s="17" t="str">
        <x:v>P02E</x:v>
      </x:c>
      <x:c r="H903" s="17" t="str">
        <x:v>echelon</x:v>
      </x:c>
      <x:c r="I903" s="17" t="str">
        <x:v>广东光华科技股份有限公司（梯次功能）</x:v>
      </x:c>
      <x:c r="J903" s="24" t="n">
        <x:v>116.6775856</x:v>
      </x:c>
      <x:c r="K903" s="24" t="n">
        <x:v>23.3563921</x:v>
      </x:c>
      <x:c r="L903" s="21" t="n">
        <x:f>6371*ACOS(MIN(1,COS(F903*PI()/180)*COS(K903*PI()/180)*COS((J903-E903)*PI()/180)+SIN(F903*PI()/180)*SIN(K903*PI()/180)))</x:f>
        <x:v>38.41568432658492</x:v>
      </x:c>
      <x:c r="M903" s="21" t="n">
        <x:f>L903*'情景参数模板'!$D$31</x:f>
        <x:v>46.098821191901905</x:v>
      </x:c>
      <x:c r="N903" s="21" t="n">
        <x:f>IF(C903="source",'情景参数模板'!$D$12,IF(H903="echelon",'情景参数模板'!$D$13,'情景参数模板'!$D$14))</x:f>
        <x:v>0.49</x:v>
      </x:c>
      <x:c r="O903" s="21" t="n">
        <x:f>IF(C903="source",'情景参数模板'!$D$18,IF(H903="echelon",'情景参数模板'!$D$19,'情景参数模板'!$D$20))</x:f>
        <x:v>300</x:v>
      </x:c>
      <x:c r="P903" s="17" t="n">
        <x:f>IF(M903&lt;=O903,1,0)</x:f>
        <x:v>1</x:v>
      </x:c>
      <x:c r="Q903" s="17" t="str">
        <x:v>D-road proxy; B-coordinates</x:v>
      </x:c>
    </x:row>
    <x:row r="904">
      <x:c r="A904" s="17" t="str">
        <x:v>A0900</x:v>
      </x:c>
      <x:c r="B904" s="17" t="str">
        <x:v>C20</x:v>
      </x:c>
      <x:c r="C904" s="17" t="str">
        <x:v>collection</x:v>
      </x:c>
      <x:c r="D904" s="17" t="str">
        <x:v>揭阳虚拟回收/检测中心</x:v>
      </x:c>
      <x:c r="E904" s="24" t="n">
        <x:v>116.3680354</x:v>
      </x:c>
      <x:c r="F904" s="24" t="n">
        <x:v>23.553156</x:v>
      </x:c>
      <x:c r="G904" s="17" t="str">
        <x:v>P02R</x:v>
      </x:c>
      <x:c r="H904" s="17" t="str">
        <x:v>recycling</x:v>
      </x:c>
      <x:c r="I904" s="17" t="str">
        <x:v>广东光华科技股份有限公司（再生功能）</x:v>
      </x:c>
      <x:c r="J904" s="24" t="n">
        <x:v>116.6775856</x:v>
      </x:c>
      <x:c r="K904" s="24" t="n">
        <x:v>23.3563921</x:v>
      </x:c>
      <x:c r="L904" s="21" t="n">
        <x:f>6371*ACOS(MIN(1,COS(F904*PI()/180)*COS(K904*PI()/180)*COS((J904-E904)*PI()/180)+SIN(F904*PI()/180)*SIN(K904*PI()/180)))</x:f>
        <x:v>38.41568432658492</x:v>
      </x:c>
      <x:c r="M904" s="21" t="n">
        <x:f>L904*'情景参数模板'!$D$31</x:f>
        <x:v>46.098821191901905</x:v>
      </x:c>
      <x:c r="N904" s="21" t="n">
        <x:f>IF(C904="source",'情景参数模板'!$D$12,IF(H904="echelon",'情景参数模板'!$D$13,'情景参数模板'!$D$14))</x:f>
        <x:v>0.49</x:v>
      </x:c>
      <x:c r="O904" s="21" t="n">
        <x:f>IF(C904="source",'情景参数模板'!$D$18,IF(H904="echelon",'情景参数模板'!$D$19,'情景参数模板'!$D$20))</x:f>
        <x:v>400</x:v>
      </x:c>
      <x:c r="P904" s="17" t="n">
        <x:f>IF(M904&lt;=O904,1,0)</x:f>
        <x:v>1</x:v>
      </x:c>
      <x:c r="Q904" s="17" t="str">
        <x:v>D-road proxy; B-coordinates</x:v>
      </x:c>
    </x:row>
    <x:row r="905">
      <x:c r="A905" s="17" t="str">
        <x:v>A0901</x:v>
      </x:c>
      <x:c r="B905" s="17" t="str">
        <x:v>C20</x:v>
      </x:c>
      <x:c r="C905" s="17" t="str">
        <x:v>collection</x:v>
      </x:c>
      <x:c r="D905" s="17" t="str">
        <x:v>揭阳虚拟回收/检测中心</x:v>
      </x:c>
      <x:c r="E905" s="24" t="n">
        <x:v>116.3680354</x:v>
      </x:c>
      <x:c r="F905" s="24" t="n">
        <x:v>23.553156</x:v>
      </x:c>
      <x:c r="G905" s="17" t="str">
        <x:v>P03</x:v>
      </x:c>
      <x:c r="H905" s="17" t="str">
        <x:v>echelon</x:v>
      </x:c>
      <x:c r="I905" s="17" t="str">
        <x:v>深圳深汕特别合作区乾泰技术有限公司</x:v>
      </x:c>
      <x:c r="J905" s="24" t="n">
        <x:v>115.5099937</x:v>
      </x:c>
      <x:c r="K905" s="24" t="n">
        <x:v>23.0123639</x:v>
      </x:c>
      <x:c r="L905" s="21" t="n">
        <x:f>6371*ACOS(MIN(1,COS(F905*PI()/180)*COS(K905*PI()/180)*COS((J905-E905)*PI()/180)+SIN(F905*PI()/180)*SIN(K905*PI()/180)))</x:f>
        <x:v>106.28600251464582</x:v>
      </x:c>
      <x:c r="M905" s="21" t="n">
        <x:f>L905*'情景参数模板'!$D$31</x:f>
        <x:v>127.54320301757497</x:v>
      </x:c>
      <x:c r="N905" s="21" t="n">
        <x:f>IF(C905="source",'情景参数模板'!$D$12,IF(H905="echelon",'情景参数模板'!$D$13,'情景参数模板'!$D$14))</x:f>
        <x:v>0.49</x:v>
      </x:c>
      <x:c r="O905" s="21" t="n">
        <x:f>IF(C905="source",'情景参数模板'!$D$18,IF(H905="echelon",'情景参数模板'!$D$19,'情景参数模板'!$D$20))</x:f>
        <x:v>300</x:v>
      </x:c>
      <x:c r="P905" s="17" t="n">
        <x:f>IF(M905&lt;=O905,1,0)</x:f>
        <x:v>1</x:v>
      </x:c>
      <x:c r="Q905" s="17" t="str">
        <x:v>D-road proxy; B-coordinates</x:v>
      </x:c>
    </x:row>
    <x:row r="906">
      <x:c r="A906" s="17" t="str">
        <x:v>A0902</x:v>
      </x:c>
      <x:c r="B906" s="17" t="str">
        <x:v>C20</x:v>
      </x:c>
      <x:c r="C906" s="17" t="str">
        <x:v>collection</x:v>
      </x:c>
      <x:c r="D906" s="17" t="str">
        <x:v>揭阳虚拟回收/检测中心</x:v>
      </x:c>
      <x:c r="E906" s="24" t="n">
        <x:v>116.3680354</x:v>
      </x:c>
      <x:c r="F906" s="24" t="n">
        <x:v>23.553156</x:v>
      </x:c>
      <x:c r="G906" s="17" t="str">
        <x:v>P04</x:v>
      </x:c>
      <x:c r="H906" s="17" t="str">
        <x:v>echelon</x:v>
      </x:c>
      <x:c r="I906" s="17" t="str">
        <x:v>珠海中力新能源科技有限公司</x:v>
      </x:c>
      <x:c r="J906" s="24" t="n">
        <x:v>113.5721327</x:v>
      </x:c>
      <x:c r="K906" s="24" t="n">
        <x:v>22.273734</x:v>
      </x:c>
      <x:c r="L906" s="21" t="n">
        <x:f>6371*ACOS(MIN(1,COS(F906*PI()/180)*COS(K906*PI()/180)*COS((J906-E906)*PI()/180)+SIN(F906*PI()/180)*SIN(K906*PI()/180)))</x:f>
        <x:v>319.7393294978697</x:v>
      </x:c>
      <x:c r="M906" s="21" t="n">
        <x:f>L906*'情景参数模板'!$D$31</x:f>
        <x:v>383.6871953974436</x:v>
      </x:c>
      <x:c r="N906" s="21" t="n">
        <x:f>IF(C906="source",'情景参数模板'!$D$12,IF(H906="echelon",'情景参数模板'!$D$13,'情景参数模板'!$D$14))</x:f>
        <x:v>0.49</x:v>
      </x:c>
      <x:c r="O906" s="21" t="n">
        <x:f>IF(C906="source",'情景参数模板'!$D$18,IF(H906="echelon",'情景参数模板'!$D$19,'情景参数模板'!$D$20))</x:f>
        <x:v>300</x:v>
      </x:c>
      <x:c r="P906" s="17" t="n">
        <x:f>IF(M906&lt;=O906,1,0)</x:f>
        <x:v>0</x:v>
      </x:c>
      <x:c r="Q906" s="17" t="str">
        <x:v>D-road proxy; B-coordinates</x:v>
      </x:c>
    </x:row>
    <x:row r="907">
      <x:c r="A907" s="17" t="str">
        <x:v>A0903</x:v>
      </x:c>
      <x:c r="B907" s="17" t="str">
        <x:v>C20</x:v>
      </x:c>
      <x:c r="C907" s="17" t="str">
        <x:v>collection</x:v>
      </x:c>
      <x:c r="D907" s="17" t="str">
        <x:v>揭阳虚拟回收/检测中心</x:v>
      </x:c>
      <x:c r="E907" s="24" t="n">
        <x:v>116.3680354</x:v>
      </x:c>
      <x:c r="F907" s="24" t="n">
        <x:v>23.553156</x:v>
      </x:c>
      <x:c r="G907" s="17" t="str">
        <x:v>P05</x:v>
      </x:c>
      <x:c r="H907" s="17" t="str">
        <x:v>echelon</x:v>
      </x:c>
      <x:c r="I907" s="17" t="str">
        <x:v>惠州市恒创睿能环保科技有限公司</x:v>
      </x:c>
      <x:c r="J907" s="24" t="n">
        <x:v>114.4127007</x:v>
      </x:c>
      <x:c r="K907" s="24" t="n">
        <x:v>23.1125153</x:v>
      </x:c>
      <x:c r="L907" s="21" t="n">
        <x:f>6371*ACOS(MIN(1,COS(F907*PI()/180)*COS(K907*PI()/180)*COS((J907-E907)*PI()/180)+SIN(F907*PI()/180)*SIN(K907*PI()/180)))</x:f>
        <x:v>205.5647125663095</x:v>
      </x:c>
      <x:c r="M907" s="21" t="n">
        <x:f>L907*'情景参数模板'!$D$31</x:f>
        <x:v>246.6776550795714</x:v>
      </x:c>
      <x:c r="N907" s="21" t="n">
        <x:f>IF(C907="source",'情景参数模板'!$D$12,IF(H907="echelon",'情景参数模板'!$D$13,'情景参数模板'!$D$14))</x:f>
        <x:v>0.49</x:v>
      </x:c>
      <x:c r="O907" s="21" t="n">
        <x:f>IF(C907="source",'情景参数模板'!$D$18,IF(H907="echelon",'情景参数模板'!$D$19,'情景参数模板'!$D$20))</x:f>
        <x:v>300</x:v>
      </x:c>
      <x:c r="P907" s="17" t="n">
        <x:f>IF(M907&lt;=O907,1,0)</x:f>
        <x:v>1</x:v>
      </x:c>
      <x:c r="Q907" s="17" t="str">
        <x:v>D-road proxy; B-coordinates</x:v>
      </x:c>
    </x:row>
    <x:row r="908">
      <x:c r="A908" s="17" t="str">
        <x:v>A0904</x:v>
      </x:c>
      <x:c r="B908" s="17" t="str">
        <x:v>C20</x:v>
      </x:c>
      <x:c r="C908" s="17" t="str">
        <x:v>collection</x:v>
      </x:c>
      <x:c r="D908" s="17" t="str">
        <x:v>揭阳虚拟回收/检测中心</x:v>
      </x:c>
      <x:c r="E908" s="24" t="n">
        <x:v>116.3680354</x:v>
      </x:c>
      <x:c r="F908" s="24" t="n">
        <x:v>23.553156</x:v>
      </x:c>
      <x:c r="G908" s="17" t="str">
        <x:v>P06</x:v>
      </x:c>
      <x:c r="H908" s="17" t="str">
        <x:v>echelon</x:v>
      </x:c>
      <x:c r="I908" s="17" t="str">
        <x:v>江门市朗达锂电池有限公司</x:v>
      </x:c>
      <x:c r="J908" s="24" t="n">
        <x:v>113.0761073</x:v>
      </x:c>
      <x:c r="K908" s="24" t="n">
        <x:v>22.5816619</x:v>
      </x:c>
      <x:c r="L908" s="21" t="n">
        <x:f>6371*ACOS(MIN(1,COS(F908*PI()/180)*COS(K908*PI()/180)*COS((J908-E908)*PI()/180)+SIN(F908*PI()/180)*SIN(K908*PI()/180)))</x:f>
        <x:v>353.6666681995238</x:v>
      </x:c>
      <x:c r="M908" s="21" t="n">
        <x:f>L908*'情景参数模板'!$D$31</x:f>
        <x:v>424.40000183942857</x:v>
      </x:c>
      <x:c r="N908" s="21" t="n">
        <x:f>IF(C908="source",'情景参数模板'!$D$12,IF(H908="echelon",'情景参数模板'!$D$13,'情景参数模板'!$D$14))</x:f>
        <x:v>0.49</x:v>
      </x:c>
      <x:c r="O908" s="21" t="n">
        <x:f>IF(C908="source",'情景参数模板'!$D$18,IF(H908="echelon",'情景参数模板'!$D$19,'情景参数模板'!$D$20))</x:f>
        <x:v>300</x:v>
      </x:c>
      <x:c r="P908" s="17" t="n">
        <x:f>IF(M908&lt;=O908,1,0)</x:f>
        <x:v>0</x:v>
      </x:c>
      <x:c r="Q908" s="17" t="str">
        <x:v>D-road proxy; B-coordinates</x:v>
      </x:c>
    </x:row>
    <x:row r="909">
      <x:c r="A909" s="17" t="str">
        <x:v>A0905</x:v>
      </x:c>
      <x:c r="B909" s="17" t="str">
        <x:v>C20</x:v>
      </x:c>
      <x:c r="C909" s="17" t="str">
        <x:v>collection</x:v>
      </x:c>
      <x:c r="D909" s="17" t="str">
        <x:v>揭阳虚拟回收/检测中心</x:v>
      </x:c>
      <x:c r="E909" s="24" t="n">
        <x:v>116.3680354</x:v>
      </x:c>
      <x:c r="F909" s="24" t="n">
        <x:v>23.553156</x:v>
      </x:c>
      <x:c r="G909" s="17" t="str">
        <x:v>P07</x:v>
      </x:c>
      <x:c r="H909" s="17" t="str">
        <x:v>echelon</x:v>
      </x:c>
      <x:c r="I909" s="17" t="str">
        <x:v>广东迪度新能源有限公司</x:v>
      </x:c>
      <x:c r="J909" s="24" t="n">
        <x:v>113.7452332</x:v>
      </x:c>
      <x:c r="K909" s="24" t="n">
        <x:v>23.0183568</x:v>
      </x:c>
      <x:c r="L909" s="21" t="n">
        <x:f>6371*ACOS(MIN(1,COS(F909*PI()/180)*COS(K909*PI()/180)*COS((J909-E909)*PI()/180)+SIN(F909*PI()/180)*SIN(K909*PI()/180)))</x:f>
        <x:v>274.4024735528984</x:v>
      </x:c>
      <x:c r="M909" s="21" t="n">
        <x:f>L909*'情景参数模板'!$D$31</x:f>
        <x:v>329.2829682634781</x:v>
      </x:c>
      <x:c r="N909" s="21" t="n">
        <x:f>IF(C909="source",'情景参数模板'!$D$12,IF(H909="echelon",'情景参数模板'!$D$13,'情景参数模板'!$D$14))</x:f>
        <x:v>0.49</x:v>
      </x:c>
      <x:c r="O909" s="21" t="n">
        <x:f>IF(C909="source",'情景参数模板'!$D$18,IF(H909="echelon",'情景参数模板'!$D$19,'情景参数模板'!$D$20))</x:f>
        <x:v>300</x:v>
      </x:c>
      <x:c r="P909" s="17" t="n">
        <x:f>IF(M909&lt;=O909,1,0)</x:f>
        <x:v>0</x:v>
      </x:c>
      <x:c r="Q909" s="17" t="str">
        <x:v>D-road proxy; B-coordinates</x:v>
      </x:c>
    </x:row>
    <x:row r="910">
      <x:c r="A910" s="17" t="str">
        <x:v>A0906</x:v>
      </x:c>
      <x:c r="B910" s="17" t="str">
        <x:v>C20</x:v>
      </x:c>
      <x:c r="C910" s="17" t="str">
        <x:v>collection</x:v>
      </x:c>
      <x:c r="D910" s="17" t="str">
        <x:v>揭阳虚拟回收/检测中心</x:v>
      </x:c>
      <x:c r="E910" s="24" t="n">
        <x:v>116.3680354</x:v>
      </x:c>
      <x:c r="F910" s="24" t="n">
        <x:v>23.553156</x:v>
      </x:c>
      <x:c r="G910" s="17" t="str">
        <x:v>P08</x:v>
      </x:c>
      <x:c r="H910" s="17" t="str">
        <x:v>echelon</x:v>
      </x:c>
      <x:c r="I910" s="17" t="str">
        <x:v>东莞市博森新能源有限公司</x:v>
      </x:c>
      <x:c r="J910" s="24" t="n">
        <x:v>113.7452332</x:v>
      </x:c>
      <x:c r="K910" s="24" t="n">
        <x:v>23.0183568</x:v>
      </x:c>
      <x:c r="L910" s="21" t="n">
        <x:f>6371*ACOS(MIN(1,COS(F910*PI()/180)*COS(K910*PI()/180)*COS((J910-E910)*PI()/180)+SIN(F910*PI()/180)*SIN(K910*PI()/180)))</x:f>
        <x:v>274.4024735528984</x:v>
      </x:c>
      <x:c r="M910" s="21" t="n">
        <x:f>L910*'情景参数模板'!$D$31</x:f>
        <x:v>329.2829682634781</x:v>
      </x:c>
      <x:c r="N910" s="21" t="n">
        <x:f>IF(C910="source",'情景参数模板'!$D$12,IF(H910="echelon",'情景参数模板'!$D$13,'情景参数模板'!$D$14))</x:f>
        <x:v>0.49</x:v>
      </x:c>
      <x:c r="O910" s="21" t="n">
        <x:f>IF(C910="source",'情景参数模板'!$D$18,IF(H910="echelon",'情景参数模板'!$D$19,'情景参数模板'!$D$20))</x:f>
        <x:v>300</x:v>
      </x:c>
      <x:c r="P910" s="17" t="n">
        <x:f>IF(M910&lt;=O910,1,0)</x:f>
        <x:v>0</x:v>
      </x:c>
      <x:c r="Q910" s="17" t="str">
        <x:v>D-road proxy; B-coordinates</x:v>
      </x:c>
    </x:row>
    <x:row r="911">
      <x:c r="A911" s="17" t="str">
        <x:v>A0907</x:v>
      </x:c>
      <x:c r="B911" s="17" t="str">
        <x:v>C20</x:v>
      </x:c>
      <x:c r="C911" s="17" t="str">
        <x:v>collection</x:v>
      </x:c>
      <x:c r="D911" s="17" t="str">
        <x:v>揭阳虚拟回收/检测中心</x:v>
      </x:c>
      <x:c r="E911" s="24" t="n">
        <x:v>116.3680354</x:v>
      </x:c>
      <x:c r="F911" s="24" t="n">
        <x:v>23.553156</x:v>
      </x:c>
      <x:c r="G911" s="17" t="str">
        <x:v>P09</x:v>
      </x:c>
      <x:c r="H911" s="17" t="str">
        <x:v>echelon</x:v>
      </x:c>
      <x:c r="I911" s="17" t="str">
        <x:v>广东宇阳新能源有限公司</x:v>
      </x:c>
      <x:c r="J911" s="24" t="n">
        <x:v>113.7452332</x:v>
      </x:c>
      <x:c r="K911" s="24" t="n">
        <x:v>23.0183568</x:v>
      </x:c>
      <x:c r="L911" s="21" t="n">
        <x:f>6371*ACOS(MIN(1,COS(F911*PI()/180)*COS(K911*PI()/180)*COS((J911-E911)*PI()/180)+SIN(F911*PI()/180)*SIN(K911*PI()/180)))</x:f>
        <x:v>274.4024735528984</x:v>
      </x:c>
      <x:c r="M911" s="21" t="n">
        <x:f>L911*'情景参数模板'!$D$31</x:f>
        <x:v>329.2829682634781</x:v>
      </x:c>
      <x:c r="N911" s="21" t="n">
        <x:f>IF(C911="source",'情景参数模板'!$D$12,IF(H911="echelon",'情景参数模板'!$D$13,'情景参数模板'!$D$14))</x:f>
        <x:v>0.49</x:v>
      </x:c>
      <x:c r="O911" s="21" t="n">
        <x:f>IF(C911="source",'情景参数模板'!$D$18,IF(H911="echelon",'情景参数模板'!$D$19,'情景参数模板'!$D$20))</x:f>
        <x:v>300</x:v>
      </x:c>
      <x:c r="P911" s="17" t="n">
        <x:f>IF(M911&lt;=O911,1,0)</x:f>
        <x:v>0</x:v>
      </x:c>
      <x:c r="Q911" s="17" t="str">
        <x:v>D-road proxy; B-coordinates</x:v>
      </x:c>
    </x:row>
    <x:row r="912">
      <x:c r="A912" s="17" t="str">
        <x:v>A0908</x:v>
      </x:c>
      <x:c r="B912" s="17" t="str">
        <x:v>C20</x:v>
      </x:c>
      <x:c r="C912" s="17" t="str">
        <x:v>collection</x:v>
      </x:c>
      <x:c r="D912" s="17" t="str">
        <x:v>揭阳虚拟回收/检测中心</x:v>
      </x:c>
      <x:c r="E912" s="24" t="n">
        <x:v>116.3680354</x:v>
      </x:c>
      <x:c r="F912" s="24" t="n">
        <x:v>23.553156</x:v>
      </x:c>
      <x:c r="G912" s="17" t="str">
        <x:v>P10</x:v>
      </x:c>
      <x:c r="H912" s="17" t="str">
        <x:v>echelon</x:v>
      </x:c>
      <x:c r="I912" s="17" t="str">
        <x:v>广州广汽商贸再生资源有限公司</x:v>
      </x:c>
      <x:c r="J912" s="24" t="n">
        <x:v>113.2589581</x:v>
      </x:c>
      <x:c r="K912" s="24" t="n">
        <x:v>23.1288429</x:v>
      </x:c>
      <x:c r="L912" s="21" t="n">
        <x:f>6371*ACOS(MIN(1,COS(F912*PI()/180)*COS(K912*PI()/180)*COS((J912-E912)*PI()/180)+SIN(F912*PI()/180)*SIN(K912*PI()/180)))</x:f>
        <x:v>320.9016901068273</x:v>
      </x:c>
      <x:c r="M912" s="21" t="n">
        <x:f>L912*'情景参数模板'!$D$31</x:f>
        <x:v>385.08202812819275</x:v>
      </x:c>
      <x:c r="N912" s="21" t="n">
        <x:f>IF(C912="source",'情景参数模板'!$D$12,IF(H912="echelon",'情景参数模板'!$D$13,'情景参数模板'!$D$14))</x:f>
        <x:v>0.49</x:v>
      </x:c>
      <x:c r="O912" s="21" t="n">
        <x:f>IF(C912="source",'情景参数模板'!$D$18,IF(H912="echelon",'情景参数模板'!$D$19,'情景参数模板'!$D$20))</x:f>
        <x:v>300</x:v>
      </x:c>
      <x:c r="P912" s="17" t="n">
        <x:f>IF(M912&lt;=O912,1,0)</x:f>
        <x:v>0</x:v>
      </x:c>
      <x:c r="Q912" s="17" t="str">
        <x:v>D-road proxy; B-coordinates</x:v>
      </x:c>
    </x:row>
    <x:row r="913">
      <x:c r="A913" s="17" t="str">
        <x:v>A0909</x:v>
      </x:c>
      <x:c r="B913" s="17" t="str">
        <x:v>C20</x:v>
      </x:c>
      <x:c r="C913" s="17" t="str">
        <x:v>collection</x:v>
      </x:c>
      <x:c r="D913" s="17" t="str">
        <x:v>揭阳虚拟回收/检测中心</x:v>
      </x:c>
      <x:c r="E913" s="24" t="n">
        <x:v>116.3680354</x:v>
      </x:c>
      <x:c r="F913" s="24" t="n">
        <x:v>23.553156</x:v>
      </x:c>
      <x:c r="G913" s="17" t="str">
        <x:v>P11</x:v>
      </x:c>
      <x:c r="H913" s="17" t="str">
        <x:v>echelon</x:v>
      </x:c>
      <x:c r="I913" s="17" t="str">
        <x:v>深圳市杰成镍钴新能源科技有限公司</x:v>
      </x:c>
      <x:c r="J913" s="24" t="n">
        <x:v>114.0545429</x:v>
      </x:c>
      <x:c r="K913" s="24" t="n">
        <x:v>22.5445741</x:v>
      </x:c>
      <x:c r="L913" s="21" t="n">
        <x:f>6371*ACOS(MIN(1,COS(F913*PI()/180)*COS(K913*PI()/180)*COS((J913-E913)*PI()/180)+SIN(F913*PI()/180)*SIN(K913*PI()/180)))</x:f>
        <x:v>261.92936233802646</x:v>
      </x:c>
      <x:c r="M913" s="21" t="n">
        <x:f>L913*'情景参数模板'!$D$31</x:f>
        <x:v>314.31523480563175</x:v>
      </x:c>
      <x:c r="N913" s="21" t="n">
        <x:f>IF(C913="source",'情景参数模板'!$D$12,IF(H913="echelon",'情景参数模板'!$D$13,'情景参数模板'!$D$14))</x:f>
        <x:v>0.49</x:v>
      </x:c>
      <x:c r="O913" s="21" t="n">
        <x:f>IF(C913="source",'情景参数模板'!$D$18,IF(H913="echelon",'情景参数模板'!$D$19,'情景参数模板'!$D$20))</x:f>
        <x:v>300</x:v>
      </x:c>
      <x:c r="P913" s="17" t="n">
        <x:f>IF(M913&lt;=O913,1,0)</x:f>
        <x:v>0</x:v>
      </x:c>
      <x:c r="Q913" s="17" t="str">
        <x:v>D-road proxy; B-coordinates</x:v>
      </x:c>
    </x:row>
    <x:row r="914">
      <x:c r="A914" s="17" t="str">
        <x:v>A0910</x:v>
      </x:c>
      <x:c r="B914" s="17" t="str">
        <x:v>C20</x:v>
      </x:c>
      <x:c r="C914" s="17" t="str">
        <x:v>collection</x:v>
      </x:c>
      <x:c r="D914" s="17" t="str">
        <x:v>揭阳虚拟回收/检测中心</x:v>
      </x:c>
      <x:c r="E914" s="24" t="n">
        <x:v>116.3680354</x:v>
      </x:c>
      <x:c r="F914" s="24" t="n">
        <x:v>23.553156</x:v>
      </x:c>
      <x:c r="G914" s="17" t="str">
        <x:v>P12</x:v>
      </x:c>
      <x:c r="H914" s="17" t="str">
        <x:v>recycling</x:v>
      </x:c>
      <x:c r="I914" s="17" t="str">
        <x:v>江门市恒创睿能环保科技有限公司</x:v>
      </x:c>
      <x:c r="J914" s="24" t="n">
        <x:v>113.0761073</x:v>
      </x:c>
      <x:c r="K914" s="24" t="n">
        <x:v>22.5816619</x:v>
      </x:c>
      <x:c r="L914" s="21" t="n">
        <x:f>6371*ACOS(MIN(1,COS(F914*PI()/180)*COS(K914*PI()/180)*COS((J914-E914)*PI()/180)+SIN(F914*PI()/180)*SIN(K914*PI()/180)))</x:f>
        <x:v>353.6666681995238</x:v>
      </x:c>
      <x:c r="M914" s="21" t="n">
        <x:f>L914*'情景参数模板'!$D$31</x:f>
        <x:v>424.40000183942857</x:v>
      </x:c>
      <x:c r="N914" s="21" t="n">
        <x:f>IF(C914="source",'情景参数模板'!$D$12,IF(H914="echelon",'情景参数模板'!$D$13,'情景参数模板'!$D$14))</x:f>
        <x:v>0.49</x:v>
      </x:c>
      <x:c r="O914" s="21" t="n">
        <x:f>IF(C914="source",'情景参数模板'!$D$18,IF(H914="echelon",'情景参数模板'!$D$19,'情景参数模板'!$D$20))</x:f>
        <x:v>400</x:v>
      </x:c>
      <x:c r="P914" s="17" t="n">
        <x:f>IF(M914&lt;=O914,1,0)</x:f>
        <x:v>0</x:v>
      </x:c>
      <x:c r="Q914" s="17" t="str">
        <x:v>D-road proxy; B-coordinates</x:v>
      </x:c>
    </x:row>
    <x:row r="915">
      <x:c r="A915" s="17" t="str">
        <x:v>A0911</x:v>
      </x:c>
      <x:c r="B915" s="17" t="str">
        <x:v>C20</x:v>
      </x:c>
      <x:c r="C915" s="17" t="str">
        <x:v>collection</x:v>
      </x:c>
      <x:c r="D915" s="17" t="str">
        <x:v>揭阳虚拟回收/检测中心</x:v>
      </x:c>
      <x:c r="E915" s="24" t="n">
        <x:v>116.3680354</x:v>
      </x:c>
      <x:c r="F915" s="24" t="n">
        <x:v>23.553156</x:v>
      </x:c>
      <x:c r="G915" s="17" t="str">
        <x:v>P13</x:v>
      </x:c>
      <x:c r="H915" s="17" t="str">
        <x:v>recycling</x:v>
      </x:c>
      <x:c r="I915" s="17" t="str">
        <x:v>广东佳纳能源科技有限公司</x:v>
      </x:c>
      <x:c r="J915" s="24" t="n">
        <x:v>113.0505994</x:v>
      </x:c>
      <x:c r="K915" s="24" t="n">
        <x:v>23.6832984</x:v>
      </x:c>
      <x:c r="L915" s="21" t="n">
        <x:f>6371*ACOS(MIN(1,COS(F915*PI()/180)*COS(K915*PI()/180)*COS((J915-E915)*PI()/180)+SIN(F915*PI()/180)*SIN(K915*PI()/180)))</x:f>
        <x:v>338.28473835116233</x:v>
      </x:c>
      <x:c r="M915" s="21" t="n">
        <x:f>L915*'情景参数模板'!$D$31</x:f>
        <x:v>405.9416860213948</x:v>
      </x:c>
      <x:c r="N915" s="21" t="n">
        <x:f>IF(C915="source",'情景参数模板'!$D$12,IF(H915="echelon",'情景参数模板'!$D$13,'情景参数模板'!$D$14))</x:f>
        <x:v>0.49</x:v>
      </x:c>
      <x:c r="O915" s="21" t="n">
        <x:f>IF(C915="source",'情景参数模板'!$D$18,IF(H915="echelon",'情景参数模板'!$D$19,'情景参数模板'!$D$20))</x:f>
        <x:v>400</x:v>
      </x:c>
      <x:c r="P915" s="17" t="n">
        <x:f>IF(M915&lt;=O915,1,0)</x:f>
        <x:v>0</x:v>
      </x:c>
      <x:c r="Q915" s="17" t="str">
        <x:v>D-road proxy; B-coordinates</x:v>
      </x:c>
    </x:row>
    <x:row r="916">
      <x:c r="A916" s="17" t="str">
        <x:v>A0912</x:v>
      </x:c>
      <x:c r="B916" s="17" t="str">
        <x:v>C20</x:v>
      </x:c>
      <x:c r="C916" s="17" t="str">
        <x:v>collection</x:v>
      </x:c>
      <x:c r="D916" s="17" t="str">
        <x:v>揭阳虚拟回收/检测中心</x:v>
      </x:c>
      <x:c r="E916" s="24" t="n">
        <x:v>116.3680354</x:v>
      </x:c>
      <x:c r="F916" s="24" t="n">
        <x:v>23.553156</x:v>
      </x:c>
      <x:c r="G916" s="17" t="str">
        <x:v>P14</x:v>
      </x:c>
      <x:c r="H916" s="17" t="str">
        <x:v>echelon</x:v>
      </x:c>
      <x:c r="I916" s="17" t="str">
        <x:v>格林美（深圳）循环科技有限公司</x:v>
      </x:c>
      <x:c r="J916" s="24" t="n">
        <x:v>114.0545429</x:v>
      </x:c>
      <x:c r="K916" s="24" t="n">
        <x:v>22.5445741</x:v>
      </x:c>
      <x:c r="L916" s="21" t="n">
        <x:f>6371*ACOS(MIN(1,COS(F916*PI()/180)*COS(K916*PI()/180)*COS((J916-E916)*PI()/180)+SIN(F916*PI()/180)*SIN(K916*PI()/180)))</x:f>
        <x:v>261.92936233802646</x:v>
      </x:c>
      <x:c r="M916" s="21" t="n">
        <x:f>L916*'情景参数模板'!$D$31</x:f>
        <x:v>314.31523480563175</x:v>
      </x:c>
      <x:c r="N916" s="21" t="n">
        <x:f>IF(C916="source",'情景参数模板'!$D$12,IF(H916="echelon",'情景参数模板'!$D$13,'情景参数模板'!$D$14))</x:f>
        <x:v>0.49</x:v>
      </x:c>
      <x:c r="O916" s="21" t="n">
        <x:f>IF(C916="source",'情景参数模板'!$D$18,IF(H916="echelon",'情景参数模板'!$D$19,'情景参数模板'!$D$20))</x:f>
        <x:v>300</x:v>
      </x:c>
      <x:c r="P916" s="17" t="n">
        <x:f>IF(M916&lt;=O916,1,0)</x:f>
        <x:v>0</x:v>
      </x:c>
      <x:c r="Q916" s="17" t="str">
        <x:v>D-road proxy; B-coordinates</x:v>
      </x:c>
    </x:row>
    <x:row r="917">
      <x:c r="A917" s="17" t="str">
        <x:v>A0913</x:v>
      </x:c>
      <x:c r="B917" s="17" t="str">
        <x:v>C20</x:v>
      </x:c>
      <x:c r="C917" s="17" t="str">
        <x:v>collection</x:v>
      </x:c>
      <x:c r="D917" s="17" t="str">
        <x:v>揭阳虚拟回收/检测中心</x:v>
      </x:c>
      <x:c r="E917" s="24" t="n">
        <x:v>116.3680354</x:v>
      </x:c>
      <x:c r="F917" s="24" t="n">
        <x:v>23.553156</x:v>
      </x:c>
      <x:c r="G917" s="17" t="str">
        <x:v>P15</x:v>
      </x:c>
      <x:c r="H917" s="17" t="str">
        <x:v>echelon</x:v>
      </x:c>
      <x:c r="I917" s="17" t="str">
        <x:v>绿循新能源科技（佛山）有限责任公司</x:v>
      </x:c>
      <x:c r="J917" s="24" t="n">
        <x:v>113.1159558</x:v>
      </x:c>
      <x:c r="K917" s="24" t="n">
        <x:v>23.0239788</x:v>
      </x:c>
      <x:c r="L917" s="21" t="n">
        <x:f>6371*ACOS(MIN(1,COS(F917*PI()/180)*COS(K917*PI()/180)*COS((J917-E917)*PI()/180)+SIN(F917*PI()/180)*SIN(K917*PI()/180)))</x:f>
        <x:v>337.31536533239324</x:v>
      </x:c>
      <x:c r="M917" s="21" t="n">
        <x:f>L917*'情景参数模板'!$D$31</x:f>
        <x:v>404.77843839887186</x:v>
      </x:c>
      <x:c r="N917" s="21" t="n">
        <x:f>IF(C917="source",'情景参数模板'!$D$12,IF(H917="echelon",'情景参数模板'!$D$13,'情景参数模板'!$D$14))</x:f>
        <x:v>0.49</x:v>
      </x:c>
      <x:c r="O917" s="21" t="n">
        <x:f>IF(C917="source",'情景参数模板'!$D$18,IF(H917="echelon",'情景参数模板'!$D$19,'情景参数模板'!$D$20))</x:f>
        <x:v>300</x:v>
      </x:c>
      <x:c r="P917" s="17" t="n">
        <x:f>IF(M917&lt;=O917,1,0)</x:f>
        <x:v>0</x:v>
      </x:c>
      <x:c r="Q917" s="17" t="str">
        <x:v>D-road proxy; B-coordinates</x:v>
      </x:c>
    </x:row>
    <x:row r="918">
      <x:c r="A918" s="17" t="str">
        <x:v>A0914</x:v>
      </x:c>
      <x:c r="B918" s="17" t="str">
        <x:v>C20</x:v>
      </x:c>
      <x:c r="C918" s="17" t="str">
        <x:v>collection</x:v>
      </x:c>
      <x:c r="D918" s="17" t="str">
        <x:v>揭阳虚拟回收/检测中心</x:v>
      </x:c>
      <x:c r="E918" s="24" t="n">
        <x:v>116.3680354</x:v>
      </x:c>
      <x:c r="F918" s="24" t="n">
        <x:v>23.553156</x:v>
      </x:c>
      <x:c r="G918" s="17" t="str">
        <x:v>P16</x:v>
      </x:c>
      <x:c r="H918" s="17" t="str">
        <x:v>echelon</x:v>
      </x:c>
      <x:c r="I918" s="17" t="str">
        <x:v>深圳艾云动智慧科技有限公司</x:v>
      </x:c>
      <x:c r="J918" s="24" t="n">
        <x:v>114.0545429</x:v>
      </x:c>
      <x:c r="K918" s="24" t="n">
        <x:v>22.5445741</x:v>
      </x:c>
      <x:c r="L918" s="21" t="n">
        <x:f>6371*ACOS(MIN(1,COS(F918*PI()/180)*COS(K918*PI()/180)*COS((J918-E918)*PI()/180)+SIN(F918*PI()/180)*SIN(K918*PI()/180)))</x:f>
        <x:v>261.92936233802646</x:v>
      </x:c>
      <x:c r="M918" s="21" t="n">
        <x:f>L918*'情景参数模板'!$D$31</x:f>
        <x:v>314.31523480563175</x:v>
      </x:c>
      <x:c r="N918" s="21" t="n">
        <x:f>IF(C918="source",'情景参数模板'!$D$12,IF(H918="echelon",'情景参数模板'!$D$13,'情景参数模板'!$D$14))</x:f>
        <x:v>0.49</x:v>
      </x:c>
      <x:c r="O918" s="21" t="n">
        <x:f>IF(C918="source",'情景参数模板'!$D$18,IF(H918="echelon",'情景参数模板'!$D$19,'情景参数模板'!$D$20))</x:f>
        <x:v>300</x:v>
      </x:c>
      <x:c r="P918" s="17" t="n">
        <x:f>IF(M918&lt;=O918,1,0)</x:f>
        <x:v>0</x:v>
      </x:c>
      <x:c r="Q918" s="17" t="str">
        <x:v>D-road proxy; B-coordinates</x:v>
      </x:c>
    </x:row>
    <x:row r="919">
      <x:c r="A919" s="17" t="str">
        <x:v>A0915</x:v>
      </x:c>
      <x:c r="B919" s="17" t="str">
        <x:v>C20</x:v>
      </x:c>
      <x:c r="C919" s="17" t="str">
        <x:v>collection</x:v>
      </x:c>
      <x:c r="D919" s="17" t="str">
        <x:v>揭阳虚拟回收/检测中心</x:v>
      </x:c>
      <x:c r="E919" s="24" t="n">
        <x:v>116.3680354</x:v>
      </x:c>
      <x:c r="F919" s="24" t="n">
        <x:v>23.553156</x:v>
      </x:c>
      <x:c r="G919" s="17" t="str">
        <x:v>P17</x:v>
      </x:c>
      <x:c r="H919" s="17" t="str">
        <x:v>echelon</x:v>
      </x:c>
      <x:c r="I919" s="17" t="str">
        <x:v>深圳市荣高晟新能源科技有限公司</x:v>
      </x:c>
      <x:c r="J919" s="24" t="n">
        <x:v>114.0545429</x:v>
      </x:c>
      <x:c r="K919" s="24" t="n">
        <x:v>22.5445741</x:v>
      </x:c>
      <x:c r="L919" s="21" t="n">
        <x:f>6371*ACOS(MIN(1,COS(F919*PI()/180)*COS(K919*PI()/180)*COS((J919-E919)*PI()/180)+SIN(F919*PI()/180)*SIN(K919*PI()/180)))</x:f>
        <x:v>261.92936233802646</x:v>
      </x:c>
      <x:c r="M919" s="21" t="n">
        <x:f>L919*'情景参数模板'!$D$31</x:f>
        <x:v>314.31523480563175</x:v>
      </x:c>
      <x:c r="N919" s="21" t="n">
        <x:f>IF(C919="source",'情景参数模板'!$D$12,IF(H919="echelon",'情景参数模板'!$D$13,'情景参数模板'!$D$14))</x:f>
        <x:v>0.49</x:v>
      </x:c>
      <x:c r="O919" s="21" t="n">
        <x:f>IF(C919="source",'情景参数模板'!$D$18,IF(H919="echelon",'情景参数模板'!$D$19,'情景参数模板'!$D$20))</x:f>
        <x:v>300</x:v>
      </x:c>
      <x:c r="P919" s="17" t="n">
        <x:f>IF(M919&lt;=O919,1,0)</x:f>
        <x:v>0</x:v>
      </x:c>
      <x:c r="Q919" s="17" t="str">
        <x:v>D-road proxy; B-coordinates</x:v>
      </x:c>
    </x:row>
    <x:row r="920">
      <x:c r="A920" s="17" t="str">
        <x:v>A0916</x:v>
      </x:c>
      <x:c r="B920" s="17" t="str">
        <x:v>C20</x:v>
      </x:c>
      <x:c r="C920" s="17" t="str">
        <x:v>collection</x:v>
      </x:c>
      <x:c r="D920" s="17" t="str">
        <x:v>揭阳虚拟回收/检测中心</x:v>
      </x:c>
      <x:c r="E920" s="24" t="n">
        <x:v>116.3680354</x:v>
      </x:c>
      <x:c r="F920" s="24" t="n">
        <x:v>23.553156</x:v>
      </x:c>
      <x:c r="G920" s="17" t="str">
        <x:v>P18</x:v>
      </x:c>
      <x:c r="H920" s="17" t="str">
        <x:v>echelon</x:v>
      </x:c>
      <x:c r="I920" s="17" t="str">
        <x:v>中商锂新能源科技（惠州）有限公司</x:v>
      </x:c>
      <x:c r="J920" s="24" t="n">
        <x:v>114.4127007</x:v>
      </x:c>
      <x:c r="K920" s="24" t="n">
        <x:v>23.1125153</x:v>
      </x:c>
      <x:c r="L920" s="21" t="n">
        <x:f>6371*ACOS(MIN(1,COS(F920*PI()/180)*COS(K920*PI()/180)*COS((J920-E920)*PI()/180)+SIN(F920*PI()/180)*SIN(K920*PI()/180)))</x:f>
        <x:v>205.5647125663095</x:v>
      </x:c>
      <x:c r="M920" s="21" t="n">
        <x:f>L920*'情景参数模板'!$D$31</x:f>
        <x:v>246.6776550795714</x:v>
      </x:c>
      <x:c r="N920" s="21" t="n">
        <x:f>IF(C920="source",'情景参数模板'!$D$12,IF(H920="echelon",'情景参数模板'!$D$13,'情景参数模板'!$D$14))</x:f>
        <x:v>0.49</x:v>
      </x:c>
      <x:c r="O920" s="21" t="n">
        <x:f>IF(C920="source",'情景参数模板'!$D$18,IF(H920="echelon",'情景参数模板'!$D$19,'情景参数模板'!$D$20))</x:f>
        <x:v>300</x:v>
      </x:c>
      <x:c r="P920" s="17" t="n">
        <x:f>IF(M920&lt;=O920,1,0)</x:f>
        <x:v>1</x:v>
      </x:c>
      <x:c r="Q920" s="17" t="str">
        <x:v>D-road proxy; B-coordinates</x:v>
      </x:c>
    </x:row>
    <x:row r="921">
      <x:c r="A921" s="17" t="str">
        <x:v>A0917</x:v>
      </x:c>
      <x:c r="B921" s="17" t="str">
        <x:v>C20</x:v>
      </x:c>
      <x:c r="C921" s="17" t="str">
        <x:v>collection</x:v>
      </x:c>
      <x:c r="D921" s="17" t="str">
        <x:v>揭阳虚拟回收/检测中心</x:v>
      </x:c>
      <x:c r="E921" s="24" t="n">
        <x:v>116.3680354</x:v>
      </x:c>
      <x:c r="F921" s="24" t="n">
        <x:v>23.553156</x:v>
      </x:c>
      <x:c r="G921" s="17" t="str">
        <x:v>P19</x:v>
      </x:c>
      <x:c r="H921" s="17" t="str">
        <x:v>recycling</x:v>
      </x:c>
      <x:c r="I921" s="17" t="str">
        <x:v>广东盛祥新材料科技有限公司</x:v>
      </x:c>
      <x:c r="J921" s="24" t="n">
        <x:v>113.8155263</x:v>
      </x:c>
      <x:c r="K921" s="24" t="n">
        <x:v>24.8309489</x:v>
      </x:c>
      <x:c r="L921" s="21" t="n">
        <x:f>6371*ACOS(MIN(1,COS(F921*PI()/180)*COS(K921*PI()/180)*COS((J921-E921)*PI()/180)+SIN(F921*PI()/180)*SIN(K921*PI()/180)))</x:f>
        <x:v>295.3143523759985</x:v>
      </x:c>
      <x:c r="M921" s="21" t="n">
        <x:f>L921*'情景参数模板'!$D$31</x:f>
        <x:v>354.3772228511982</x:v>
      </x:c>
      <x:c r="N921" s="21" t="n">
        <x:f>IF(C921="source",'情景参数模板'!$D$12,IF(H921="echelon",'情景参数模板'!$D$13,'情景参数模板'!$D$14))</x:f>
        <x:v>0.49</x:v>
      </x:c>
      <x:c r="O921" s="21" t="n">
        <x:f>IF(C921="source",'情景参数模板'!$D$18,IF(H921="echelon",'情景参数模板'!$D$19,'情景参数模板'!$D$20))</x:f>
        <x:v>400</x:v>
      </x:c>
      <x:c r="P921" s="17" t="n">
        <x:f>IF(M921&lt;=O921,1,0)</x:f>
        <x:v>1</x:v>
      </x:c>
      <x:c r="Q921" s="17" t="str">
        <x:v>D-road proxy; B-coordinates</x:v>
      </x:c>
    </x:row>
    <x:row r="922">
      <x:c r="A922" s="17" t="str">
        <x:v>A0918</x:v>
      </x:c>
      <x:c r="B922" s="17" t="str">
        <x:v>C20</x:v>
      </x:c>
      <x:c r="C922" s="17" t="str">
        <x:v>collection</x:v>
      </x:c>
      <x:c r="D922" s="17" t="str">
        <x:v>揭阳虚拟回收/检测中心</x:v>
      </x:c>
      <x:c r="E922" s="24" t="n">
        <x:v>116.3680354</x:v>
      </x:c>
      <x:c r="F922" s="24" t="n">
        <x:v>23.553156</x:v>
      </x:c>
      <x:c r="G922" s="17" t="str">
        <x:v>P20E</x:v>
      </x:c>
      <x:c r="H922" s="17" t="str">
        <x:v>echelon</x:v>
      </x:c>
      <x:c r="I922" s="17" t="str">
        <x:v>广东金晟新能源股份有限公司（梯次功能）</x:v>
      </x:c>
      <x:c r="J922" s="24" t="n">
        <x:v>112.4603629</x:v>
      </x:c>
      <x:c r="K922" s="24" t="n">
        <x:v>23.0501661</x:v>
      </x:c>
      <x:c r="L922" s="21" t="n">
        <x:f>6371*ACOS(MIN(1,COS(F922*PI()/180)*COS(K922*PI()/180)*COS((J922-E922)*PI()/180)+SIN(F922*PI()/180)*SIN(K922*PI()/180)))</x:f>
        <x:v>402.95849892739517</x:v>
      </x:c>
      <x:c r="M922" s="21" t="n">
        <x:f>L922*'情景参数模板'!$D$31</x:f>
        <x:v>483.5501987128742</x:v>
      </x:c>
      <x:c r="N922" s="21" t="n">
        <x:f>IF(C922="source",'情景参数模板'!$D$12,IF(H922="echelon",'情景参数模板'!$D$13,'情景参数模板'!$D$14))</x:f>
        <x:v>0.49</x:v>
      </x:c>
      <x:c r="O922" s="21" t="n">
        <x:f>IF(C922="source",'情景参数模板'!$D$18,IF(H922="echelon",'情景参数模板'!$D$19,'情景参数模板'!$D$20))</x:f>
        <x:v>300</x:v>
      </x:c>
      <x:c r="P922" s="17" t="n">
        <x:f>IF(M922&lt;=O922,1,0)</x:f>
        <x:v>0</x:v>
      </x:c>
      <x:c r="Q922" s="17" t="str">
        <x:v>D-road proxy; B-coordinates</x:v>
      </x:c>
    </x:row>
    <x:row r="923">
      <x:c r="A923" s="17" t="str">
        <x:v>A0919</x:v>
      </x:c>
      <x:c r="B923" s="17" t="str">
        <x:v>C20</x:v>
      </x:c>
      <x:c r="C923" s="17" t="str">
        <x:v>collection</x:v>
      </x:c>
      <x:c r="D923" s="17" t="str">
        <x:v>揭阳虚拟回收/检测中心</x:v>
      </x:c>
      <x:c r="E923" s="24" t="n">
        <x:v>116.3680354</x:v>
      </x:c>
      <x:c r="F923" s="24" t="n">
        <x:v>23.553156</x:v>
      </x:c>
      <x:c r="G923" s="17" t="str">
        <x:v>P20R</x:v>
      </x:c>
      <x:c r="H923" s="17" t="str">
        <x:v>recycling</x:v>
      </x:c>
      <x:c r="I923" s="17" t="str">
        <x:v>广东金晟新能源股份有限公司（再生功能）</x:v>
      </x:c>
      <x:c r="J923" s="24" t="n">
        <x:v>112.4603629</x:v>
      </x:c>
      <x:c r="K923" s="24" t="n">
        <x:v>23.0501661</x:v>
      </x:c>
      <x:c r="L923" s="21" t="n">
        <x:f>6371*ACOS(MIN(1,COS(F923*PI()/180)*COS(K923*PI()/180)*COS((J923-E923)*PI()/180)+SIN(F923*PI()/180)*SIN(K923*PI()/180)))</x:f>
        <x:v>402.95849892739517</x:v>
      </x:c>
      <x:c r="M923" s="21" t="n">
        <x:f>L923*'情景参数模板'!$D$31</x:f>
        <x:v>483.5501987128742</x:v>
      </x:c>
      <x:c r="N923" s="21" t="n">
        <x:f>IF(C923="source",'情景参数模板'!$D$12,IF(H923="echelon",'情景参数模板'!$D$13,'情景参数模板'!$D$14))</x:f>
        <x:v>0.49</x:v>
      </x:c>
      <x:c r="O923" s="21" t="n">
        <x:f>IF(C923="source",'情景参数模板'!$D$18,IF(H923="echelon",'情景参数模板'!$D$19,'情景参数模板'!$D$20))</x:f>
        <x:v>400</x:v>
      </x:c>
      <x:c r="P923" s="17" t="n">
        <x:f>IF(M923&lt;=O923,1,0)</x:f>
        <x:v>0</x:v>
      </x:c>
      <x:c r="Q923" s="17" t="str">
        <x:v>D-road proxy; B-coordinates</x:v>
      </x:c>
    </x:row>
    <x:row r="924">
      <x:c r="A924" s="17" t="str">
        <x:v>A0920</x:v>
      </x:c>
      <x:c r="B924" s="17" t="str">
        <x:v>C20</x:v>
      </x:c>
      <x:c r="C924" s="17" t="str">
        <x:v>collection</x:v>
      </x:c>
      <x:c r="D924" s="17" t="str">
        <x:v>揭阳虚拟回收/检测中心</x:v>
      </x:c>
      <x:c r="E924" s="24" t="n">
        <x:v>116.3680354</x:v>
      </x:c>
      <x:c r="F924" s="24" t="n">
        <x:v>23.553156</x:v>
      </x:c>
      <x:c r="G924" s="17" t="str">
        <x:v>P21E</x:v>
      </x:c>
      <x:c r="H924" s="17" t="str">
        <x:v>echelon</x:v>
      </x:c>
      <x:c r="I924" s="17" t="str">
        <x:v>广东瑞科美电源技术有限公司（梯次功能）</x:v>
      </x:c>
      <x:c r="J924" s="24" t="n">
        <x:v>113.1159558</x:v>
      </x:c>
      <x:c r="K924" s="24" t="n">
        <x:v>23.0239788</x:v>
      </x:c>
      <x:c r="L924" s="21" t="n">
        <x:f>6371*ACOS(MIN(1,COS(F924*PI()/180)*COS(K924*PI()/180)*COS((J924-E924)*PI()/180)+SIN(F924*PI()/180)*SIN(K924*PI()/180)))</x:f>
        <x:v>337.31536533239324</x:v>
      </x:c>
      <x:c r="M924" s="21" t="n">
        <x:f>L924*'情景参数模板'!$D$31</x:f>
        <x:v>404.77843839887186</x:v>
      </x:c>
      <x:c r="N924" s="21" t="n">
        <x:f>IF(C924="source",'情景参数模板'!$D$12,IF(H924="echelon",'情景参数模板'!$D$13,'情景参数模板'!$D$14))</x:f>
        <x:v>0.49</x:v>
      </x:c>
      <x:c r="O924" s="21" t="n">
        <x:f>IF(C924="source",'情景参数模板'!$D$18,IF(H924="echelon",'情景参数模板'!$D$19,'情景参数模板'!$D$20))</x:f>
        <x:v>300</x:v>
      </x:c>
      <x:c r="P924" s="17" t="n">
        <x:f>IF(M924&lt;=O924,1,0)</x:f>
        <x:v>0</x:v>
      </x:c>
      <x:c r="Q924" s="17" t="str">
        <x:v>D-road proxy; B-coordinates</x:v>
      </x:c>
    </x:row>
    <x:row r="925">
      <x:c r="A925" s="17" t="str">
        <x:v>A0921</x:v>
      </x:c>
      <x:c r="B925" s="17" t="str">
        <x:v>C20</x:v>
      </x:c>
      <x:c r="C925" s="17" t="str">
        <x:v>collection</x:v>
      </x:c>
      <x:c r="D925" s="17" t="str">
        <x:v>揭阳虚拟回收/检测中心</x:v>
      </x:c>
      <x:c r="E925" s="24" t="n">
        <x:v>116.3680354</x:v>
      </x:c>
      <x:c r="F925" s="24" t="n">
        <x:v>23.553156</x:v>
      </x:c>
      <x:c r="G925" s="17" t="str">
        <x:v>P21R</x:v>
      </x:c>
      <x:c r="H925" s="17" t="str">
        <x:v>recycling</x:v>
      </x:c>
      <x:c r="I925" s="17" t="str">
        <x:v>广东瑞科美电源技术有限公司（再生功能）</x:v>
      </x:c>
      <x:c r="J925" s="24" t="n">
        <x:v>113.1159558</x:v>
      </x:c>
      <x:c r="K925" s="24" t="n">
        <x:v>23.0239788</x:v>
      </x:c>
      <x:c r="L925" s="21" t="n">
        <x:f>6371*ACOS(MIN(1,COS(F925*PI()/180)*COS(K925*PI()/180)*COS((J925-E925)*PI()/180)+SIN(F925*PI()/180)*SIN(K925*PI()/180)))</x:f>
        <x:v>337.31536533239324</x:v>
      </x:c>
      <x:c r="M925" s="21" t="n">
        <x:f>L925*'情景参数模板'!$D$31</x:f>
        <x:v>404.77843839887186</x:v>
      </x:c>
      <x:c r="N925" s="21" t="n">
        <x:f>IF(C925="source",'情景参数模板'!$D$12,IF(H925="echelon",'情景参数模板'!$D$13,'情景参数模板'!$D$14))</x:f>
        <x:v>0.49</x:v>
      </x:c>
      <x:c r="O925" s="21" t="n">
        <x:f>IF(C925="source",'情景参数模板'!$D$18,IF(H925="echelon",'情景参数模板'!$D$19,'情景参数模板'!$D$20))</x:f>
        <x:v>400</x:v>
      </x:c>
      <x:c r="P925" s="17" t="n">
        <x:f>IF(M925&lt;=O925,1,0)</x:f>
        <x:v>0</x:v>
      </x:c>
      <x:c r="Q925" s="17" t="str">
        <x:v>D-road proxy; B-coordinates</x:v>
      </x:c>
    </x:row>
    <x:row r="926">
      <x:c r="A926" s="17" t="str">
        <x:v>A0922</x:v>
      </x:c>
      <x:c r="B926" s="17" t="str">
        <x:v>C21</x:v>
      </x:c>
      <x:c r="C926" s="17" t="str">
        <x:v>collection</x:v>
      </x:c>
      <x:c r="D926" s="17" t="str">
        <x:v>云浮虚拟回收/检测中心</x:v>
      </x:c>
      <x:c r="E926" s="24" t="n">
        <x:v>111.8078586</x:v>
      </x:c>
      <x:c r="F926" s="24" t="n">
        <x:v>22.8546663</x:v>
      </x:c>
      <x:c r="G926" s="17" t="str">
        <x:v>P01</x:v>
      </x:c>
      <x:c r="H926" s="17" t="str">
        <x:v>recycling</x:v>
      </x:c>
      <x:c r="I926" s="17" t="str">
        <x:v>汕尾比亚迪废旧动力电池回收项目</x:v>
      </x:c>
      <x:c r="J926" s="24" t="n">
        <x:v>115.3492668</x:v>
      </x:c>
      <x:c r="K926" s="24" t="n">
        <x:v>22.838065</x:v>
      </x:c>
      <x:c r="L926" s="21" t="n">
        <x:f>6371*ACOS(MIN(1,COS(F926*PI()/180)*COS(K926*PI()/180)*COS((J926-E926)*PI()/180)+SIN(F926*PI()/180)*SIN(K926*PI()/180)))</x:f>
        <x:v>362.8897549669268</x:v>
      </x:c>
      <x:c r="M926" s="21" t="n">
        <x:f>L926*'情景参数模板'!$D$31</x:f>
        <x:v>435.4677059603121</x:v>
      </x:c>
      <x:c r="N926" s="21" t="n">
        <x:f>IF(C926="source",'情景参数模板'!$D$12,IF(H926="echelon",'情景参数模板'!$D$13,'情景参数模板'!$D$14))</x:f>
        <x:v>0.49</x:v>
      </x:c>
      <x:c r="O926" s="21" t="n">
        <x:f>IF(C926="source",'情景参数模板'!$D$18,IF(H926="echelon",'情景参数模板'!$D$19,'情景参数模板'!$D$20))</x:f>
        <x:v>400</x:v>
      </x:c>
      <x:c r="P926" s="17" t="n">
        <x:f>IF(M926&lt;=O926,1,0)</x:f>
        <x:v>0</x:v>
      </x:c>
      <x:c r="Q926" s="17" t="str">
        <x:v>D-road proxy; B-coordinates</x:v>
      </x:c>
    </x:row>
    <x:row r="927">
      <x:c r="A927" s="17" t="str">
        <x:v>A0923</x:v>
      </x:c>
      <x:c r="B927" s="17" t="str">
        <x:v>C21</x:v>
      </x:c>
      <x:c r="C927" s="17" t="str">
        <x:v>collection</x:v>
      </x:c>
      <x:c r="D927" s="17" t="str">
        <x:v>云浮虚拟回收/检测中心</x:v>
      </x:c>
      <x:c r="E927" s="24" t="n">
        <x:v>111.8078586</x:v>
      </x:c>
      <x:c r="F927" s="24" t="n">
        <x:v>22.8546663</x:v>
      </x:c>
      <x:c r="G927" s="17" t="str">
        <x:v>P02E</x:v>
      </x:c>
      <x:c r="H927" s="17" t="str">
        <x:v>echelon</x:v>
      </x:c>
      <x:c r="I927" s="17" t="str">
        <x:v>广东光华科技股份有限公司（梯次功能）</x:v>
      </x:c>
      <x:c r="J927" s="24" t="n">
        <x:v>116.6775856</x:v>
      </x:c>
      <x:c r="K927" s="24" t="n">
        <x:v>23.3563921</x:v>
      </x:c>
      <x:c r="L927" s="21" t="n">
        <x:f>6371*ACOS(MIN(1,COS(F927*PI()/180)*COS(K927*PI()/180)*COS((J927-E927)*PI()/180)+SIN(F927*PI()/180)*SIN(K927*PI()/180)))</x:f>
        <x:v>501.14214106027384</x:v>
      </x:c>
      <x:c r="M927" s="21" t="n">
        <x:f>L927*'情景参数模板'!$D$31</x:f>
        <x:v>601.3705692723286</x:v>
      </x:c>
      <x:c r="N927" s="21" t="n">
        <x:f>IF(C927="source",'情景参数模板'!$D$12,IF(H927="echelon",'情景参数模板'!$D$13,'情景参数模板'!$D$14))</x:f>
        <x:v>0.49</x:v>
      </x:c>
      <x:c r="O927" s="21" t="n">
        <x:f>IF(C927="source",'情景参数模板'!$D$18,IF(H927="echelon",'情景参数模板'!$D$19,'情景参数模板'!$D$20))</x:f>
        <x:v>300</x:v>
      </x:c>
      <x:c r="P927" s="17" t="n">
        <x:f>IF(M927&lt;=O927,1,0)</x:f>
        <x:v>0</x:v>
      </x:c>
      <x:c r="Q927" s="17" t="str">
        <x:v>D-road proxy; B-coordinates</x:v>
      </x:c>
    </x:row>
    <x:row r="928">
      <x:c r="A928" s="17" t="str">
        <x:v>A0924</x:v>
      </x:c>
      <x:c r="B928" s="17" t="str">
        <x:v>C21</x:v>
      </x:c>
      <x:c r="C928" s="17" t="str">
        <x:v>collection</x:v>
      </x:c>
      <x:c r="D928" s="17" t="str">
        <x:v>云浮虚拟回收/检测中心</x:v>
      </x:c>
      <x:c r="E928" s="24" t="n">
        <x:v>111.8078586</x:v>
      </x:c>
      <x:c r="F928" s="24" t="n">
        <x:v>22.8546663</x:v>
      </x:c>
      <x:c r="G928" s="17" t="str">
        <x:v>P02R</x:v>
      </x:c>
      <x:c r="H928" s="17" t="str">
        <x:v>recycling</x:v>
      </x:c>
      <x:c r="I928" s="17" t="str">
        <x:v>广东光华科技股份有限公司（再生功能）</x:v>
      </x:c>
      <x:c r="J928" s="24" t="n">
        <x:v>116.6775856</x:v>
      </x:c>
      <x:c r="K928" s="24" t="n">
        <x:v>23.3563921</x:v>
      </x:c>
      <x:c r="L928" s="21" t="n">
        <x:f>6371*ACOS(MIN(1,COS(F928*PI()/180)*COS(K928*PI()/180)*COS((J928-E928)*PI()/180)+SIN(F928*PI()/180)*SIN(K928*PI()/180)))</x:f>
        <x:v>501.14214106027384</x:v>
      </x:c>
      <x:c r="M928" s="21" t="n">
        <x:f>L928*'情景参数模板'!$D$31</x:f>
        <x:v>601.3705692723286</x:v>
      </x:c>
      <x:c r="N928" s="21" t="n">
        <x:f>IF(C928="source",'情景参数模板'!$D$12,IF(H928="echelon",'情景参数模板'!$D$13,'情景参数模板'!$D$14))</x:f>
        <x:v>0.49</x:v>
      </x:c>
      <x:c r="O928" s="21" t="n">
        <x:f>IF(C928="source",'情景参数模板'!$D$18,IF(H928="echelon",'情景参数模板'!$D$19,'情景参数模板'!$D$20))</x:f>
        <x:v>400</x:v>
      </x:c>
      <x:c r="P928" s="17" t="n">
        <x:f>IF(M928&lt;=O928,1,0)</x:f>
        <x:v>0</x:v>
      </x:c>
      <x:c r="Q928" s="17" t="str">
        <x:v>D-road proxy; B-coordinates</x:v>
      </x:c>
    </x:row>
    <x:row r="929">
      <x:c r="A929" s="17" t="str">
        <x:v>A0925</x:v>
      </x:c>
      <x:c r="B929" s="17" t="str">
        <x:v>C21</x:v>
      </x:c>
      <x:c r="C929" s="17" t="str">
        <x:v>collection</x:v>
      </x:c>
      <x:c r="D929" s="17" t="str">
        <x:v>云浮虚拟回收/检测中心</x:v>
      </x:c>
      <x:c r="E929" s="24" t="n">
        <x:v>111.8078586</x:v>
      </x:c>
      <x:c r="F929" s="24" t="n">
        <x:v>22.8546663</x:v>
      </x:c>
      <x:c r="G929" s="17" t="str">
        <x:v>P03</x:v>
      </x:c>
      <x:c r="H929" s="17" t="str">
        <x:v>echelon</x:v>
      </x:c>
      <x:c r="I929" s="17" t="str">
        <x:v>深圳深汕特别合作区乾泰技术有限公司</x:v>
      </x:c>
      <x:c r="J929" s="24" t="n">
        <x:v>115.5099937</x:v>
      </x:c>
      <x:c r="K929" s="24" t="n">
        <x:v>23.0123639</x:v>
      </x:c>
      <x:c r="L929" s="21" t="n">
        <x:f>6371*ACOS(MIN(1,COS(F929*PI()/180)*COS(K929*PI()/180)*COS((J929-E929)*PI()/180)+SIN(F929*PI()/180)*SIN(K929*PI()/180)))</x:f>
        <x:v>379.5152802491003</x:v>
      </x:c>
      <x:c r="M929" s="21" t="n">
        <x:f>L929*'情景参数模板'!$D$31</x:f>
        <x:v>455.41833629892034</x:v>
      </x:c>
      <x:c r="N929" s="21" t="n">
        <x:f>IF(C929="source",'情景参数模板'!$D$12,IF(H929="echelon",'情景参数模板'!$D$13,'情景参数模板'!$D$14))</x:f>
        <x:v>0.49</x:v>
      </x:c>
      <x:c r="O929" s="21" t="n">
        <x:f>IF(C929="source",'情景参数模板'!$D$18,IF(H929="echelon",'情景参数模板'!$D$19,'情景参数模板'!$D$20))</x:f>
        <x:v>300</x:v>
      </x:c>
      <x:c r="P929" s="17" t="n">
        <x:f>IF(M929&lt;=O929,1,0)</x:f>
        <x:v>0</x:v>
      </x:c>
      <x:c r="Q929" s="17" t="str">
        <x:v>D-road proxy; B-coordinates</x:v>
      </x:c>
    </x:row>
    <x:row r="930">
      <x:c r="A930" s="17" t="str">
        <x:v>A0926</x:v>
      </x:c>
      <x:c r="B930" s="17" t="str">
        <x:v>C21</x:v>
      </x:c>
      <x:c r="C930" s="17" t="str">
        <x:v>collection</x:v>
      </x:c>
      <x:c r="D930" s="17" t="str">
        <x:v>云浮虚拟回收/检测中心</x:v>
      </x:c>
      <x:c r="E930" s="24" t="n">
        <x:v>111.8078586</x:v>
      </x:c>
      <x:c r="F930" s="24" t="n">
        <x:v>22.8546663</x:v>
      </x:c>
      <x:c r="G930" s="17" t="str">
        <x:v>P04</x:v>
      </x:c>
      <x:c r="H930" s="17" t="str">
        <x:v>echelon</x:v>
      </x:c>
      <x:c r="I930" s="17" t="str">
        <x:v>珠海中力新能源科技有限公司</x:v>
      </x:c>
      <x:c r="J930" s="24" t="n">
        <x:v>113.5721327</x:v>
      </x:c>
      <x:c r="K930" s="24" t="n">
        <x:v>22.273734</x:v>
      </x:c>
      <x:c r="L930" s="21" t="n">
        <x:f>6371*ACOS(MIN(1,COS(F930*PI()/180)*COS(K930*PI()/180)*COS((J930-E930)*PI()/180)+SIN(F930*PI()/180)*SIN(K930*PI()/180)))</x:f>
        <x:v>192.33097216709288</x:v>
      </x:c>
      <x:c r="M930" s="21" t="n">
        <x:f>L930*'情景参数模板'!$D$31</x:f>
        <x:v>230.79716660051145</x:v>
      </x:c>
      <x:c r="N930" s="21" t="n">
        <x:f>IF(C930="source",'情景参数模板'!$D$12,IF(H930="echelon",'情景参数模板'!$D$13,'情景参数模板'!$D$14))</x:f>
        <x:v>0.49</x:v>
      </x:c>
      <x:c r="O930" s="21" t="n">
        <x:f>IF(C930="source",'情景参数模板'!$D$18,IF(H930="echelon",'情景参数模板'!$D$19,'情景参数模板'!$D$20))</x:f>
        <x:v>300</x:v>
      </x:c>
      <x:c r="P930" s="17" t="n">
        <x:f>IF(M930&lt;=O930,1,0)</x:f>
        <x:v>1</x:v>
      </x:c>
      <x:c r="Q930" s="17" t="str">
        <x:v>D-road proxy; B-coordinates</x:v>
      </x:c>
    </x:row>
    <x:row r="931">
      <x:c r="A931" s="17" t="str">
        <x:v>A0927</x:v>
      </x:c>
      <x:c r="B931" s="17" t="str">
        <x:v>C21</x:v>
      </x:c>
      <x:c r="C931" s="17" t="str">
        <x:v>collection</x:v>
      </x:c>
      <x:c r="D931" s="17" t="str">
        <x:v>云浮虚拟回收/检测中心</x:v>
      </x:c>
      <x:c r="E931" s="24" t="n">
        <x:v>111.8078586</x:v>
      </x:c>
      <x:c r="F931" s="24" t="n">
        <x:v>22.8546663</x:v>
      </x:c>
      <x:c r="G931" s="17" t="str">
        <x:v>P05</x:v>
      </x:c>
      <x:c r="H931" s="17" t="str">
        <x:v>echelon</x:v>
      </x:c>
      <x:c r="I931" s="17" t="str">
        <x:v>惠州市恒创睿能环保科技有限公司</x:v>
      </x:c>
      <x:c r="J931" s="24" t="n">
        <x:v>114.4127007</x:v>
      </x:c>
      <x:c r="K931" s="24" t="n">
        <x:v>23.1125153</x:v>
      </x:c>
      <x:c r="L931" s="21" t="n">
        <x:f>6371*ACOS(MIN(1,COS(F931*PI()/180)*COS(K931*PI()/180)*COS((J931-E931)*PI()/180)+SIN(F931*PI()/180)*SIN(K931*PI()/180)))</x:f>
        <x:v>268.1854182947875</x:v>
      </x:c>
      <x:c r="M931" s="21" t="n">
        <x:f>L931*'情景参数模板'!$D$31</x:f>
        <x:v>321.82250195374496</x:v>
      </x:c>
      <x:c r="N931" s="21" t="n">
        <x:f>IF(C931="source",'情景参数模板'!$D$12,IF(H931="echelon",'情景参数模板'!$D$13,'情景参数模板'!$D$14))</x:f>
        <x:v>0.49</x:v>
      </x:c>
      <x:c r="O931" s="21" t="n">
        <x:f>IF(C931="source",'情景参数模板'!$D$18,IF(H931="echelon",'情景参数模板'!$D$19,'情景参数模板'!$D$20))</x:f>
        <x:v>300</x:v>
      </x:c>
      <x:c r="P931" s="17" t="n">
        <x:f>IF(M931&lt;=O931,1,0)</x:f>
        <x:v>0</x:v>
      </x:c>
      <x:c r="Q931" s="17" t="str">
        <x:v>D-road proxy; B-coordinates</x:v>
      </x:c>
    </x:row>
    <x:row r="932">
      <x:c r="A932" s="17" t="str">
        <x:v>A0928</x:v>
      </x:c>
      <x:c r="B932" s="17" t="str">
        <x:v>C21</x:v>
      </x:c>
      <x:c r="C932" s="17" t="str">
        <x:v>collection</x:v>
      </x:c>
      <x:c r="D932" s="17" t="str">
        <x:v>云浮虚拟回收/检测中心</x:v>
      </x:c>
      <x:c r="E932" s="24" t="n">
        <x:v>111.8078586</x:v>
      </x:c>
      <x:c r="F932" s="24" t="n">
        <x:v>22.8546663</x:v>
      </x:c>
      <x:c r="G932" s="17" t="str">
        <x:v>P06</x:v>
      </x:c>
      <x:c r="H932" s="17" t="str">
        <x:v>echelon</x:v>
      </x:c>
      <x:c r="I932" s="17" t="str">
        <x:v>江门市朗达锂电池有限公司</x:v>
      </x:c>
      <x:c r="J932" s="24" t="n">
        <x:v>113.0761073</x:v>
      </x:c>
      <x:c r="K932" s="24" t="n">
        <x:v>22.5816619</x:v>
      </x:c>
      <x:c r="L932" s="21" t="n">
        <x:f>6371*ACOS(MIN(1,COS(F932*PI()/180)*COS(K932*PI()/180)*COS((J932-E932)*PI()/180)+SIN(F932*PI()/180)*SIN(K932*PI()/180)))</x:f>
        <x:v>133.57625928884747</x:v>
      </x:c>
      <x:c r="M932" s="21" t="n">
        <x:f>L932*'情景参数模板'!$D$31</x:f>
        <x:v>160.29151114661695</x:v>
      </x:c>
      <x:c r="N932" s="21" t="n">
        <x:f>IF(C932="source",'情景参数模板'!$D$12,IF(H932="echelon",'情景参数模板'!$D$13,'情景参数模板'!$D$14))</x:f>
        <x:v>0.49</x:v>
      </x:c>
      <x:c r="O932" s="21" t="n">
        <x:f>IF(C932="source",'情景参数模板'!$D$18,IF(H932="echelon",'情景参数模板'!$D$19,'情景参数模板'!$D$20))</x:f>
        <x:v>300</x:v>
      </x:c>
      <x:c r="P932" s="17" t="n">
        <x:f>IF(M932&lt;=O932,1,0)</x:f>
        <x:v>1</x:v>
      </x:c>
      <x:c r="Q932" s="17" t="str">
        <x:v>D-road proxy; B-coordinates</x:v>
      </x:c>
    </x:row>
    <x:row r="933">
      <x:c r="A933" s="17" t="str">
        <x:v>A0929</x:v>
      </x:c>
      <x:c r="B933" s="17" t="str">
        <x:v>C21</x:v>
      </x:c>
      <x:c r="C933" s="17" t="str">
        <x:v>collection</x:v>
      </x:c>
      <x:c r="D933" s="17" t="str">
        <x:v>云浮虚拟回收/检测中心</x:v>
      </x:c>
      <x:c r="E933" s="24" t="n">
        <x:v>111.8078586</x:v>
      </x:c>
      <x:c r="F933" s="24" t="n">
        <x:v>22.8546663</x:v>
      </x:c>
      <x:c r="G933" s="17" t="str">
        <x:v>P07</x:v>
      </x:c>
      <x:c r="H933" s="17" t="str">
        <x:v>echelon</x:v>
      </x:c>
      <x:c r="I933" s="17" t="str">
        <x:v>广东迪度新能源有限公司</x:v>
      </x:c>
      <x:c r="J933" s="24" t="n">
        <x:v>113.7452332</x:v>
      </x:c>
      <x:c r="K933" s="24" t="n">
        <x:v>23.0183568</x:v>
      </x:c>
      <x:c r="L933" s="21" t="n">
        <x:f>6371*ACOS(MIN(1,COS(F933*PI()/180)*COS(K933*PI()/180)*COS((J933-E933)*PI()/180)+SIN(F933*PI()/180)*SIN(K933*PI()/180)))</x:f>
        <x:v>199.2257001173399</x:v>
      </x:c>
      <x:c r="M933" s="21" t="n">
        <x:f>L933*'情景参数模板'!$D$31</x:f>
        <x:v>239.07084014080786</x:v>
      </x:c>
      <x:c r="N933" s="21" t="n">
        <x:f>IF(C933="source",'情景参数模板'!$D$12,IF(H933="echelon",'情景参数模板'!$D$13,'情景参数模板'!$D$14))</x:f>
        <x:v>0.49</x:v>
      </x:c>
      <x:c r="O933" s="21" t="n">
        <x:f>IF(C933="source",'情景参数模板'!$D$18,IF(H933="echelon",'情景参数模板'!$D$19,'情景参数模板'!$D$20))</x:f>
        <x:v>300</x:v>
      </x:c>
      <x:c r="P933" s="17" t="n">
        <x:f>IF(M933&lt;=O933,1,0)</x:f>
        <x:v>1</x:v>
      </x:c>
      <x:c r="Q933" s="17" t="str">
        <x:v>D-road proxy; B-coordinates</x:v>
      </x:c>
    </x:row>
    <x:row r="934">
      <x:c r="A934" s="17" t="str">
        <x:v>A0930</x:v>
      </x:c>
      <x:c r="B934" s="17" t="str">
        <x:v>C21</x:v>
      </x:c>
      <x:c r="C934" s="17" t="str">
        <x:v>collection</x:v>
      </x:c>
      <x:c r="D934" s="17" t="str">
        <x:v>云浮虚拟回收/检测中心</x:v>
      </x:c>
      <x:c r="E934" s="24" t="n">
        <x:v>111.8078586</x:v>
      </x:c>
      <x:c r="F934" s="24" t="n">
        <x:v>22.8546663</x:v>
      </x:c>
      <x:c r="G934" s="17" t="str">
        <x:v>P08</x:v>
      </x:c>
      <x:c r="H934" s="17" t="str">
        <x:v>echelon</x:v>
      </x:c>
      <x:c r="I934" s="17" t="str">
        <x:v>东莞市博森新能源有限公司</x:v>
      </x:c>
      <x:c r="J934" s="24" t="n">
        <x:v>113.7452332</x:v>
      </x:c>
      <x:c r="K934" s="24" t="n">
        <x:v>23.0183568</x:v>
      </x:c>
      <x:c r="L934" s="21" t="n">
        <x:f>6371*ACOS(MIN(1,COS(F934*PI()/180)*COS(K934*PI()/180)*COS((J934-E934)*PI()/180)+SIN(F934*PI()/180)*SIN(K934*PI()/180)))</x:f>
        <x:v>199.2257001173399</x:v>
      </x:c>
      <x:c r="M934" s="21" t="n">
        <x:f>L934*'情景参数模板'!$D$31</x:f>
        <x:v>239.07084014080786</x:v>
      </x:c>
      <x:c r="N934" s="21" t="n">
        <x:f>IF(C934="source",'情景参数模板'!$D$12,IF(H934="echelon",'情景参数模板'!$D$13,'情景参数模板'!$D$14))</x:f>
        <x:v>0.49</x:v>
      </x:c>
      <x:c r="O934" s="21" t="n">
        <x:f>IF(C934="source",'情景参数模板'!$D$18,IF(H934="echelon",'情景参数模板'!$D$19,'情景参数模板'!$D$20))</x:f>
        <x:v>300</x:v>
      </x:c>
      <x:c r="P934" s="17" t="n">
        <x:f>IF(M934&lt;=O934,1,0)</x:f>
        <x:v>1</x:v>
      </x:c>
      <x:c r="Q934" s="17" t="str">
        <x:v>D-road proxy; B-coordinates</x:v>
      </x:c>
    </x:row>
    <x:row r="935">
      <x:c r="A935" s="17" t="str">
        <x:v>A0931</x:v>
      </x:c>
      <x:c r="B935" s="17" t="str">
        <x:v>C21</x:v>
      </x:c>
      <x:c r="C935" s="17" t="str">
        <x:v>collection</x:v>
      </x:c>
      <x:c r="D935" s="17" t="str">
        <x:v>云浮虚拟回收/检测中心</x:v>
      </x:c>
      <x:c r="E935" s="24" t="n">
        <x:v>111.8078586</x:v>
      </x:c>
      <x:c r="F935" s="24" t="n">
        <x:v>22.8546663</x:v>
      </x:c>
      <x:c r="G935" s="17" t="str">
        <x:v>P09</x:v>
      </x:c>
      <x:c r="H935" s="17" t="str">
        <x:v>echelon</x:v>
      </x:c>
      <x:c r="I935" s="17" t="str">
        <x:v>广东宇阳新能源有限公司</x:v>
      </x:c>
      <x:c r="J935" s="24" t="n">
        <x:v>113.7452332</x:v>
      </x:c>
      <x:c r="K935" s="24" t="n">
        <x:v>23.0183568</x:v>
      </x:c>
      <x:c r="L935" s="21" t="n">
        <x:f>6371*ACOS(MIN(1,COS(F935*PI()/180)*COS(K935*PI()/180)*COS((J935-E935)*PI()/180)+SIN(F935*PI()/180)*SIN(K935*PI()/180)))</x:f>
        <x:v>199.2257001173399</x:v>
      </x:c>
      <x:c r="M935" s="21" t="n">
        <x:f>L935*'情景参数模板'!$D$31</x:f>
        <x:v>239.07084014080786</x:v>
      </x:c>
      <x:c r="N935" s="21" t="n">
        <x:f>IF(C935="source",'情景参数模板'!$D$12,IF(H935="echelon",'情景参数模板'!$D$13,'情景参数模板'!$D$14))</x:f>
        <x:v>0.49</x:v>
      </x:c>
      <x:c r="O935" s="21" t="n">
        <x:f>IF(C935="source",'情景参数模板'!$D$18,IF(H935="echelon",'情景参数模板'!$D$19,'情景参数模板'!$D$20))</x:f>
        <x:v>300</x:v>
      </x:c>
      <x:c r="P935" s="17" t="n">
        <x:f>IF(M935&lt;=O935,1,0)</x:f>
        <x:v>1</x:v>
      </x:c>
      <x:c r="Q935" s="17" t="str">
        <x:v>D-road proxy; B-coordinates</x:v>
      </x:c>
    </x:row>
    <x:row r="936">
      <x:c r="A936" s="17" t="str">
        <x:v>A0932</x:v>
      </x:c>
      <x:c r="B936" s="17" t="str">
        <x:v>C21</x:v>
      </x:c>
      <x:c r="C936" s="17" t="str">
        <x:v>collection</x:v>
      </x:c>
      <x:c r="D936" s="17" t="str">
        <x:v>云浮虚拟回收/检测中心</x:v>
      </x:c>
      <x:c r="E936" s="24" t="n">
        <x:v>111.8078586</x:v>
      </x:c>
      <x:c r="F936" s="24" t="n">
        <x:v>22.8546663</x:v>
      </x:c>
      <x:c r="G936" s="17" t="str">
        <x:v>P10</x:v>
      </x:c>
      <x:c r="H936" s="17" t="str">
        <x:v>echelon</x:v>
      </x:c>
      <x:c r="I936" s="17" t="str">
        <x:v>广州广汽商贸再生资源有限公司</x:v>
      </x:c>
      <x:c r="J936" s="24" t="n">
        <x:v>113.2589581</x:v>
      </x:c>
      <x:c r="K936" s="24" t="n">
        <x:v>23.1288429</x:v>
      </x:c>
      <x:c r="L936" s="21" t="n">
        <x:f>6371*ACOS(MIN(1,COS(F936*PI()/180)*COS(K936*PI()/180)*COS((J936-E936)*PI()/180)+SIN(F936*PI()/180)*SIN(K936*PI()/180)))</x:f>
        <x:v>151.63267515894688</x:v>
      </x:c>
      <x:c r="M936" s="21" t="n">
        <x:f>L936*'情景参数模板'!$D$31</x:f>
        <x:v>181.95921019073626</x:v>
      </x:c>
      <x:c r="N936" s="21" t="n">
        <x:f>IF(C936="source",'情景参数模板'!$D$12,IF(H936="echelon",'情景参数模板'!$D$13,'情景参数模板'!$D$14))</x:f>
        <x:v>0.49</x:v>
      </x:c>
      <x:c r="O936" s="21" t="n">
        <x:f>IF(C936="source",'情景参数模板'!$D$18,IF(H936="echelon",'情景参数模板'!$D$19,'情景参数模板'!$D$20))</x:f>
        <x:v>300</x:v>
      </x:c>
      <x:c r="P936" s="17" t="n">
        <x:f>IF(M936&lt;=O936,1,0)</x:f>
        <x:v>1</x:v>
      </x:c>
      <x:c r="Q936" s="17" t="str">
        <x:v>D-road proxy; B-coordinates</x:v>
      </x:c>
    </x:row>
    <x:row r="937">
      <x:c r="A937" s="17" t="str">
        <x:v>A0933</x:v>
      </x:c>
      <x:c r="B937" s="17" t="str">
        <x:v>C21</x:v>
      </x:c>
      <x:c r="C937" s="17" t="str">
        <x:v>collection</x:v>
      </x:c>
      <x:c r="D937" s="17" t="str">
        <x:v>云浮虚拟回收/检测中心</x:v>
      </x:c>
      <x:c r="E937" s="24" t="n">
        <x:v>111.8078586</x:v>
      </x:c>
      <x:c r="F937" s="24" t="n">
        <x:v>22.8546663</x:v>
      </x:c>
      <x:c r="G937" s="17" t="str">
        <x:v>P11</x:v>
      </x:c>
      <x:c r="H937" s="17" t="str">
        <x:v>echelon</x:v>
      </x:c>
      <x:c r="I937" s="17" t="str">
        <x:v>深圳市杰成镍钴新能源科技有限公司</x:v>
      </x:c>
      <x:c r="J937" s="24" t="n">
        <x:v>114.0545429</x:v>
      </x:c>
      <x:c r="K937" s="24" t="n">
        <x:v>22.5445741</x:v>
      </x:c>
      <x:c r="L937" s="21" t="n">
        <x:f>6371*ACOS(MIN(1,COS(F937*PI()/180)*COS(K937*PI()/180)*COS((J937-E937)*PI()/180)+SIN(F937*PI()/180)*SIN(K937*PI()/180)))</x:f>
        <x:v>233.03147812497292</x:v>
      </x:c>
      <x:c r="M937" s="21" t="n">
        <x:f>L937*'情景参数模板'!$D$31</x:f>
        <x:v>279.6377737499675</x:v>
      </x:c>
      <x:c r="N937" s="21" t="n">
        <x:f>IF(C937="source",'情景参数模板'!$D$12,IF(H937="echelon",'情景参数模板'!$D$13,'情景参数模板'!$D$14))</x:f>
        <x:v>0.49</x:v>
      </x:c>
      <x:c r="O937" s="21" t="n">
        <x:f>IF(C937="source",'情景参数模板'!$D$18,IF(H937="echelon",'情景参数模板'!$D$19,'情景参数模板'!$D$20))</x:f>
        <x:v>300</x:v>
      </x:c>
      <x:c r="P937" s="17" t="n">
        <x:f>IF(M937&lt;=O937,1,0)</x:f>
        <x:v>1</x:v>
      </x:c>
      <x:c r="Q937" s="17" t="str">
        <x:v>D-road proxy; B-coordinates</x:v>
      </x:c>
    </x:row>
    <x:row r="938">
      <x:c r="A938" s="17" t="str">
        <x:v>A0934</x:v>
      </x:c>
      <x:c r="B938" s="17" t="str">
        <x:v>C21</x:v>
      </x:c>
      <x:c r="C938" s="17" t="str">
        <x:v>collection</x:v>
      </x:c>
      <x:c r="D938" s="17" t="str">
        <x:v>云浮虚拟回收/检测中心</x:v>
      </x:c>
      <x:c r="E938" s="24" t="n">
        <x:v>111.8078586</x:v>
      </x:c>
      <x:c r="F938" s="24" t="n">
        <x:v>22.8546663</x:v>
      </x:c>
      <x:c r="G938" s="17" t="str">
        <x:v>P12</x:v>
      </x:c>
      <x:c r="H938" s="17" t="str">
        <x:v>recycling</x:v>
      </x:c>
      <x:c r="I938" s="17" t="str">
        <x:v>江门市恒创睿能环保科技有限公司</x:v>
      </x:c>
      <x:c r="J938" s="24" t="n">
        <x:v>113.0761073</x:v>
      </x:c>
      <x:c r="K938" s="24" t="n">
        <x:v>22.5816619</x:v>
      </x:c>
      <x:c r="L938" s="21" t="n">
        <x:f>6371*ACOS(MIN(1,COS(F938*PI()/180)*COS(K938*PI()/180)*COS((J938-E938)*PI()/180)+SIN(F938*PI()/180)*SIN(K938*PI()/180)))</x:f>
        <x:v>133.57625928884747</x:v>
      </x:c>
      <x:c r="M938" s="21" t="n">
        <x:f>L938*'情景参数模板'!$D$31</x:f>
        <x:v>160.29151114661695</x:v>
      </x:c>
      <x:c r="N938" s="21" t="n">
        <x:f>IF(C938="source",'情景参数模板'!$D$12,IF(H938="echelon",'情景参数模板'!$D$13,'情景参数模板'!$D$14))</x:f>
        <x:v>0.49</x:v>
      </x:c>
      <x:c r="O938" s="21" t="n">
        <x:f>IF(C938="source",'情景参数模板'!$D$18,IF(H938="echelon",'情景参数模板'!$D$19,'情景参数模板'!$D$20))</x:f>
        <x:v>400</x:v>
      </x:c>
      <x:c r="P938" s="17" t="n">
        <x:f>IF(M938&lt;=O938,1,0)</x:f>
        <x:v>1</x:v>
      </x:c>
      <x:c r="Q938" s="17" t="str">
        <x:v>D-road proxy; B-coordinates</x:v>
      </x:c>
    </x:row>
    <x:row r="939">
      <x:c r="A939" s="17" t="str">
        <x:v>A0935</x:v>
      </x:c>
      <x:c r="B939" s="17" t="str">
        <x:v>C21</x:v>
      </x:c>
      <x:c r="C939" s="17" t="str">
        <x:v>collection</x:v>
      </x:c>
      <x:c r="D939" s="17" t="str">
        <x:v>云浮虚拟回收/检测中心</x:v>
      </x:c>
      <x:c r="E939" s="24" t="n">
        <x:v>111.8078586</x:v>
      </x:c>
      <x:c r="F939" s="24" t="n">
        <x:v>22.8546663</x:v>
      </x:c>
      <x:c r="G939" s="17" t="str">
        <x:v>P13</x:v>
      </x:c>
      <x:c r="H939" s="17" t="str">
        <x:v>recycling</x:v>
      </x:c>
      <x:c r="I939" s="17" t="str">
        <x:v>广东佳纳能源科技有限公司</x:v>
      </x:c>
      <x:c r="J939" s="24" t="n">
        <x:v>113.0505994</x:v>
      </x:c>
      <x:c r="K939" s="24" t="n">
        <x:v>23.6832984</x:v>
      </x:c>
      <x:c r="L939" s="21" t="n">
        <x:f>6371*ACOS(MIN(1,COS(F939*PI()/180)*COS(K939*PI()/180)*COS((J939-E939)*PI()/180)+SIN(F939*PI()/180)*SIN(K939*PI()/180)))</x:f>
        <x:v>156.85848449978135</x:v>
      </x:c>
      <x:c r="M939" s="21" t="n">
        <x:f>L939*'情景参数模板'!$D$31</x:f>
        <x:v>188.23018139973763</x:v>
      </x:c>
      <x:c r="N939" s="21" t="n">
        <x:f>IF(C939="source",'情景参数模板'!$D$12,IF(H939="echelon",'情景参数模板'!$D$13,'情景参数模板'!$D$14))</x:f>
        <x:v>0.49</x:v>
      </x:c>
      <x:c r="O939" s="21" t="n">
        <x:f>IF(C939="source",'情景参数模板'!$D$18,IF(H939="echelon",'情景参数模板'!$D$19,'情景参数模板'!$D$20))</x:f>
        <x:v>400</x:v>
      </x:c>
      <x:c r="P939" s="17" t="n">
        <x:f>IF(M939&lt;=O939,1,0)</x:f>
        <x:v>1</x:v>
      </x:c>
      <x:c r="Q939" s="17" t="str">
        <x:v>D-road proxy; B-coordinates</x:v>
      </x:c>
    </x:row>
    <x:row r="940">
      <x:c r="A940" s="17" t="str">
        <x:v>A0936</x:v>
      </x:c>
      <x:c r="B940" s="17" t="str">
        <x:v>C21</x:v>
      </x:c>
      <x:c r="C940" s="17" t="str">
        <x:v>collection</x:v>
      </x:c>
      <x:c r="D940" s="17" t="str">
        <x:v>云浮虚拟回收/检测中心</x:v>
      </x:c>
      <x:c r="E940" s="24" t="n">
        <x:v>111.8078586</x:v>
      </x:c>
      <x:c r="F940" s="24" t="n">
        <x:v>22.8546663</x:v>
      </x:c>
      <x:c r="G940" s="17" t="str">
        <x:v>P14</x:v>
      </x:c>
      <x:c r="H940" s="17" t="str">
        <x:v>echelon</x:v>
      </x:c>
      <x:c r="I940" s="17" t="str">
        <x:v>格林美（深圳）循环科技有限公司</x:v>
      </x:c>
      <x:c r="J940" s="24" t="n">
        <x:v>114.0545429</x:v>
      </x:c>
      <x:c r="K940" s="24" t="n">
        <x:v>22.5445741</x:v>
      </x:c>
      <x:c r="L940" s="21" t="n">
        <x:f>6371*ACOS(MIN(1,COS(F940*PI()/180)*COS(K940*PI()/180)*COS((J940-E940)*PI()/180)+SIN(F940*PI()/180)*SIN(K940*PI()/180)))</x:f>
        <x:v>233.03147812497292</x:v>
      </x:c>
      <x:c r="M940" s="21" t="n">
        <x:f>L940*'情景参数模板'!$D$31</x:f>
        <x:v>279.6377737499675</x:v>
      </x:c>
      <x:c r="N940" s="21" t="n">
        <x:f>IF(C940="source",'情景参数模板'!$D$12,IF(H940="echelon",'情景参数模板'!$D$13,'情景参数模板'!$D$14))</x:f>
        <x:v>0.49</x:v>
      </x:c>
      <x:c r="O940" s="21" t="n">
        <x:f>IF(C940="source",'情景参数模板'!$D$18,IF(H940="echelon",'情景参数模板'!$D$19,'情景参数模板'!$D$20))</x:f>
        <x:v>300</x:v>
      </x:c>
      <x:c r="P940" s="17" t="n">
        <x:f>IF(M940&lt;=O940,1,0)</x:f>
        <x:v>1</x:v>
      </x:c>
      <x:c r="Q940" s="17" t="str">
        <x:v>D-road proxy; B-coordinates</x:v>
      </x:c>
    </x:row>
    <x:row r="941">
      <x:c r="A941" s="17" t="str">
        <x:v>A0937</x:v>
      </x:c>
      <x:c r="B941" s="17" t="str">
        <x:v>C21</x:v>
      </x:c>
      <x:c r="C941" s="17" t="str">
        <x:v>collection</x:v>
      </x:c>
      <x:c r="D941" s="17" t="str">
        <x:v>云浮虚拟回收/检测中心</x:v>
      </x:c>
      <x:c r="E941" s="24" t="n">
        <x:v>111.8078586</x:v>
      </x:c>
      <x:c r="F941" s="24" t="n">
        <x:v>22.8546663</x:v>
      </x:c>
      <x:c r="G941" s="17" t="str">
        <x:v>P15</x:v>
      </x:c>
      <x:c r="H941" s="17" t="str">
        <x:v>echelon</x:v>
      </x:c>
      <x:c r="I941" s="17" t="str">
        <x:v>绿循新能源科技（佛山）有限责任公司</x:v>
      </x:c>
      <x:c r="J941" s="24" t="n">
        <x:v>113.1159558</x:v>
      </x:c>
      <x:c r="K941" s="24" t="n">
        <x:v>23.0239788</x:v>
      </x:c>
      <x:c r="L941" s="21" t="n">
        <x:f>6371*ACOS(MIN(1,COS(F941*PI()/180)*COS(K941*PI()/180)*COS((J941-E941)*PI()/180)+SIN(F941*PI()/180)*SIN(K941*PI()/180)))</x:f>
        <x:v>135.2670709074438</x:v>
      </x:c>
      <x:c r="M941" s="21" t="n">
        <x:f>L941*'情景参数模板'!$D$31</x:f>
        <x:v>162.32048508893257</x:v>
      </x:c>
      <x:c r="N941" s="21" t="n">
        <x:f>IF(C941="source",'情景参数模板'!$D$12,IF(H941="echelon",'情景参数模板'!$D$13,'情景参数模板'!$D$14))</x:f>
        <x:v>0.49</x:v>
      </x:c>
      <x:c r="O941" s="21" t="n">
        <x:f>IF(C941="source",'情景参数模板'!$D$18,IF(H941="echelon",'情景参数模板'!$D$19,'情景参数模板'!$D$20))</x:f>
        <x:v>300</x:v>
      </x:c>
      <x:c r="P941" s="17" t="n">
        <x:f>IF(M941&lt;=O941,1,0)</x:f>
        <x:v>1</x:v>
      </x:c>
      <x:c r="Q941" s="17" t="str">
        <x:v>D-road proxy; B-coordinates</x:v>
      </x:c>
    </x:row>
    <x:row r="942">
      <x:c r="A942" s="17" t="str">
        <x:v>A0938</x:v>
      </x:c>
      <x:c r="B942" s="17" t="str">
        <x:v>C21</x:v>
      </x:c>
      <x:c r="C942" s="17" t="str">
        <x:v>collection</x:v>
      </x:c>
      <x:c r="D942" s="17" t="str">
        <x:v>云浮虚拟回收/检测中心</x:v>
      </x:c>
      <x:c r="E942" s="24" t="n">
        <x:v>111.8078586</x:v>
      </x:c>
      <x:c r="F942" s="24" t="n">
        <x:v>22.8546663</x:v>
      </x:c>
      <x:c r="G942" s="17" t="str">
        <x:v>P16</x:v>
      </x:c>
      <x:c r="H942" s="17" t="str">
        <x:v>echelon</x:v>
      </x:c>
      <x:c r="I942" s="17" t="str">
        <x:v>深圳艾云动智慧科技有限公司</x:v>
      </x:c>
      <x:c r="J942" s="24" t="n">
        <x:v>114.0545429</x:v>
      </x:c>
      <x:c r="K942" s="24" t="n">
        <x:v>22.5445741</x:v>
      </x:c>
      <x:c r="L942" s="21" t="n">
        <x:f>6371*ACOS(MIN(1,COS(F942*PI()/180)*COS(K942*PI()/180)*COS((J942-E942)*PI()/180)+SIN(F942*PI()/180)*SIN(K942*PI()/180)))</x:f>
        <x:v>233.03147812497292</x:v>
      </x:c>
      <x:c r="M942" s="21" t="n">
        <x:f>L942*'情景参数模板'!$D$31</x:f>
        <x:v>279.6377737499675</x:v>
      </x:c>
      <x:c r="N942" s="21" t="n">
        <x:f>IF(C942="source",'情景参数模板'!$D$12,IF(H942="echelon",'情景参数模板'!$D$13,'情景参数模板'!$D$14))</x:f>
        <x:v>0.49</x:v>
      </x:c>
      <x:c r="O942" s="21" t="n">
        <x:f>IF(C942="source",'情景参数模板'!$D$18,IF(H942="echelon",'情景参数模板'!$D$19,'情景参数模板'!$D$20))</x:f>
        <x:v>300</x:v>
      </x:c>
      <x:c r="P942" s="17" t="n">
        <x:f>IF(M942&lt;=O942,1,0)</x:f>
        <x:v>1</x:v>
      </x:c>
      <x:c r="Q942" s="17" t="str">
        <x:v>D-road proxy; B-coordinates</x:v>
      </x:c>
    </x:row>
    <x:row r="943">
      <x:c r="A943" s="17" t="str">
        <x:v>A0939</x:v>
      </x:c>
      <x:c r="B943" s="17" t="str">
        <x:v>C21</x:v>
      </x:c>
      <x:c r="C943" s="17" t="str">
        <x:v>collection</x:v>
      </x:c>
      <x:c r="D943" s="17" t="str">
        <x:v>云浮虚拟回收/检测中心</x:v>
      </x:c>
      <x:c r="E943" s="24" t="n">
        <x:v>111.8078586</x:v>
      </x:c>
      <x:c r="F943" s="24" t="n">
        <x:v>22.8546663</x:v>
      </x:c>
      <x:c r="G943" s="17" t="str">
        <x:v>P17</x:v>
      </x:c>
      <x:c r="H943" s="17" t="str">
        <x:v>echelon</x:v>
      </x:c>
      <x:c r="I943" s="17" t="str">
        <x:v>深圳市荣高晟新能源科技有限公司</x:v>
      </x:c>
      <x:c r="J943" s="24" t="n">
        <x:v>114.0545429</x:v>
      </x:c>
      <x:c r="K943" s="24" t="n">
        <x:v>22.5445741</x:v>
      </x:c>
      <x:c r="L943" s="21" t="n">
        <x:f>6371*ACOS(MIN(1,COS(F943*PI()/180)*COS(K943*PI()/180)*COS((J943-E943)*PI()/180)+SIN(F943*PI()/180)*SIN(K943*PI()/180)))</x:f>
        <x:v>233.03147812497292</x:v>
      </x:c>
      <x:c r="M943" s="21" t="n">
        <x:f>L943*'情景参数模板'!$D$31</x:f>
        <x:v>279.6377737499675</x:v>
      </x:c>
      <x:c r="N943" s="21" t="n">
        <x:f>IF(C943="source",'情景参数模板'!$D$12,IF(H943="echelon",'情景参数模板'!$D$13,'情景参数模板'!$D$14))</x:f>
        <x:v>0.49</x:v>
      </x:c>
      <x:c r="O943" s="21" t="n">
        <x:f>IF(C943="source",'情景参数模板'!$D$18,IF(H943="echelon",'情景参数模板'!$D$19,'情景参数模板'!$D$20))</x:f>
        <x:v>300</x:v>
      </x:c>
      <x:c r="P943" s="17" t="n">
        <x:f>IF(M943&lt;=O943,1,0)</x:f>
        <x:v>1</x:v>
      </x:c>
      <x:c r="Q943" s="17" t="str">
        <x:v>D-road proxy; B-coordinates</x:v>
      </x:c>
    </x:row>
    <x:row r="944">
      <x:c r="A944" s="17" t="str">
        <x:v>A0940</x:v>
      </x:c>
      <x:c r="B944" s="17" t="str">
        <x:v>C21</x:v>
      </x:c>
      <x:c r="C944" s="17" t="str">
        <x:v>collection</x:v>
      </x:c>
      <x:c r="D944" s="17" t="str">
        <x:v>云浮虚拟回收/检测中心</x:v>
      </x:c>
      <x:c r="E944" s="24" t="n">
        <x:v>111.8078586</x:v>
      </x:c>
      <x:c r="F944" s="24" t="n">
        <x:v>22.8546663</x:v>
      </x:c>
      <x:c r="G944" s="17" t="str">
        <x:v>P18</x:v>
      </x:c>
      <x:c r="H944" s="17" t="str">
        <x:v>echelon</x:v>
      </x:c>
      <x:c r="I944" s="17" t="str">
        <x:v>中商锂新能源科技（惠州）有限公司</x:v>
      </x:c>
      <x:c r="J944" s="24" t="n">
        <x:v>114.4127007</x:v>
      </x:c>
      <x:c r="K944" s="24" t="n">
        <x:v>23.1125153</x:v>
      </x:c>
      <x:c r="L944" s="21" t="n">
        <x:f>6371*ACOS(MIN(1,COS(F944*PI()/180)*COS(K944*PI()/180)*COS((J944-E944)*PI()/180)+SIN(F944*PI()/180)*SIN(K944*PI()/180)))</x:f>
        <x:v>268.1854182947875</x:v>
      </x:c>
      <x:c r="M944" s="21" t="n">
        <x:f>L944*'情景参数模板'!$D$31</x:f>
        <x:v>321.82250195374496</x:v>
      </x:c>
      <x:c r="N944" s="21" t="n">
        <x:f>IF(C944="source",'情景参数模板'!$D$12,IF(H944="echelon",'情景参数模板'!$D$13,'情景参数模板'!$D$14))</x:f>
        <x:v>0.49</x:v>
      </x:c>
      <x:c r="O944" s="21" t="n">
        <x:f>IF(C944="source",'情景参数模板'!$D$18,IF(H944="echelon",'情景参数模板'!$D$19,'情景参数模板'!$D$20))</x:f>
        <x:v>300</x:v>
      </x:c>
      <x:c r="P944" s="17" t="n">
        <x:f>IF(M944&lt;=O944,1,0)</x:f>
        <x:v>0</x:v>
      </x:c>
      <x:c r="Q944" s="17" t="str">
        <x:v>D-road proxy; B-coordinates</x:v>
      </x:c>
    </x:row>
    <x:row r="945">
      <x:c r="A945" s="17" t="str">
        <x:v>A0941</x:v>
      </x:c>
      <x:c r="B945" s="17" t="str">
        <x:v>C21</x:v>
      </x:c>
      <x:c r="C945" s="17" t="str">
        <x:v>collection</x:v>
      </x:c>
      <x:c r="D945" s="17" t="str">
        <x:v>云浮虚拟回收/检测中心</x:v>
      </x:c>
      <x:c r="E945" s="24" t="n">
        <x:v>111.8078586</x:v>
      </x:c>
      <x:c r="F945" s="24" t="n">
        <x:v>22.8546663</x:v>
      </x:c>
      <x:c r="G945" s="17" t="str">
        <x:v>P19</x:v>
      </x:c>
      <x:c r="H945" s="17" t="str">
        <x:v>recycling</x:v>
      </x:c>
      <x:c r="I945" s="17" t="str">
        <x:v>广东盛祥新材料科技有限公司</x:v>
      </x:c>
      <x:c r="J945" s="24" t="n">
        <x:v>113.8155263</x:v>
      </x:c>
      <x:c r="K945" s="24" t="n">
        <x:v>24.8309489</x:v>
      </x:c>
      <x:c r="L945" s="21" t="n">
        <x:f>6371*ACOS(MIN(1,COS(F945*PI()/180)*COS(K945*PI()/180)*COS((J945-E945)*PI()/180)+SIN(F945*PI()/180)*SIN(K945*PI()/180)))</x:f>
        <x:v>299.9628394143898</x:v>
      </x:c>
      <x:c r="M945" s="21" t="n">
        <x:f>L945*'情景参数模板'!$D$31</x:f>
        <x:v>359.95540729726775</x:v>
      </x:c>
      <x:c r="N945" s="21" t="n">
        <x:f>IF(C945="source",'情景参数模板'!$D$12,IF(H945="echelon",'情景参数模板'!$D$13,'情景参数模板'!$D$14))</x:f>
        <x:v>0.49</x:v>
      </x:c>
      <x:c r="O945" s="21" t="n">
        <x:f>IF(C945="source",'情景参数模板'!$D$18,IF(H945="echelon",'情景参数模板'!$D$19,'情景参数模板'!$D$20))</x:f>
        <x:v>400</x:v>
      </x:c>
      <x:c r="P945" s="17" t="n">
        <x:f>IF(M945&lt;=O945,1,0)</x:f>
        <x:v>1</x:v>
      </x:c>
      <x:c r="Q945" s="17" t="str">
        <x:v>D-road proxy; B-coordinates</x:v>
      </x:c>
    </x:row>
    <x:row r="946">
      <x:c r="A946" s="17" t="str">
        <x:v>A0942</x:v>
      </x:c>
      <x:c r="B946" s="17" t="str">
        <x:v>C21</x:v>
      </x:c>
      <x:c r="C946" s="17" t="str">
        <x:v>collection</x:v>
      </x:c>
      <x:c r="D946" s="17" t="str">
        <x:v>云浮虚拟回收/检测中心</x:v>
      </x:c>
      <x:c r="E946" s="24" t="n">
        <x:v>111.8078586</x:v>
      </x:c>
      <x:c r="F946" s="24" t="n">
        <x:v>22.8546663</x:v>
      </x:c>
      <x:c r="G946" s="17" t="str">
        <x:v>P20E</x:v>
      </x:c>
      <x:c r="H946" s="17" t="str">
        <x:v>echelon</x:v>
      </x:c>
      <x:c r="I946" s="17" t="str">
        <x:v>广东金晟新能源股份有限公司（梯次功能）</x:v>
      </x:c>
      <x:c r="J946" s="24" t="n">
        <x:v>112.4603629</x:v>
      </x:c>
      <x:c r="K946" s="24" t="n">
        <x:v>23.0501661</x:v>
      </x:c>
      <x:c r="L946" s="21" t="n">
        <x:f>6371*ACOS(MIN(1,COS(F946*PI()/180)*COS(K946*PI()/180)*COS((J946-E946)*PI()/180)+SIN(F946*PI()/180)*SIN(K946*PI()/180)))</x:f>
        <x:v>70.25844555620367</x:v>
      </x:c>
      <x:c r="M946" s="21" t="n">
        <x:f>L946*'情景参数模板'!$D$31</x:f>
        <x:v>84.3101346674444</x:v>
      </x:c>
      <x:c r="N946" s="21" t="n">
        <x:f>IF(C946="source",'情景参数模板'!$D$12,IF(H946="echelon",'情景参数模板'!$D$13,'情景参数模板'!$D$14))</x:f>
        <x:v>0.49</x:v>
      </x:c>
      <x:c r="O946" s="21" t="n">
        <x:f>IF(C946="source",'情景参数模板'!$D$18,IF(H946="echelon",'情景参数模板'!$D$19,'情景参数模板'!$D$20))</x:f>
        <x:v>300</x:v>
      </x:c>
      <x:c r="P946" s="17" t="n">
        <x:f>IF(M946&lt;=O946,1,0)</x:f>
        <x:v>1</x:v>
      </x:c>
      <x:c r="Q946" s="17" t="str">
        <x:v>D-road proxy; B-coordinates</x:v>
      </x:c>
    </x:row>
    <x:row r="947">
      <x:c r="A947" s="17" t="str">
        <x:v>A0943</x:v>
      </x:c>
      <x:c r="B947" s="17" t="str">
        <x:v>C21</x:v>
      </x:c>
      <x:c r="C947" s="17" t="str">
        <x:v>collection</x:v>
      </x:c>
      <x:c r="D947" s="17" t="str">
        <x:v>云浮虚拟回收/检测中心</x:v>
      </x:c>
      <x:c r="E947" s="24" t="n">
        <x:v>111.8078586</x:v>
      </x:c>
      <x:c r="F947" s="24" t="n">
        <x:v>22.8546663</x:v>
      </x:c>
      <x:c r="G947" s="17" t="str">
        <x:v>P20R</x:v>
      </x:c>
      <x:c r="H947" s="17" t="str">
        <x:v>recycling</x:v>
      </x:c>
      <x:c r="I947" s="17" t="str">
        <x:v>广东金晟新能源股份有限公司（再生功能）</x:v>
      </x:c>
      <x:c r="J947" s="24" t="n">
        <x:v>112.4603629</x:v>
      </x:c>
      <x:c r="K947" s="24" t="n">
        <x:v>23.0501661</x:v>
      </x:c>
      <x:c r="L947" s="21" t="n">
        <x:f>6371*ACOS(MIN(1,COS(F947*PI()/180)*COS(K947*PI()/180)*COS((J947-E947)*PI()/180)+SIN(F947*PI()/180)*SIN(K947*PI()/180)))</x:f>
        <x:v>70.25844555620367</x:v>
      </x:c>
      <x:c r="M947" s="21" t="n">
        <x:f>L947*'情景参数模板'!$D$31</x:f>
        <x:v>84.3101346674444</x:v>
      </x:c>
      <x:c r="N947" s="21" t="n">
        <x:f>IF(C947="source",'情景参数模板'!$D$12,IF(H947="echelon",'情景参数模板'!$D$13,'情景参数模板'!$D$14))</x:f>
        <x:v>0.49</x:v>
      </x:c>
      <x:c r="O947" s="21" t="n">
        <x:f>IF(C947="source",'情景参数模板'!$D$18,IF(H947="echelon",'情景参数模板'!$D$19,'情景参数模板'!$D$20))</x:f>
        <x:v>400</x:v>
      </x:c>
      <x:c r="P947" s="17" t="n">
        <x:f>IF(M947&lt;=O947,1,0)</x:f>
        <x:v>1</x:v>
      </x:c>
      <x:c r="Q947" s="17" t="str">
        <x:v>D-road proxy; B-coordinates</x:v>
      </x:c>
    </x:row>
    <x:row r="948">
      <x:c r="A948" s="17" t="str">
        <x:v>A0944</x:v>
      </x:c>
      <x:c r="B948" s="17" t="str">
        <x:v>C21</x:v>
      </x:c>
      <x:c r="C948" s="17" t="str">
        <x:v>collection</x:v>
      </x:c>
      <x:c r="D948" s="17" t="str">
        <x:v>云浮虚拟回收/检测中心</x:v>
      </x:c>
      <x:c r="E948" s="24" t="n">
        <x:v>111.8078586</x:v>
      </x:c>
      <x:c r="F948" s="24" t="n">
        <x:v>22.8546663</x:v>
      </x:c>
      <x:c r="G948" s="17" t="str">
        <x:v>P21E</x:v>
      </x:c>
      <x:c r="H948" s="17" t="str">
        <x:v>echelon</x:v>
      </x:c>
      <x:c r="I948" s="17" t="str">
        <x:v>广东瑞科美电源技术有限公司（梯次功能）</x:v>
      </x:c>
      <x:c r="J948" s="24" t="n">
        <x:v>113.1159558</x:v>
      </x:c>
      <x:c r="K948" s="24" t="n">
        <x:v>23.0239788</x:v>
      </x:c>
      <x:c r="L948" s="21" t="n">
        <x:f>6371*ACOS(MIN(1,COS(F948*PI()/180)*COS(K948*PI()/180)*COS((J948-E948)*PI()/180)+SIN(F948*PI()/180)*SIN(K948*PI()/180)))</x:f>
        <x:v>135.2670709074438</x:v>
      </x:c>
      <x:c r="M948" s="21" t="n">
        <x:f>L948*'情景参数模板'!$D$31</x:f>
        <x:v>162.32048508893257</x:v>
      </x:c>
      <x:c r="N948" s="21" t="n">
        <x:f>IF(C948="source",'情景参数模板'!$D$12,IF(H948="echelon",'情景参数模板'!$D$13,'情景参数模板'!$D$14))</x:f>
        <x:v>0.49</x:v>
      </x:c>
      <x:c r="O948" s="21" t="n">
        <x:f>IF(C948="source",'情景参数模板'!$D$18,IF(H948="echelon",'情景参数模板'!$D$19,'情景参数模板'!$D$20))</x:f>
        <x:v>300</x:v>
      </x:c>
      <x:c r="P948" s="17" t="n">
        <x:f>IF(M948&lt;=O948,1,0)</x:f>
        <x:v>1</x:v>
      </x:c>
      <x:c r="Q948" s="17" t="str">
        <x:v>D-road proxy; B-coordinates</x:v>
      </x:c>
    </x:row>
    <x:row r="949">
      <x:c r="A949" s="17" t="str">
        <x:v>A0945</x:v>
      </x:c>
      <x:c r="B949" s="17" t="str">
        <x:v>C21</x:v>
      </x:c>
      <x:c r="C949" s="17" t="str">
        <x:v>collection</x:v>
      </x:c>
      <x:c r="D949" s="17" t="str">
        <x:v>云浮虚拟回收/检测中心</x:v>
      </x:c>
      <x:c r="E949" s="24" t="n">
        <x:v>111.8078586</x:v>
      </x:c>
      <x:c r="F949" s="24" t="n">
        <x:v>22.8546663</x:v>
      </x:c>
      <x:c r="G949" s="17" t="str">
        <x:v>P21R</x:v>
      </x:c>
      <x:c r="H949" s="17" t="str">
        <x:v>recycling</x:v>
      </x:c>
      <x:c r="I949" s="17" t="str">
        <x:v>广东瑞科美电源技术有限公司（再生功能）</x:v>
      </x:c>
      <x:c r="J949" s="24" t="n">
        <x:v>113.1159558</x:v>
      </x:c>
      <x:c r="K949" s="24" t="n">
        <x:v>23.0239788</x:v>
      </x:c>
      <x:c r="L949" s="21" t="n">
        <x:f>6371*ACOS(MIN(1,COS(F949*PI()/180)*COS(K949*PI()/180)*COS((J949-E949)*PI()/180)+SIN(F949*PI()/180)*SIN(K949*PI()/180)))</x:f>
        <x:v>135.2670709074438</x:v>
      </x:c>
      <x:c r="M949" s="21" t="n">
        <x:f>L949*'情景参数模板'!$D$31</x:f>
        <x:v>162.32048508893257</x:v>
      </x:c>
      <x:c r="N949" s="21" t="n">
        <x:f>IF(C949="source",'情景参数模板'!$D$12,IF(H949="echelon",'情景参数模板'!$D$13,'情景参数模板'!$D$14))</x:f>
        <x:v>0.49</x:v>
      </x:c>
      <x:c r="O949" s="21" t="n">
        <x:f>IF(C949="source",'情景参数模板'!$D$18,IF(H949="echelon",'情景参数模板'!$D$19,'情景参数模板'!$D$20))</x:f>
        <x:v>400</x:v>
      </x:c>
      <x:c r="P949" s="17" t="n">
        <x:f>IF(M949&lt;=O949,1,0)</x:f>
        <x:v>1</x:v>
      </x:c>
      <x:c r="Q949" s="17" t="str">
        <x:v>D-road proxy; B-coordinates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2" hidden="0" customWidth="1"/>
    <x:col min="6" max="6" width="38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2" hidden="0" customWidth="1"/>
    <x:col min="12" max="12" width="20" hidden="0" customWidth="1"/>
  </x:cols>
  <x:sheetData>
    <x:row r="1" ht="30" customHeight="1">
      <x:c r="A1" s="4" t="str">
        <x:v>需求城市到候选设施距离矩阵（Haversine + 道路绕行系数代理）</x:v>
      </x:c>
      <x:c r="B1" s="4" t="str">
        <x:v>需求城市到候选设施距离矩阵（Haversine + 道路绕行系数代理）</x:v>
      </x:c>
      <x:c r="C1" s="4" t="str">
        <x:v>需求城市到候选设施距离矩阵（Haversine + 道路绕行系数代理）</x:v>
      </x:c>
      <x:c r="D1" s="4" t="str">
        <x:v>需求城市到候选设施距离矩阵（Haversine + 道路绕行系数代理）</x:v>
      </x:c>
      <x:c r="E1" s="4" t="str">
        <x:v>需求城市到候选设施距离矩阵（Haversine + 道路绕行系数代理）</x:v>
      </x:c>
      <x:c r="F1" s="4" t="str">
        <x:v>需求城市到候选设施距离矩阵（Haversine + 道路绕行系数代理）</x:v>
      </x:c>
      <x:c r="G1" s="4" t="str">
        <x:v>需求城市到候选设施距离矩阵（Haversine + 道路绕行系数代理）</x:v>
      </x:c>
      <x:c r="H1" s="4" t="str">
        <x:v>需求城市到候选设施距离矩阵（Haversine + 道路绕行系数代理）</x:v>
      </x:c>
      <x:c r="I1" s="4" t="str">
        <x:v>需求城市到候选设施距离矩阵（Haversine + 道路绕行系数代理）</x:v>
      </x:c>
      <x:c r="J1" s="4" t="str">
        <x:v>需求城市到候选设施距离矩阵（Haversine + 道路绕行系数代理）</x:v>
      </x:c>
      <x:c r="K1" s="4" t="str">
        <x:v>需求城市到候选设施距离矩阵（Haversine + 道路绕行系数代理）</x:v>
      </x:c>
      <x:c r="L1" s="4" t="str">
        <x:v>需求城市到候选设施距离矩阵（Haversine + 道路绕行系数代理）</x:v>
      </x:c>
    </x:row>
    <x:row r="2">
      <x:c r="A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B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C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D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E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F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G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H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I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J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K2" s="20" t="str">
        <x:v>本表用于没有道路API时的原型求解。直线距离由经纬度公式计算，道路代理距离=直线距离×情景参数模板中的基准绕行系数；正式论文应以道路API或GIS路网距离替换。</x:v>
      </x:c>
      <x:c r="L2" s="20" t="str">
        <x:v>本表用于没有道路API时的原型求解。直线距离由经纬度公式计算，道路代理距离=直线距离×情景参数模板中的基准绕行系数；正式论文应以道路API或GIS路网距离替换。</x:v>
      </x:c>
    </x:row>
    <x:row r="4" ht="28" customHeight="1">
      <x:c r="A4" s="14" t="str">
        <x:v>origin_id</x:v>
      </x:c>
      <x:c r="B4" s="14" t="str">
        <x:v>需求城市</x:v>
      </x:c>
      <x:c r="C4" s="14" t="str">
        <x:v>起点经度</x:v>
      </x:c>
      <x:c r="D4" s="14" t="str">
        <x:v>起点纬度</x:v>
      </x:c>
      <x:c r="E4" s="14" t="str">
        <x:v>facility_id</x:v>
      </x:c>
      <x:c r="F4" s="14" t="str">
        <x:v>候选设施</x:v>
      </x:c>
      <x:c r="G4" s="14" t="str">
        <x:v>设施类型</x:v>
      </x:c>
      <x:c r="H4" s="14" t="str">
        <x:v>终点经度</x:v>
      </x:c>
      <x:c r="I4" s="14" t="str">
        <x:v>终点纬度</x:v>
      </x:c>
      <x:c r="J4" s="14" t="str">
        <x:v>直线距离_km</x:v>
      </x:c>
      <x:c r="K4" s="14" t="str">
        <x:v>绕行系数</x:v>
      </x:c>
      <x:c r="L4" s="14" t="str">
        <x:v>道路代理距离_km</x:v>
      </x:c>
    </x:row>
    <x:row r="5">
      <x:c r="A5" s="17" t="str">
        <x:v>GD01</x:v>
      </x:c>
      <x:c r="B5" s="17" t="str">
        <x:v>广州</x:v>
      </x:c>
      <x:c r="C5" s="24" t="n">
        <x:v>113.2589581</x:v>
      </x:c>
      <x:c r="D5" s="24" t="n">
        <x:v>23.1288429</x:v>
      </x:c>
      <x:c r="E5" s="17" t="str">
        <x:v>C01</x:v>
      </x:c>
      <x:c r="F5" s="17" t="str">
        <x:v>广州虚拟回收/检测中心</x:v>
      </x:c>
      <x:c r="G5" s="17" t="str">
        <x:v>回收中心候选</x:v>
      </x:c>
      <x:c r="H5" s="24" t="n">
        <x:v>113.2589581</x:v>
      </x:c>
      <x:c r="I5" s="24" t="n">
        <x:v>23.1288429</x:v>
      </x:c>
      <x:c r="J5" s="21" t="n">
        <x:f>6371*ACOS(MIN(1,COS(D5*PI()/180)*COS(I5*PI()/180)*COS((H5-C5)*PI()/180)+SIN(D5*PI()/180)*SIN(I5*PI()/180)))</x:f>
        <x:v>0</x:v>
      </x:c>
      <x:c r="K5" s="21" t="n">
        <x:f>'情景参数模板'!$D$31</x:f>
        <x:v>1.2</x:v>
      </x:c>
      <x:c r="L5" s="21" t="n">
        <x:f>J5*K5</x:f>
        <x:v>0</x:v>
      </x:c>
    </x:row>
    <x:row r="6">
      <x:c r="A6" s="17" t="str">
        <x:v>GD01</x:v>
      </x:c>
      <x:c r="B6" s="17" t="str">
        <x:v>广州</x:v>
      </x:c>
      <x:c r="C6" s="24" t="n">
        <x:v>113.2589581</x:v>
      </x:c>
      <x:c r="D6" s="24" t="n">
        <x:v>23.1288429</x:v>
      </x:c>
      <x:c r="E6" s="17" t="str">
        <x:v>C02</x:v>
      </x:c>
      <x:c r="F6" s="17" t="str">
        <x:v>深圳虚拟回收/检测中心</x:v>
      </x:c>
      <x:c r="G6" s="17" t="str">
        <x:v>回收中心候选</x:v>
      </x:c>
      <x:c r="H6" s="24" t="n">
        <x:v>114.0545429</x:v>
      </x:c>
      <x:c r="I6" s="24" t="n">
        <x:v>22.5445741</x:v>
      </x:c>
      <x:c r="J6" s="21" t="n">
        <x:f>6371*ACOS(MIN(1,COS(D6*PI()/180)*COS(I6*PI()/180)*COS((H6-C6)*PI()/180)+SIN(D6*PI()/180)*SIN(I6*PI()/180)))</x:f>
        <x:v>104.24944100592228</x:v>
      </x:c>
      <x:c r="K6" s="21" t="n">
        <x:f>'情景参数模板'!$D$31</x:f>
        <x:v>1.2</x:v>
      </x:c>
      <x:c r="L6" s="21" t="n">
        <x:f>J6*K6</x:f>
        <x:v>125.09932920710673</x:v>
      </x:c>
    </x:row>
    <x:row r="7">
      <x:c r="A7" s="17" t="str">
        <x:v>GD01</x:v>
      </x:c>
      <x:c r="B7" s="17" t="str">
        <x:v>广州</x:v>
      </x:c>
      <x:c r="C7" s="24" t="n">
        <x:v>113.2589581</x:v>
      </x:c>
      <x:c r="D7" s="24" t="n">
        <x:v>23.1288429</x:v>
      </x:c>
      <x:c r="E7" s="17" t="str">
        <x:v>C03</x:v>
      </x:c>
      <x:c r="F7" s="17" t="str">
        <x:v>珠海虚拟回收/检测中心</x:v>
      </x:c>
      <x:c r="G7" s="17" t="str">
        <x:v>回收中心候选</x:v>
      </x:c>
      <x:c r="H7" s="24" t="n">
        <x:v>113.5721327</x:v>
      </x:c>
      <x:c r="I7" s="24" t="n">
        <x:v>22.273734</x:v>
      </x:c>
      <x:c r="J7" s="21" t="n">
        <x:f>6371*ACOS(MIN(1,COS(D7*PI()/180)*COS(I7*PI()/180)*COS((H7-C7)*PI()/180)+SIN(D7*PI()/180)*SIN(I7*PI()/180)))</x:f>
        <x:v>100.36408935304908</x:v>
      </x:c>
      <x:c r="K7" s="21" t="n">
        <x:f>'情景参数模板'!$D$31</x:f>
        <x:v>1.2</x:v>
      </x:c>
      <x:c r="L7" s="21" t="n">
        <x:f>J7*K7</x:f>
        <x:v>120.43690722365889</x:v>
      </x:c>
    </x:row>
    <x:row r="8">
      <x:c r="A8" s="17" t="str">
        <x:v>GD01</x:v>
      </x:c>
      <x:c r="B8" s="17" t="str">
        <x:v>广州</x:v>
      </x:c>
      <x:c r="C8" s="24" t="n">
        <x:v>113.2589581</x:v>
      </x:c>
      <x:c r="D8" s="24" t="n">
        <x:v>23.1288429</x:v>
      </x:c>
      <x:c r="E8" s="17" t="str">
        <x:v>C04</x:v>
      </x:c>
      <x:c r="F8" s="17" t="str">
        <x:v>汕头虚拟回收/检测中心</x:v>
      </x:c>
      <x:c r="G8" s="17" t="str">
        <x:v>回收中心候选</x:v>
      </x:c>
      <x:c r="H8" s="24" t="n">
        <x:v>116.6775856</x:v>
      </x:c>
      <x:c r="I8" s="24" t="n">
        <x:v>23.3563921</x:v>
      </x:c>
      <x:c r="J8" s="21" t="n">
        <x:f>6371*ACOS(MIN(1,COS(D8*PI()/180)*COS(I8*PI()/180)*COS((H8-C8)*PI()/180)+SIN(D8*PI()/180)*SIN(I8*PI()/180)))</x:f>
        <x:v>350.1899949540084</x:v>
      </x:c>
      <x:c r="K8" s="21" t="n">
        <x:f>'情景参数模板'!$D$31</x:f>
        <x:v>1.2</x:v>
      </x:c>
      <x:c r="L8" s="21" t="n">
        <x:f>J8*K8</x:f>
        <x:v>420.22799394481007</x:v>
      </x:c>
    </x:row>
    <x:row r="9">
      <x:c r="A9" s="17" t="str">
        <x:v>GD01</x:v>
      </x:c>
      <x:c r="B9" s="17" t="str">
        <x:v>广州</x:v>
      </x:c>
      <x:c r="C9" s="24" t="n">
        <x:v>113.2589581</x:v>
      </x:c>
      <x:c r="D9" s="24" t="n">
        <x:v>23.1288429</x:v>
      </x:c>
      <x:c r="E9" s="17" t="str">
        <x:v>C05</x:v>
      </x:c>
      <x:c r="F9" s="17" t="str">
        <x:v>佛山虚拟回收/检测中心</x:v>
      </x:c>
      <x:c r="G9" s="17" t="str">
        <x:v>回收中心候选</x:v>
      </x:c>
      <x:c r="H9" s="24" t="n">
        <x:v>113.1159558</x:v>
      </x:c>
      <x:c r="I9" s="24" t="n">
        <x:v>23.0239788</x:v>
      </x:c>
      <x:c r="J9" s="21" t="n">
        <x:f>6371*ACOS(MIN(1,COS(D9*PI()/180)*COS(I9*PI()/180)*COS((H9-C9)*PI()/180)+SIN(D9*PI()/180)*SIN(I9*PI()/180)))</x:f>
        <x:v>18.707342512999915</x:v>
      </x:c>
      <x:c r="K9" s="21" t="n">
        <x:f>'情景参数模板'!$D$31</x:f>
        <x:v>1.2</x:v>
      </x:c>
      <x:c r="L9" s="21" t="n">
        <x:f>J9*K9</x:f>
        <x:v>22.448811015599897</x:v>
      </x:c>
    </x:row>
    <x:row r="10">
      <x:c r="A10" s="17" t="str">
        <x:v>GD01</x:v>
      </x:c>
      <x:c r="B10" s="17" t="str">
        <x:v>广州</x:v>
      </x:c>
      <x:c r="C10" s="24" t="n">
        <x:v>113.2589581</x:v>
      </x:c>
      <x:c r="D10" s="24" t="n">
        <x:v>23.1288429</x:v>
      </x:c>
      <x:c r="E10" s="17" t="str">
        <x:v>C06</x:v>
      </x:c>
      <x:c r="F10" s="17" t="str">
        <x:v>韶关虚拟回收/检测中心</x:v>
      </x:c>
      <x:c r="G10" s="17" t="str">
        <x:v>回收中心候选</x:v>
      </x:c>
      <x:c r="H10" s="24" t="n">
        <x:v>113.8155263</x:v>
      </x:c>
      <x:c r="I10" s="24" t="n">
        <x:v>24.8309489</x:v>
      </x:c>
      <x:c r="J10" s="21" t="n">
        <x:f>6371*ACOS(MIN(1,COS(D10*PI()/180)*COS(I10*PI()/180)*COS((H10-C10)*PI()/180)+SIN(D10*PI()/180)*SIN(I10*PI()/180)))</x:f>
        <x:v>197.53104116353575</x:v>
      </x:c>
      <x:c r="K10" s="21" t="n">
        <x:f>'情景参数模板'!$D$31</x:f>
        <x:v>1.2</x:v>
      </x:c>
      <x:c r="L10" s="21" t="n">
        <x:f>J10*K10</x:f>
        <x:v>237.03724939624288</x:v>
      </x:c>
    </x:row>
    <x:row r="11">
      <x:c r="A11" s="17" t="str">
        <x:v>GD01</x:v>
      </x:c>
      <x:c r="B11" s="17" t="str">
        <x:v>广州</x:v>
      </x:c>
      <x:c r="C11" s="24" t="n">
        <x:v>113.2589581</x:v>
      </x:c>
      <x:c r="D11" s="24" t="n">
        <x:v>23.1288429</x:v>
      </x:c>
      <x:c r="E11" s="17" t="str">
        <x:v>C07</x:v>
      </x:c>
      <x:c r="F11" s="17" t="str">
        <x:v>河源虚拟回收/检测中心</x:v>
      </x:c>
      <x:c r="G11" s="17" t="str">
        <x:v>回收中心候选</x:v>
      </x:c>
      <x:c r="H11" s="24" t="n">
        <x:v>115.0577538</x:v>
      </x:c>
      <x:c r="I11" s="24" t="n">
        <x:v>24.1014769</x:v>
      </x:c>
      <x:c r="J11" s="21" t="n">
        <x:f>6371*ACOS(MIN(1,COS(D11*PI()/180)*COS(I11*PI()/180)*COS((H11-C11)*PI()/180)+SIN(D11*PI()/180)*SIN(I11*PI()/180)))</x:f>
        <x:v>212.7954154557559</x:v>
      </x:c>
      <x:c r="K11" s="21" t="n">
        <x:f>'情景参数模板'!$D$31</x:f>
        <x:v>1.2</x:v>
      </x:c>
      <x:c r="L11" s="21" t="n">
        <x:f>J11*K11</x:f>
        <x:v>255.35449854690705</x:v>
      </x:c>
    </x:row>
    <x:row r="12">
      <x:c r="A12" s="17" t="str">
        <x:v>GD01</x:v>
      </x:c>
      <x:c r="B12" s="17" t="str">
        <x:v>广州</x:v>
      </x:c>
      <x:c r="C12" s="24" t="n">
        <x:v>113.2589581</x:v>
      </x:c>
      <x:c r="D12" s="24" t="n">
        <x:v>23.1288429</x:v>
      </x:c>
      <x:c r="E12" s="17" t="str">
        <x:v>C08</x:v>
      </x:c>
      <x:c r="F12" s="17" t="str">
        <x:v>梅州虚拟回收/检测中心</x:v>
      </x:c>
      <x:c r="G12" s="17" t="str">
        <x:v>回收中心候选</x:v>
      </x:c>
      <x:c r="H12" s="24" t="n">
        <x:v>116.1171428</x:v>
      </x:c>
      <x:c r="I12" s="24" t="n">
        <x:v>24.2918414</x:v>
      </x:c>
      <x:c r="J12" s="21" t="n">
        <x:f>6371*ACOS(MIN(1,COS(D12*PI()/180)*COS(I12*PI()/180)*COS((H12-C12)*PI()/180)+SIN(D12*PI()/180)*SIN(I12*PI()/180)))</x:f>
        <x:v>318.4189220790422</x:v>
      </x:c>
      <x:c r="K12" s="21" t="n">
        <x:f>'情景参数模板'!$D$31</x:f>
        <x:v>1.2</x:v>
      </x:c>
      <x:c r="L12" s="21" t="n">
        <x:f>J12*K12</x:f>
        <x:v>382.1027064948506</x:v>
      </x:c>
    </x:row>
    <x:row r="13">
      <x:c r="A13" s="17" t="str">
        <x:v>GD01</x:v>
      </x:c>
      <x:c r="B13" s="17" t="str">
        <x:v>广州</x:v>
      </x:c>
      <x:c r="C13" s="24" t="n">
        <x:v>113.2589581</x:v>
      </x:c>
      <x:c r="D13" s="24" t="n">
        <x:v>23.1288429</x:v>
      </x:c>
      <x:c r="E13" s="17" t="str">
        <x:v>C09</x:v>
      </x:c>
      <x:c r="F13" s="17" t="str">
        <x:v>惠州虚拟回收/检测中心</x:v>
      </x:c>
      <x:c r="G13" s="17" t="str">
        <x:v>回收中心候选</x:v>
      </x:c>
      <x:c r="H13" s="24" t="n">
        <x:v>114.4127007</x:v>
      </x:c>
      <x:c r="I13" s="24" t="n">
        <x:v>23.1125153</x:v>
      </x:c>
      <x:c r="J13" s="21" t="n">
        <x:f>6371*ACOS(MIN(1,COS(D13*PI()/180)*COS(I13*PI()/180)*COS((H13-C13)*PI()/180)+SIN(D13*PI()/180)*SIN(I13*PI()/180)))</x:f>
        <x:v>117.99968375716887</x:v>
      </x:c>
      <x:c r="K13" s="21" t="n">
        <x:f>'情景参数模板'!$D$31</x:f>
        <x:v>1.2</x:v>
      </x:c>
      <x:c r="L13" s="21" t="n">
        <x:f>J13*K13</x:f>
        <x:v>141.59962050860264</x:v>
      </x:c>
    </x:row>
    <x:row r="14">
      <x:c r="A14" s="17" t="str">
        <x:v>GD01</x:v>
      </x:c>
      <x:c r="B14" s="17" t="str">
        <x:v>广州</x:v>
      </x:c>
      <x:c r="C14" s="24" t="n">
        <x:v>113.2589581</x:v>
      </x:c>
      <x:c r="D14" s="24" t="n">
        <x:v>23.1288429</x:v>
      </x:c>
      <x:c r="E14" s="17" t="str">
        <x:v>C10</x:v>
      </x:c>
      <x:c r="F14" s="17" t="str">
        <x:v>汕尾虚拟回收/检测中心</x:v>
      </x:c>
      <x:c r="G14" s="17" t="str">
        <x:v>回收中心候选</x:v>
      </x:c>
      <x:c r="H14" s="24" t="n">
        <x:v>115.5099937</x:v>
      </x:c>
      <x:c r="I14" s="24" t="n">
        <x:v>23.0123639</x:v>
      </x:c>
      <x:c r="J14" s="21" t="n">
        <x:f>6371*ACOS(MIN(1,COS(D14*PI()/180)*COS(I14*PI()/180)*COS((H14-C14)*PI()/180)+SIN(D14*PI()/180)*SIN(I14*PI()/180)))</x:f>
        <x:v>230.6467190844284</x:v>
      </x:c>
      <x:c r="K14" s="21" t="n">
        <x:f>'情景参数模板'!$D$31</x:f>
        <x:v>1.2</x:v>
      </x:c>
      <x:c r="L14" s="21" t="n">
        <x:f>J14*K14</x:f>
        <x:v>276.7760629013141</x:v>
      </x:c>
    </x:row>
    <x:row r="15">
      <x:c r="A15" s="17" t="str">
        <x:v>GD01</x:v>
      </x:c>
      <x:c r="B15" s="17" t="str">
        <x:v>广州</x:v>
      </x:c>
      <x:c r="C15" s="24" t="n">
        <x:v>113.2589581</x:v>
      </x:c>
      <x:c r="D15" s="24" t="n">
        <x:v>23.1288429</x:v>
      </x:c>
      <x:c r="E15" s="17" t="str">
        <x:v>C11</x:v>
      </x:c>
      <x:c r="F15" s="17" t="str">
        <x:v>东莞虚拟回收/检测中心</x:v>
      </x:c>
      <x:c r="G15" s="17" t="str">
        <x:v>回收中心候选</x:v>
      </x:c>
      <x:c r="H15" s="24" t="n">
        <x:v>113.7452332</x:v>
      </x:c>
      <x:c r="I15" s="24" t="n">
        <x:v>23.0183568</x:v>
      </x:c>
      <x:c r="J15" s="21" t="n">
        <x:f>6371*ACOS(MIN(1,COS(D15*PI()/180)*COS(I15*PI()/180)*COS((H15-C15)*PI()/180)+SIN(D15*PI()/180)*SIN(I15*PI()/180)))</x:f>
        <x:v>51.240297874016186</x:v>
      </x:c>
      <x:c r="K15" s="21" t="n">
        <x:f>'情景参数模板'!$D$31</x:f>
        <x:v>1.2</x:v>
      </x:c>
      <x:c r="L15" s="21" t="n">
        <x:f>J15*K15</x:f>
        <x:v>61.48835744881942</x:v>
      </x:c>
    </x:row>
    <x:row r="16">
      <x:c r="A16" s="17" t="str">
        <x:v>GD01</x:v>
      </x:c>
      <x:c r="B16" s="17" t="str">
        <x:v>广州</x:v>
      </x:c>
      <x:c r="C16" s="24" t="n">
        <x:v>113.2589581</x:v>
      </x:c>
      <x:c r="D16" s="24" t="n">
        <x:v>23.1288429</x:v>
      </x:c>
      <x:c r="E16" s="17" t="str">
        <x:v>C12</x:v>
      </x:c>
      <x:c r="F16" s="17" t="str">
        <x:v>中山虚拟回收/检测中心</x:v>
      </x:c>
      <x:c r="G16" s="17" t="str">
        <x:v>回收中心候选</x:v>
      </x:c>
      <x:c r="H16" s="24" t="n">
        <x:v>113.3872302</x:v>
      </x:c>
      <x:c r="I16" s="24" t="n">
        <x:v>22.5197073</x:v>
      </x:c>
      <x:c r="J16" s="21" t="n">
        <x:f>6371*ACOS(MIN(1,COS(D16*PI()/180)*COS(I16*PI()/180)*COS((H16-C16)*PI()/180)+SIN(D16*PI()/180)*SIN(I16*PI()/180)))</x:f>
        <x:v>68.99677868461173</x:v>
      </x:c>
      <x:c r="K16" s="21" t="n">
        <x:f>'情景参数模板'!$D$31</x:f>
        <x:v>1.2</x:v>
      </x:c>
      <x:c r="L16" s="21" t="n">
        <x:f>J16*K16</x:f>
        <x:v>82.79613442153406</x:v>
      </x:c>
    </x:row>
    <x:row r="17">
      <x:c r="A17" s="17" t="str">
        <x:v>GD01</x:v>
      </x:c>
      <x:c r="B17" s="17" t="str">
        <x:v>广州</x:v>
      </x:c>
      <x:c r="C17" s="24" t="n">
        <x:v>113.2589581</x:v>
      </x:c>
      <x:c r="D17" s="24" t="n">
        <x:v>23.1288429</x:v>
      </x:c>
      <x:c r="E17" s="17" t="str">
        <x:v>C13</x:v>
      </x:c>
      <x:c r="F17" s="17" t="str">
        <x:v>江门虚拟回收/检测中心</x:v>
      </x:c>
      <x:c r="G17" s="17" t="str">
        <x:v>回收中心候选</x:v>
      </x:c>
      <x:c r="H17" s="24" t="n">
        <x:v>113.0761073</x:v>
      </x:c>
      <x:c r="I17" s="24" t="n">
        <x:v>22.5816619</x:v>
      </x:c>
      <x:c r="J17" s="21" t="n">
        <x:f>6371*ACOS(MIN(1,COS(D17*PI()/180)*COS(I17*PI()/180)*COS((H17-C17)*PI()/180)+SIN(D17*PI()/180)*SIN(I17*PI()/180)))</x:f>
        <x:v>63.663079882234</x:v>
      </x:c>
      <x:c r="K17" s="21" t="n">
        <x:f>'情景参数模板'!$D$31</x:f>
        <x:v>1.2</x:v>
      </x:c>
      <x:c r="L17" s="21" t="n">
        <x:f>J17*K17</x:f>
        <x:v>76.3956958586808</x:v>
      </x:c>
    </x:row>
    <x:row r="18">
      <x:c r="A18" s="17" t="str">
        <x:v>GD01</x:v>
      </x:c>
      <x:c r="B18" s="17" t="str">
        <x:v>广州</x:v>
      </x:c>
      <x:c r="C18" s="24" t="n">
        <x:v>113.2589581</x:v>
      </x:c>
      <x:c r="D18" s="24" t="n">
        <x:v>23.1288429</x:v>
      </x:c>
      <x:c r="E18" s="17" t="str">
        <x:v>C14</x:v>
      </x:c>
      <x:c r="F18" s="17" t="str">
        <x:v>阳江虚拟回收/检测中心</x:v>
      </x:c>
      <x:c r="G18" s="17" t="str">
        <x:v>回收中心候选</x:v>
      </x:c>
      <x:c r="H18" s="24" t="n">
        <x:v>111.7831393</x:v>
      </x:c>
      <x:c r="I18" s="24" t="n">
        <x:v>22.0958223</x:v>
      </x:c>
      <x:c r="J18" s="21" t="n">
        <x:f>6371*ACOS(MIN(1,COS(D18*PI()/180)*COS(I18*PI()/180)*COS((H18-C18)*PI()/180)+SIN(D18*PI()/180)*SIN(I18*PI()/180)))</x:f>
        <x:v>190.11044852396574</x:v>
      </x:c>
      <x:c r="K18" s="21" t="n">
        <x:f>'情景参数模板'!$D$31</x:f>
        <x:v>1.2</x:v>
      </x:c>
      <x:c r="L18" s="21" t="n">
        <x:f>J18*K18</x:f>
        <x:v>228.13253822875888</x:v>
      </x:c>
    </x:row>
    <x:row r="19">
      <x:c r="A19" s="17" t="str">
        <x:v>GD01</x:v>
      </x:c>
      <x:c r="B19" s="17" t="str">
        <x:v>广州</x:v>
      </x:c>
      <x:c r="C19" s="24" t="n">
        <x:v>113.2589581</x:v>
      </x:c>
      <x:c r="D19" s="24" t="n">
        <x:v>23.1288429</x:v>
      </x:c>
      <x:c r="E19" s="17" t="str">
        <x:v>C15</x:v>
      </x:c>
      <x:c r="F19" s="17" t="str">
        <x:v>湛江虚拟回收/检测中心</x:v>
      </x:c>
      <x:c r="G19" s="17" t="str">
        <x:v>回收中心候选</x:v>
      </x:c>
      <x:c r="H19" s="24" t="n">
        <x:v>110.3548318</x:v>
      </x:c>
      <x:c r="I19" s="24" t="n">
        <x:v>21.2737079</x:v>
      </x:c>
      <x:c r="J19" s="21" t="n">
        <x:f>6371*ACOS(MIN(1,COS(D19*PI()/180)*COS(I19*PI()/180)*COS((H19-C19)*PI()/180)+SIN(D19*PI()/180)*SIN(I19*PI()/180)))</x:f>
        <x:v>363.2197932210833</x:v>
      </x:c>
      <x:c r="K19" s="21" t="n">
        <x:f>'情景参数模板'!$D$31</x:f>
        <x:v>1.2</x:v>
      </x:c>
      <x:c r="L19" s="21" t="n">
        <x:f>J19*K19</x:f>
        <x:v>435.86375186529995</x:v>
      </x:c>
    </x:row>
    <x:row r="20">
      <x:c r="A20" s="17" t="str">
        <x:v>GD01</x:v>
      </x:c>
      <x:c r="B20" s="17" t="str">
        <x:v>广州</x:v>
      </x:c>
      <x:c r="C20" s="24" t="n">
        <x:v>113.2589581</x:v>
      </x:c>
      <x:c r="D20" s="24" t="n">
        <x:v>23.1288429</x:v>
      </x:c>
      <x:c r="E20" s="17" t="str">
        <x:v>C16</x:v>
      </x:c>
      <x:c r="F20" s="17" t="str">
        <x:v>茂名虚拟回收/检测中心</x:v>
      </x:c>
      <x:c r="G20" s="17" t="str">
        <x:v>回收中心候选</x:v>
      </x:c>
      <x:c r="H20" s="24" t="n">
        <x:v>110.9209511</x:v>
      </x:c>
      <x:c r="I20" s="24" t="n">
        <x:v>21.6656961</x:v>
      </x:c>
      <x:c r="J20" s="21" t="n">
        <x:f>6371*ACOS(MIN(1,COS(D20*PI()/180)*COS(I20*PI()/180)*COS((H20-C20)*PI()/180)+SIN(D20*PI()/180)*SIN(I20*PI()/180)))</x:f>
        <x:v>290.23788677814406</x:v>
      </x:c>
      <x:c r="K20" s="21" t="n">
        <x:f>'情景参数模板'!$D$31</x:f>
        <x:v>1.2</x:v>
      </x:c>
      <x:c r="L20" s="21" t="n">
        <x:f>J20*K20</x:f>
        <x:v>348.28546413377285</x:v>
      </x:c>
    </x:row>
    <x:row r="21">
      <x:c r="A21" s="17" t="str">
        <x:v>GD01</x:v>
      </x:c>
      <x:c r="B21" s="17" t="str">
        <x:v>广州</x:v>
      </x:c>
      <x:c r="C21" s="24" t="n">
        <x:v>113.2589581</x:v>
      </x:c>
      <x:c r="D21" s="24" t="n">
        <x:v>23.1288429</x:v>
      </x:c>
      <x:c r="E21" s="17" t="str">
        <x:v>C17</x:v>
      </x:c>
      <x:c r="F21" s="17" t="str">
        <x:v>肇庆虚拟回收/检测中心</x:v>
      </x:c>
      <x:c r="G21" s="17" t="str">
        <x:v>回收中心候选</x:v>
      </x:c>
      <x:c r="H21" s="24" t="n">
        <x:v>112.4603629</x:v>
      </x:c>
      <x:c r="I21" s="24" t="n">
        <x:v>23.0501661</x:v>
      </x:c>
      <x:c r="J21" s="21" t="n">
        <x:f>6371*ACOS(MIN(1,COS(D21*PI()/180)*COS(I21*PI()/180)*COS((H21-C21)*PI()/180)+SIN(D21*PI()/180)*SIN(I21*PI()/180)))</x:f>
        <x:v>82.15331137313247</x:v>
      </x:c>
      <x:c r="K21" s="21" t="n">
        <x:f>'情景参数模板'!$D$31</x:f>
        <x:v>1.2</x:v>
      </x:c>
      <x:c r="L21" s="21" t="n">
        <x:f>J21*K21</x:f>
        <x:v>98.58397364775895</x:v>
      </x:c>
    </x:row>
    <x:row r="22">
      <x:c r="A22" s="17" t="str">
        <x:v>GD01</x:v>
      </x:c>
      <x:c r="B22" s="17" t="str">
        <x:v>广州</x:v>
      </x:c>
      <x:c r="C22" s="24" t="n">
        <x:v>113.2589581</x:v>
      </x:c>
      <x:c r="D22" s="24" t="n">
        <x:v>23.1288429</x:v>
      </x:c>
      <x:c r="E22" s="17" t="str">
        <x:v>C18</x:v>
      </x:c>
      <x:c r="F22" s="17" t="str">
        <x:v>清远虚拟回收/检测中心</x:v>
      </x:c>
      <x:c r="G22" s="17" t="str">
        <x:v>回收中心候选</x:v>
      </x:c>
      <x:c r="H22" s="24" t="n">
        <x:v>113.0505994</x:v>
      </x:c>
      <x:c r="I22" s="24" t="n">
        <x:v>23.6832984</x:v>
      </x:c>
      <x:c r="J22" s="21" t="n">
        <x:f>6371*ACOS(MIN(1,COS(D22*PI()/180)*COS(I22*PI()/180)*COS((H22-C22)*PI()/180)+SIN(D22*PI()/180)*SIN(I22*PI()/180)))</x:f>
        <x:v>65.21589659147114</x:v>
      </x:c>
      <x:c r="K22" s="21" t="n">
        <x:f>'情景参数模板'!$D$31</x:f>
        <x:v>1.2</x:v>
      </x:c>
      <x:c r="L22" s="21" t="n">
        <x:f>J22*K22</x:f>
        <x:v>78.25907590976536</x:v>
      </x:c>
    </x:row>
    <x:row r="23">
      <x:c r="A23" s="17" t="str">
        <x:v>GD01</x:v>
      </x:c>
      <x:c r="B23" s="17" t="str">
        <x:v>广州</x:v>
      </x:c>
      <x:c r="C23" s="24" t="n">
        <x:v>113.2589581</x:v>
      </x:c>
      <x:c r="D23" s="24" t="n">
        <x:v>23.1288429</x:v>
      </x:c>
      <x:c r="E23" s="17" t="str">
        <x:v>C19</x:v>
      </x:c>
      <x:c r="F23" s="17" t="str">
        <x:v>潮州虚拟回收/检测中心</x:v>
      </x:c>
      <x:c r="G23" s="17" t="str">
        <x:v>回收中心候选</x:v>
      </x:c>
      <x:c r="H23" s="24" t="n">
        <x:v>116.6204223</x:v>
      </x:c>
      <x:c r="I23" s="24" t="n">
        <x:v>23.656593</x:v>
      </x:c>
      <x:c r="J23" s="21" t="n">
        <x:f>6371*ACOS(MIN(1,COS(D23*PI()/180)*COS(I23*PI()/180)*COS((H23-C23)*PI()/180)+SIN(D23*PI()/180)*SIN(I23*PI()/180)))</x:f>
        <x:v>348.02861264383995</x:v>
      </x:c>
      <x:c r="K23" s="21" t="n">
        <x:f>'情景参数模板'!$D$31</x:f>
        <x:v>1.2</x:v>
      </x:c>
      <x:c r="L23" s="21" t="n">
        <x:f>J23*K23</x:f>
        <x:v>417.6343351726079</x:v>
      </x:c>
    </x:row>
    <x:row r="24">
      <x:c r="A24" s="17" t="str">
        <x:v>GD01</x:v>
      </x:c>
      <x:c r="B24" s="17" t="str">
        <x:v>广州</x:v>
      </x:c>
      <x:c r="C24" s="24" t="n">
        <x:v>113.2589581</x:v>
      </x:c>
      <x:c r="D24" s="24" t="n">
        <x:v>23.1288429</x:v>
      </x:c>
      <x:c r="E24" s="17" t="str">
        <x:v>C20</x:v>
      </x:c>
      <x:c r="F24" s="17" t="str">
        <x:v>揭阳虚拟回收/检测中心</x:v>
      </x:c>
      <x:c r="G24" s="17" t="str">
        <x:v>回收中心候选</x:v>
      </x:c>
      <x:c r="H24" s="24" t="n">
        <x:v>116.3680354</x:v>
      </x:c>
      <x:c r="I24" s="24" t="n">
        <x:v>23.553156</x:v>
      </x:c>
      <x:c r="J24" s="21" t="n">
        <x:f>6371*ACOS(MIN(1,COS(D24*PI()/180)*COS(I24*PI()/180)*COS((H24-C24)*PI()/180)+SIN(D24*PI()/180)*SIN(I24*PI()/180)))</x:f>
        <x:v>320.9016901068273</x:v>
      </x:c>
      <x:c r="K24" s="21" t="n">
        <x:f>'情景参数模板'!$D$31</x:f>
        <x:v>1.2</x:v>
      </x:c>
      <x:c r="L24" s="21" t="n">
        <x:f>J24*K24</x:f>
        <x:v>385.08202812819275</x:v>
      </x:c>
    </x:row>
    <x:row r="25">
      <x:c r="A25" s="17" t="str">
        <x:v>GD01</x:v>
      </x:c>
      <x:c r="B25" s="17" t="str">
        <x:v>广州</x:v>
      </x:c>
      <x:c r="C25" s="24" t="n">
        <x:v>113.2589581</x:v>
      </x:c>
      <x:c r="D25" s="24" t="n">
        <x:v>23.1288429</x:v>
      </x:c>
      <x:c r="E25" s="17" t="str">
        <x:v>C21</x:v>
      </x:c>
      <x:c r="F25" s="17" t="str">
        <x:v>云浮虚拟回收/检测中心</x:v>
      </x:c>
      <x:c r="G25" s="17" t="str">
        <x:v>回收中心候选</x:v>
      </x:c>
      <x:c r="H25" s="24" t="n">
        <x:v>111.8078586</x:v>
      </x:c>
      <x:c r="I25" s="24" t="n">
        <x:v>22.8546663</x:v>
      </x:c>
      <x:c r="J25" s="21" t="n">
        <x:f>6371*ACOS(MIN(1,COS(D25*PI()/180)*COS(I25*PI()/180)*COS((H25-C25)*PI()/180)+SIN(D25*PI()/180)*SIN(I25*PI()/180)))</x:f>
        <x:v>151.63267515894688</x:v>
      </x:c>
      <x:c r="K25" s="21" t="n">
        <x:f>'情景参数模板'!$D$31</x:f>
        <x:v>1.2</x:v>
      </x:c>
      <x:c r="L25" s="21" t="n">
        <x:f>J25*K25</x:f>
        <x:v>181.95921019073626</x:v>
      </x:c>
    </x:row>
    <x:row r="26">
      <x:c r="A26" s="17" t="str">
        <x:v>GD01</x:v>
      </x:c>
      <x:c r="B26" s="17" t="str">
        <x:v>广州</x:v>
      </x:c>
      <x:c r="C26" s="24" t="n">
        <x:v>113.2589581</x:v>
      </x:c>
      <x:c r="D26" s="24" t="n">
        <x:v>23.1288429</x:v>
      </x:c>
      <x:c r="E26" s="17" t="str">
        <x:v>P01</x:v>
      </x:c>
      <x:c r="F26" s="17" t="str">
        <x:v>汕尾比亚迪废旧动力电池回收项目</x:v>
      </x:c>
      <x:c r="G26" s="17" t="str">
        <x:v>再生利用</x:v>
      </x:c>
      <x:c r="H26" s="24" t="n">
        <x:v>115.3492668</x:v>
      </x:c>
      <x:c r="I26" s="24" t="n">
        <x:v>22.838065</x:v>
      </x:c>
      <x:c r="J26" s="21" t="n">
        <x:f>6371*ACOS(MIN(1,COS(D26*PI()/180)*COS(I26*PI()/180)*COS((H26-C26)*PI()/180)+SIN(D26*PI()/180)*SIN(I26*PI()/180)))</x:f>
        <x:v>216.40762200440778</x:v>
      </x:c>
      <x:c r="K26" s="21" t="n">
        <x:f>'情景参数模板'!$D$31</x:f>
        <x:v>1.2</x:v>
      </x:c>
      <x:c r="L26" s="21" t="n">
        <x:f>J26*K26</x:f>
        <x:v>259.6891464052893</x:v>
      </x:c>
    </x:row>
    <x:row r="27">
      <x:c r="A27" s="17" t="str">
        <x:v>GD01</x:v>
      </x:c>
      <x:c r="B27" s="17" t="str">
        <x:v>广州</x:v>
      </x:c>
      <x:c r="C27" s="24" t="n">
        <x:v>113.2589581</x:v>
      </x:c>
      <x:c r="D27" s="24" t="n">
        <x:v>23.1288429</x:v>
      </x:c>
      <x:c r="E27" s="17" t="str">
        <x:v>P02E</x:v>
      </x:c>
      <x:c r="F27" s="17" t="str">
        <x:v>广东光华科技股份有限公司（梯次功能）</x:v>
      </x:c>
      <x:c r="G27" s="17" t="str">
        <x:v>梯次利用</x:v>
      </x:c>
      <x:c r="H27" s="24" t="n">
        <x:v>116.6775856</x:v>
      </x:c>
      <x:c r="I27" s="24" t="n">
        <x:v>23.3563921</x:v>
      </x:c>
      <x:c r="J27" s="21" t="n">
        <x:f>6371*ACOS(MIN(1,COS(D27*PI()/180)*COS(I27*PI()/180)*COS((H27-C27)*PI()/180)+SIN(D27*PI()/180)*SIN(I27*PI()/180)))</x:f>
        <x:v>350.1899949540084</x:v>
      </x:c>
      <x:c r="K27" s="21" t="n">
        <x:f>'情景参数模板'!$D$31</x:f>
        <x:v>1.2</x:v>
      </x:c>
      <x:c r="L27" s="21" t="n">
        <x:f>J27*K27</x:f>
        <x:v>420.22799394481007</x:v>
      </x:c>
    </x:row>
    <x:row r="28">
      <x:c r="A28" s="17" t="str">
        <x:v>GD01</x:v>
      </x:c>
      <x:c r="B28" s="17" t="str">
        <x:v>广州</x:v>
      </x:c>
      <x:c r="C28" s="24" t="n">
        <x:v>113.2589581</x:v>
      </x:c>
      <x:c r="D28" s="24" t="n">
        <x:v>23.1288429</x:v>
      </x:c>
      <x:c r="E28" s="17" t="str">
        <x:v>P02R</x:v>
      </x:c>
      <x:c r="F28" s="17" t="str">
        <x:v>广东光华科技股份有限公司（再生功能）</x:v>
      </x:c>
      <x:c r="G28" s="17" t="str">
        <x:v>再生利用</x:v>
      </x:c>
      <x:c r="H28" s="24" t="n">
        <x:v>116.6775856</x:v>
      </x:c>
      <x:c r="I28" s="24" t="n">
        <x:v>23.3563921</x:v>
      </x:c>
      <x:c r="J28" s="21" t="n">
        <x:f>6371*ACOS(MIN(1,COS(D28*PI()/180)*COS(I28*PI()/180)*COS((H28-C28)*PI()/180)+SIN(D28*PI()/180)*SIN(I28*PI()/180)))</x:f>
        <x:v>350.1899949540084</x:v>
      </x:c>
      <x:c r="K28" s="21" t="n">
        <x:f>'情景参数模板'!$D$31</x:f>
        <x:v>1.2</x:v>
      </x:c>
      <x:c r="L28" s="21" t="n">
        <x:f>J28*K28</x:f>
        <x:v>420.22799394481007</x:v>
      </x:c>
    </x:row>
    <x:row r="29">
      <x:c r="A29" s="17" t="str">
        <x:v>GD01</x:v>
      </x:c>
      <x:c r="B29" s="17" t="str">
        <x:v>广州</x:v>
      </x:c>
      <x:c r="C29" s="24" t="n">
        <x:v>113.2589581</x:v>
      </x:c>
      <x:c r="D29" s="24" t="n">
        <x:v>23.1288429</x:v>
      </x:c>
      <x:c r="E29" s="17" t="str">
        <x:v>P03</x:v>
      </x:c>
      <x:c r="F29" s="17" t="str">
        <x:v>深圳深汕特别合作区乾泰技术有限公司</x:v>
      </x:c>
      <x:c r="G29" s="17" t="str">
        <x:v>梯次利用</x:v>
      </x:c>
      <x:c r="H29" s="24" t="n">
        <x:v>115.5099937</x:v>
      </x:c>
      <x:c r="I29" s="24" t="n">
        <x:v>23.0123639</x:v>
      </x:c>
      <x:c r="J29" s="21" t="n">
        <x:f>6371*ACOS(MIN(1,COS(D29*PI()/180)*COS(I29*PI()/180)*COS((H29-C29)*PI()/180)+SIN(D29*PI()/180)*SIN(I29*PI()/180)))</x:f>
        <x:v>230.6467190844284</x:v>
      </x:c>
      <x:c r="K29" s="21" t="n">
        <x:f>'情景参数模板'!$D$31</x:f>
        <x:v>1.2</x:v>
      </x:c>
      <x:c r="L29" s="21" t="n">
        <x:f>J29*K29</x:f>
        <x:v>276.7760629013141</x:v>
      </x:c>
    </x:row>
    <x:row r="30">
      <x:c r="A30" s="17" t="str">
        <x:v>GD01</x:v>
      </x:c>
      <x:c r="B30" s="17" t="str">
        <x:v>广州</x:v>
      </x:c>
      <x:c r="C30" s="24" t="n">
        <x:v>113.2589581</x:v>
      </x:c>
      <x:c r="D30" s="24" t="n">
        <x:v>23.1288429</x:v>
      </x:c>
      <x:c r="E30" s="17" t="str">
        <x:v>P04</x:v>
      </x:c>
      <x:c r="F30" s="17" t="str">
        <x:v>珠海中力新能源科技有限公司</x:v>
      </x:c>
      <x:c r="G30" s="17" t="str">
        <x:v>梯次利用</x:v>
      </x:c>
      <x:c r="H30" s="24" t="n">
        <x:v>113.5721327</x:v>
      </x:c>
      <x:c r="I30" s="24" t="n">
        <x:v>22.273734</x:v>
      </x:c>
      <x:c r="J30" s="21" t="n">
        <x:f>6371*ACOS(MIN(1,COS(D30*PI()/180)*COS(I30*PI()/180)*COS((H30-C30)*PI()/180)+SIN(D30*PI()/180)*SIN(I30*PI()/180)))</x:f>
        <x:v>100.36408935304908</x:v>
      </x:c>
      <x:c r="K30" s="21" t="n">
        <x:f>'情景参数模板'!$D$31</x:f>
        <x:v>1.2</x:v>
      </x:c>
      <x:c r="L30" s="21" t="n">
        <x:f>J30*K30</x:f>
        <x:v>120.43690722365889</x:v>
      </x:c>
    </x:row>
    <x:row r="31">
      <x:c r="A31" s="17" t="str">
        <x:v>GD01</x:v>
      </x:c>
      <x:c r="B31" s="17" t="str">
        <x:v>广州</x:v>
      </x:c>
      <x:c r="C31" s="24" t="n">
        <x:v>113.2589581</x:v>
      </x:c>
      <x:c r="D31" s="24" t="n">
        <x:v>23.1288429</x:v>
      </x:c>
      <x:c r="E31" s="17" t="str">
        <x:v>P05</x:v>
      </x:c>
      <x:c r="F31" s="17" t="str">
        <x:v>惠州市恒创睿能环保科技有限公司</x:v>
      </x:c>
      <x:c r="G31" s="17" t="str">
        <x:v>梯次利用</x:v>
      </x:c>
      <x:c r="H31" s="24" t="n">
        <x:v>114.4127007</x:v>
      </x:c>
      <x:c r="I31" s="24" t="n">
        <x:v>23.1125153</x:v>
      </x:c>
      <x:c r="J31" s="21" t="n">
        <x:f>6371*ACOS(MIN(1,COS(D31*PI()/180)*COS(I31*PI()/180)*COS((H31-C31)*PI()/180)+SIN(D31*PI()/180)*SIN(I31*PI()/180)))</x:f>
        <x:v>117.99968375716887</x:v>
      </x:c>
      <x:c r="K31" s="21" t="n">
        <x:f>'情景参数模板'!$D$31</x:f>
        <x:v>1.2</x:v>
      </x:c>
      <x:c r="L31" s="21" t="n">
        <x:f>J31*K31</x:f>
        <x:v>141.59962050860264</x:v>
      </x:c>
    </x:row>
    <x:row r="32">
      <x:c r="A32" s="17" t="str">
        <x:v>GD01</x:v>
      </x:c>
      <x:c r="B32" s="17" t="str">
        <x:v>广州</x:v>
      </x:c>
      <x:c r="C32" s="24" t="n">
        <x:v>113.2589581</x:v>
      </x:c>
      <x:c r="D32" s="24" t="n">
        <x:v>23.1288429</x:v>
      </x:c>
      <x:c r="E32" s="17" t="str">
        <x:v>P06</x:v>
      </x:c>
      <x:c r="F32" s="17" t="str">
        <x:v>江门市朗达锂电池有限公司</x:v>
      </x:c>
      <x:c r="G32" s="17" t="str">
        <x:v>梯次利用</x:v>
      </x:c>
      <x:c r="H32" s="24" t="n">
        <x:v>113.0761073</x:v>
      </x:c>
      <x:c r="I32" s="24" t="n">
        <x:v>22.5816619</x:v>
      </x:c>
      <x:c r="J32" s="21" t="n">
        <x:f>6371*ACOS(MIN(1,COS(D32*PI()/180)*COS(I32*PI()/180)*COS((H32-C32)*PI()/180)+SIN(D32*PI()/180)*SIN(I32*PI()/180)))</x:f>
        <x:v>63.663079882234</x:v>
      </x:c>
      <x:c r="K32" s="21" t="n">
        <x:f>'情景参数模板'!$D$31</x:f>
        <x:v>1.2</x:v>
      </x:c>
      <x:c r="L32" s="21" t="n">
        <x:f>J32*K32</x:f>
        <x:v>76.3956958586808</x:v>
      </x:c>
    </x:row>
    <x:row r="33">
      <x:c r="A33" s="17" t="str">
        <x:v>GD01</x:v>
      </x:c>
      <x:c r="B33" s="17" t="str">
        <x:v>广州</x:v>
      </x:c>
      <x:c r="C33" s="24" t="n">
        <x:v>113.2589581</x:v>
      </x:c>
      <x:c r="D33" s="24" t="n">
        <x:v>23.1288429</x:v>
      </x:c>
      <x:c r="E33" s="17" t="str">
        <x:v>P07</x:v>
      </x:c>
      <x:c r="F33" s="17" t="str">
        <x:v>广东迪度新能源有限公司</x:v>
      </x:c>
      <x:c r="G33" s="17" t="str">
        <x:v>梯次利用</x:v>
      </x:c>
      <x:c r="H33" s="24" t="n">
        <x:v>113.7452332</x:v>
      </x:c>
      <x:c r="I33" s="24" t="n">
        <x:v>23.0183568</x:v>
      </x:c>
      <x:c r="J33" s="21" t="n">
        <x:f>6371*ACOS(MIN(1,COS(D33*PI()/180)*COS(I33*PI()/180)*COS((H33-C33)*PI()/180)+SIN(D33*PI()/180)*SIN(I33*PI()/180)))</x:f>
        <x:v>51.240297874016186</x:v>
      </x:c>
      <x:c r="K33" s="21" t="n">
        <x:f>'情景参数模板'!$D$31</x:f>
        <x:v>1.2</x:v>
      </x:c>
      <x:c r="L33" s="21" t="n">
        <x:f>J33*K33</x:f>
        <x:v>61.48835744881942</x:v>
      </x:c>
    </x:row>
    <x:row r="34">
      <x:c r="A34" s="17" t="str">
        <x:v>GD01</x:v>
      </x:c>
      <x:c r="B34" s="17" t="str">
        <x:v>广州</x:v>
      </x:c>
      <x:c r="C34" s="24" t="n">
        <x:v>113.2589581</x:v>
      </x:c>
      <x:c r="D34" s="24" t="n">
        <x:v>23.1288429</x:v>
      </x:c>
      <x:c r="E34" s="17" t="str">
        <x:v>P08</x:v>
      </x:c>
      <x:c r="F34" s="17" t="str">
        <x:v>东莞市博森新能源有限公司</x:v>
      </x:c>
      <x:c r="G34" s="17" t="str">
        <x:v>梯次利用</x:v>
      </x:c>
      <x:c r="H34" s="24" t="n">
        <x:v>113.7452332</x:v>
      </x:c>
      <x:c r="I34" s="24" t="n">
        <x:v>23.0183568</x:v>
      </x:c>
      <x:c r="J34" s="21" t="n">
        <x:f>6371*ACOS(MIN(1,COS(D34*PI()/180)*COS(I34*PI()/180)*COS((H34-C34)*PI()/180)+SIN(D34*PI()/180)*SIN(I34*PI()/180)))</x:f>
        <x:v>51.240297874016186</x:v>
      </x:c>
      <x:c r="K34" s="21" t="n">
        <x:f>'情景参数模板'!$D$31</x:f>
        <x:v>1.2</x:v>
      </x:c>
      <x:c r="L34" s="21" t="n">
        <x:f>J34*K34</x:f>
        <x:v>61.48835744881942</x:v>
      </x:c>
    </x:row>
    <x:row r="35">
      <x:c r="A35" s="17" t="str">
        <x:v>GD01</x:v>
      </x:c>
      <x:c r="B35" s="17" t="str">
        <x:v>广州</x:v>
      </x:c>
      <x:c r="C35" s="24" t="n">
        <x:v>113.2589581</x:v>
      </x:c>
      <x:c r="D35" s="24" t="n">
        <x:v>23.1288429</x:v>
      </x:c>
      <x:c r="E35" s="17" t="str">
        <x:v>P09</x:v>
      </x:c>
      <x:c r="F35" s="17" t="str">
        <x:v>广东宇阳新能源有限公司</x:v>
      </x:c>
      <x:c r="G35" s="17" t="str">
        <x:v>梯次利用</x:v>
      </x:c>
      <x:c r="H35" s="24" t="n">
        <x:v>113.7452332</x:v>
      </x:c>
      <x:c r="I35" s="24" t="n">
        <x:v>23.0183568</x:v>
      </x:c>
      <x:c r="J35" s="21" t="n">
        <x:f>6371*ACOS(MIN(1,COS(D35*PI()/180)*COS(I35*PI()/180)*COS((H35-C35)*PI()/180)+SIN(D35*PI()/180)*SIN(I35*PI()/180)))</x:f>
        <x:v>51.240297874016186</x:v>
      </x:c>
      <x:c r="K35" s="21" t="n">
        <x:f>'情景参数模板'!$D$31</x:f>
        <x:v>1.2</x:v>
      </x:c>
      <x:c r="L35" s="21" t="n">
        <x:f>J35*K35</x:f>
        <x:v>61.48835744881942</x:v>
      </x:c>
    </x:row>
    <x:row r="36">
      <x:c r="A36" s="17" t="str">
        <x:v>GD01</x:v>
      </x:c>
      <x:c r="B36" s="17" t="str">
        <x:v>广州</x:v>
      </x:c>
      <x:c r="C36" s="24" t="n">
        <x:v>113.2589581</x:v>
      </x:c>
      <x:c r="D36" s="24" t="n">
        <x:v>23.1288429</x:v>
      </x:c>
      <x:c r="E36" s="17" t="str">
        <x:v>P10</x:v>
      </x:c>
      <x:c r="F36" s="17" t="str">
        <x:v>广州广汽商贸再生资源有限公司</x:v>
      </x:c>
      <x:c r="G36" s="17" t="str">
        <x:v>梯次利用</x:v>
      </x:c>
      <x:c r="H36" s="24" t="n">
        <x:v>113.2589581</x:v>
      </x:c>
      <x:c r="I36" s="24" t="n">
        <x:v>23.1288429</x:v>
      </x:c>
      <x:c r="J36" s="21" t="n">
        <x:f>6371*ACOS(MIN(1,COS(D36*PI()/180)*COS(I36*PI()/180)*COS((H36-C36)*PI()/180)+SIN(D36*PI()/180)*SIN(I36*PI()/180)))</x:f>
        <x:v>0</x:v>
      </x:c>
      <x:c r="K36" s="21" t="n">
        <x:f>'情景参数模板'!$D$31</x:f>
        <x:v>1.2</x:v>
      </x:c>
      <x:c r="L36" s="21" t="n">
        <x:f>J36*K36</x:f>
        <x:v>0</x:v>
      </x:c>
    </x:row>
    <x:row r="37">
      <x:c r="A37" s="17" t="str">
        <x:v>GD01</x:v>
      </x:c>
      <x:c r="B37" s="17" t="str">
        <x:v>广州</x:v>
      </x:c>
      <x:c r="C37" s="24" t="n">
        <x:v>113.2589581</x:v>
      </x:c>
      <x:c r="D37" s="24" t="n">
        <x:v>23.1288429</x:v>
      </x:c>
      <x:c r="E37" s="17" t="str">
        <x:v>P11</x:v>
      </x:c>
      <x:c r="F37" s="17" t="str">
        <x:v>深圳市杰成镍钴新能源科技有限公司</x:v>
      </x:c>
      <x:c r="G37" s="17" t="str">
        <x:v>梯次利用</x:v>
      </x:c>
      <x:c r="H37" s="24" t="n">
        <x:v>114.0545429</x:v>
      </x:c>
      <x:c r="I37" s="24" t="n">
        <x:v>22.5445741</x:v>
      </x:c>
      <x:c r="J37" s="21" t="n">
        <x:f>6371*ACOS(MIN(1,COS(D37*PI()/180)*COS(I37*PI()/180)*COS((H37-C37)*PI()/180)+SIN(D37*PI()/180)*SIN(I37*PI()/180)))</x:f>
        <x:v>104.24944100592228</x:v>
      </x:c>
      <x:c r="K37" s="21" t="n">
        <x:f>'情景参数模板'!$D$31</x:f>
        <x:v>1.2</x:v>
      </x:c>
      <x:c r="L37" s="21" t="n">
        <x:f>J37*K37</x:f>
        <x:v>125.09932920710673</x:v>
      </x:c>
    </x:row>
    <x:row r="38">
      <x:c r="A38" s="17" t="str">
        <x:v>GD01</x:v>
      </x:c>
      <x:c r="B38" s="17" t="str">
        <x:v>广州</x:v>
      </x:c>
      <x:c r="C38" s="24" t="n">
        <x:v>113.2589581</x:v>
      </x:c>
      <x:c r="D38" s="24" t="n">
        <x:v>23.1288429</x:v>
      </x:c>
      <x:c r="E38" s="17" t="str">
        <x:v>P12</x:v>
      </x:c>
      <x:c r="F38" s="17" t="str">
        <x:v>江门市恒创睿能环保科技有限公司</x:v>
      </x:c>
      <x:c r="G38" s="17" t="str">
        <x:v>再生利用</x:v>
      </x:c>
      <x:c r="H38" s="24" t="n">
        <x:v>113.0761073</x:v>
      </x:c>
      <x:c r="I38" s="24" t="n">
        <x:v>22.5816619</x:v>
      </x:c>
      <x:c r="J38" s="21" t="n">
        <x:f>6371*ACOS(MIN(1,COS(D38*PI()/180)*COS(I38*PI()/180)*COS((H38-C38)*PI()/180)+SIN(D38*PI()/180)*SIN(I38*PI()/180)))</x:f>
        <x:v>63.663079882234</x:v>
      </x:c>
      <x:c r="K38" s="21" t="n">
        <x:f>'情景参数模板'!$D$31</x:f>
        <x:v>1.2</x:v>
      </x:c>
      <x:c r="L38" s="21" t="n">
        <x:f>J38*K38</x:f>
        <x:v>76.3956958586808</x:v>
      </x:c>
    </x:row>
    <x:row r="39">
      <x:c r="A39" s="17" t="str">
        <x:v>GD01</x:v>
      </x:c>
      <x:c r="B39" s="17" t="str">
        <x:v>广州</x:v>
      </x:c>
      <x:c r="C39" s="24" t="n">
        <x:v>113.2589581</x:v>
      </x:c>
      <x:c r="D39" s="24" t="n">
        <x:v>23.1288429</x:v>
      </x:c>
      <x:c r="E39" s="17" t="str">
        <x:v>P13</x:v>
      </x:c>
      <x:c r="F39" s="17" t="str">
        <x:v>广东佳纳能源科技有限公司</x:v>
      </x:c>
      <x:c r="G39" s="17" t="str">
        <x:v>再生利用</x:v>
      </x:c>
      <x:c r="H39" s="24" t="n">
        <x:v>113.0505994</x:v>
      </x:c>
      <x:c r="I39" s="24" t="n">
        <x:v>23.6832984</x:v>
      </x:c>
      <x:c r="J39" s="21" t="n">
        <x:f>6371*ACOS(MIN(1,COS(D39*PI()/180)*COS(I39*PI()/180)*COS((H39-C39)*PI()/180)+SIN(D39*PI()/180)*SIN(I39*PI()/180)))</x:f>
        <x:v>65.21589659147114</x:v>
      </x:c>
      <x:c r="K39" s="21" t="n">
        <x:f>'情景参数模板'!$D$31</x:f>
        <x:v>1.2</x:v>
      </x:c>
      <x:c r="L39" s="21" t="n">
        <x:f>J39*K39</x:f>
        <x:v>78.25907590976536</x:v>
      </x:c>
    </x:row>
    <x:row r="40">
      <x:c r="A40" s="17" t="str">
        <x:v>GD01</x:v>
      </x:c>
      <x:c r="B40" s="17" t="str">
        <x:v>广州</x:v>
      </x:c>
      <x:c r="C40" s="24" t="n">
        <x:v>113.2589581</x:v>
      </x:c>
      <x:c r="D40" s="24" t="n">
        <x:v>23.1288429</x:v>
      </x:c>
      <x:c r="E40" s="17" t="str">
        <x:v>P14</x:v>
      </x:c>
      <x:c r="F40" s="17" t="str">
        <x:v>格林美（深圳）循环科技有限公司</x:v>
      </x:c>
      <x:c r="G40" s="17" t="str">
        <x:v>梯次利用</x:v>
      </x:c>
      <x:c r="H40" s="24" t="n">
        <x:v>114.0545429</x:v>
      </x:c>
      <x:c r="I40" s="24" t="n">
        <x:v>22.5445741</x:v>
      </x:c>
      <x:c r="J40" s="21" t="n">
        <x:f>6371*ACOS(MIN(1,COS(D40*PI()/180)*COS(I40*PI()/180)*COS((H40-C40)*PI()/180)+SIN(D40*PI()/180)*SIN(I40*PI()/180)))</x:f>
        <x:v>104.24944100592228</x:v>
      </x:c>
      <x:c r="K40" s="21" t="n">
        <x:f>'情景参数模板'!$D$31</x:f>
        <x:v>1.2</x:v>
      </x:c>
      <x:c r="L40" s="21" t="n">
        <x:f>J40*K40</x:f>
        <x:v>125.09932920710673</x:v>
      </x:c>
    </x:row>
    <x:row r="41">
      <x:c r="A41" s="17" t="str">
        <x:v>GD01</x:v>
      </x:c>
      <x:c r="B41" s="17" t="str">
        <x:v>广州</x:v>
      </x:c>
      <x:c r="C41" s="24" t="n">
        <x:v>113.2589581</x:v>
      </x:c>
      <x:c r="D41" s="24" t="n">
        <x:v>23.1288429</x:v>
      </x:c>
      <x:c r="E41" s="17" t="str">
        <x:v>P15</x:v>
      </x:c>
      <x:c r="F41" s="17" t="str">
        <x:v>绿循新能源科技（佛山）有限责任公司</x:v>
      </x:c>
      <x:c r="G41" s="17" t="str">
        <x:v>梯次利用</x:v>
      </x:c>
      <x:c r="H41" s="24" t="n">
        <x:v>113.1159558</x:v>
      </x:c>
      <x:c r="I41" s="24" t="n">
        <x:v>23.0239788</x:v>
      </x:c>
      <x:c r="J41" s="21" t="n">
        <x:f>6371*ACOS(MIN(1,COS(D41*PI()/180)*COS(I41*PI()/180)*COS((H41-C41)*PI()/180)+SIN(D41*PI()/180)*SIN(I41*PI()/180)))</x:f>
        <x:v>18.707342512999915</x:v>
      </x:c>
      <x:c r="K41" s="21" t="n">
        <x:f>'情景参数模板'!$D$31</x:f>
        <x:v>1.2</x:v>
      </x:c>
      <x:c r="L41" s="21" t="n">
        <x:f>J41*K41</x:f>
        <x:v>22.448811015599897</x:v>
      </x:c>
    </x:row>
    <x:row r="42">
      <x:c r="A42" s="17" t="str">
        <x:v>GD01</x:v>
      </x:c>
      <x:c r="B42" s="17" t="str">
        <x:v>广州</x:v>
      </x:c>
      <x:c r="C42" s="24" t="n">
        <x:v>113.2589581</x:v>
      </x:c>
      <x:c r="D42" s="24" t="n">
        <x:v>23.1288429</x:v>
      </x:c>
      <x:c r="E42" s="17" t="str">
        <x:v>P16</x:v>
      </x:c>
      <x:c r="F42" s="17" t="str">
        <x:v>深圳艾云动智慧科技有限公司</x:v>
      </x:c>
      <x:c r="G42" s="17" t="str">
        <x:v>梯次利用</x:v>
      </x:c>
      <x:c r="H42" s="24" t="n">
        <x:v>114.0545429</x:v>
      </x:c>
      <x:c r="I42" s="24" t="n">
        <x:v>22.5445741</x:v>
      </x:c>
      <x:c r="J42" s="21" t="n">
        <x:f>6371*ACOS(MIN(1,COS(D42*PI()/180)*COS(I42*PI()/180)*COS((H42-C42)*PI()/180)+SIN(D42*PI()/180)*SIN(I42*PI()/180)))</x:f>
        <x:v>104.24944100592228</x:v>
      </x:c>
      <x:c r="K42" s="21" t="n">
        <x:f>'情景参数模板'!$D$31</x:f>
        <x:v>1.2</x:v>
      </x:c>
      <x:c r="L42" s="21" t="n">
        <x:f>J42*K42</x:f>
        <x:v>125.09932920710673</x:v>
      </x:c>
    </x:row>
    <x:row r="43">
      <x:c r="A43" s="17" t="str">
        <x:v>GD01</x:v>
      </x:c>
      <x:c r="B43" s="17" t="str">
        <x:v>广州</x:v>
      </x:c>
      <x:c r="C43" s="24" t="n">
        <x:v>113.2589581</x:v>
      </x:c>
      <x:c r="D43" s="24" t="n">
        <x:v>23.1288429</x:v>
      </x:c>
      <x:c r="E43" s="17" t="str">
        <x:v>P17</x:v>
      </x:c>
      <x:c r="F43" s="17" t="str">
        <x:v>深圳市荣高晟新能源科技有限公司</x:v>
      </x:c>
      <x:c r="G43" s="17" t="str">
        <x:v>梯次利用</x:v>
      </x:c>
      <x:c r="H43" s="24" t="n">
        <x:v>114.0545429</x:v>
      </x:c>
      <x:c r="I43" s="24" t="n">
        <x:v>22.5445741</x:v>
      </x:c>
      <x:c r="J43" s="21" t="n">
        <x:f>6371*ACOS(MIN(1,COS(D43*PI()/180)*COS(I43*PI()/180)*COS((H43-C43)*PI()/180)+SIN(D43*PI()/180)*SIN(I43*PI()/180)))</x:f>
        <x:v>104.24944100592228</x:v>
      </x:c>
      <x:c r="K43" s="21" t="n">
        <x:f>'情景参数模板'!$D$31</x:f>
        <x:v>1.2</x:v>
      </x:c>
      <x:c r="L43" s="21" t="n">
        <x:f>J43*K43</x:f>
        <x:v>125.09932920710673</x:v>
      </x:c>
    </x:row>
    <x:row r="44">
      <x:c r="A44" s="17" t="str">
        <x:v>GD01</x:v>
      </x:c>
      <x:c r="B44" s="17" t="str">
        <x:v>广州</x:v>
      </x:c>
      <x:c r="C44" s="24" t="n">
        <x:v>113.2589581</x:v>
      </x:c>
      <x:c r="D44" s="24" t="n">
        <x:v>23.1288429</x:v>
      </x:c>
      <x:c r="E44" s="17" t="str">
        <x:v>P18</x:v>
      </x:c>
      <x:c r="F44" s="17" t="str">
        <x:v>中商锂新能源科技（惠州）有限公司</x:v>
      </x:c>
      <x:c r="G44" s="17" t="str">
        <x:v>梯次利用</x:v>
      </x:c>
      <x:c r="H44" s="24" t="n">
        <x:v>114.4127007</x:v>
      </x:c>
      <x:c r="I44" s="24" t="n">
        <x:v>23.1125153</x:v>
      </x:c>
      <x:c r="J44" s="21" t="n">
        <x:f>6371*ACOS(MIN(1,COS(D44*PI()/180)*COS(I44*PI()/180)*COS((H44-C44)*PI()/180)+SIN(D44*PI()/180)*SIN(I44*PI()/180)))</x:f>
        <x:v>117.99968375716887</x:v>
      </x:c>
      <x:c r="K44" s="21" t="n">
        <x:f>'情景参数模板'!$D$31</x:f>
        <x:v>1.2</x:v>
      </x:c>
      <x:c r="L44" s="21" t="n">
        <x:f>J44*K44</x:f>
        <x:v>141.59962050860264</x:v>
      </x:c>
    </x:row>
    <x:row r="45">
      <x:c r="A45" s="17" t="str">
        <x:v>GD01</x:v>
      </x:c>
      <x:c r="B45" s="17" t="str">
        <x:v>广州</x:v>
      </x:c>
      <x:c r="C45" s="24" t="n">
        <x:v>113.2589581</x:v>
      </x:c>
      <x:c r="D45" s="24" t="n">
        <x:v>23.1288429</x:v>
      </x:c>
      <x:c r="E45" s="17" t="str">
        <x:v>P19</x:v>
      </x:c>
      <x:c r="F45" s="17" t="str">
        <x:v>广东盛祥新材料科技有限公司</x:v>
      </x:c>
      <x:c r="G45" s="17" t="str">
        <x:v>再生利用</x:v>
      </x:c>
      <x:c r="H45" s="24" t="n">
        <x:v>113.8155263</x:v>
      </x:c>
      <x:c r="I45" s="24" t="n">
        <x:v>24.8309489</x:v>
      </x:c>
      <x:c r="J45" s="21" t="n">
        <x:f>6371*ACOS(MIN(1,COS(D45*PI()/180)*COS(I45*PI()/180)*COS((H45-C45)*PI()/180)+SIN(D45*PI()/180)*SIN(I45*PI()/180)))</x:f>
        <x:v>197.53104116353575</x:v>
      </x:c>
      <x:c r="K45" s="21" t="n">
        <x:f>'情景参数模板'!$D$31</x:f>
        <x:v>1.2</x:v>
      </x:c>
      <x:c r="L45" s="21" t="n">
        <x:f>J45*K45</x:f>
        <x:v>237.03724939624288</x:v>
      </x:c>
    </x:row>
    <x:row r="46">
      <x:c r="A46" s="17" t="str">
        <x:v>GD01</x:v>
      </x:c>
      <x:c r="B46" s="17" t="str">
        <x:v>广州</x:v>
      </x:c>
      <x:c r="C46" s="24" t="n">
        <x:v>113.2589581</x:v>
      </x:c>
      <x:c r="D46" s="24" t="n">
        <x:v>23.1288429</x:v>
      </x:c>
      <x:c r="E46" s="17" t="str">
        <x:v>P20E</x:v>
      </x:c>
      <x:c r="F46" s="17" t="str">
        <x:v>广东金晟新能源股份有限公司（梯次功能）</x:v>
      </x:c>
      <x:c r="G46" s="17" t="str">
        <x:v>梯次利用</x:v>
      </x:c>
      <x:c r="H46" s="24" t="n">
        <x:v>112.4603629</x:v>
      </x:c>
      <x:c r="I46" s="24" t="n">
        <x:v>23.0501661</x:v>
      </x:c>
      <x:c r="J46" s="21" t="n">
        <x:f>6371*ACOS(MIN(1,COS(D46*PI()/180)*COS(I46*PI()/180)*COS((H46-C46)*PI()/180)+SIN(D46*PI()/180)*SIN(I46*PI()/180)))</x:f>
        <x:v>82.15331137313247</x:v>
      </x:c>
      <x:c r="K46" s="21" t="n">
        <x:f>'情景参数模板'!$D$31</x:f>
        <x:v>1.2</x:v>
      </x:c>
      <x:c r="L46" s="21" t="n">
        <x:f>J46*K46</x:f>
        <x:v>98.58397364775895</x:v>
      </x:c>
    </x:row>
    <x:row r="47">
      <x:c r="A47" s="17" t="str">
        <x:v>GD01</x:v>
      </x:c>
      <x:c r="B47" s="17" t="str">
        <x:v>广州</x:v>
      </x:c>
      <x:c r="C47" s="24" t="n">
        <x:v>113.2589581</x:v>
      </x:c>
      <x:c r="D47" s="24" t="n">
        <x:v>23.1288429</x:v>
      </x:c>
      <x:c r="E47" s="17" t="str">
        <x:v>P20R</x:v>
      </x:c>
      <x:c r="F47" s="17" t="str">
        <x:v>广东金晟新能源股份有限公司（再生功能）</x:v>
      </x:c>
      <x:c r="G47" s="17" t="str">
        <x:v>再生利用</x:v>
      </x:c>
      <x:c r="H47" s="24" t="n">
        <x:v>112.4603629</x:v>
      </x:c>
      <x:c r="I47" s="24" t="n">
        <x:v>23.0501661</x:v>
      </x:c>
      <x:c r="J47" s="21" t="n">
        <x:f>6371*ACOS(MIN(1,COS(D47*PI()/180)*COS(I47*PI()/180)*COS((H47-C47)*PI()/180)+SIN(D47*PI()/180)*SIN(I47*PI()/180)))</x:f>
        <x:v>82.15331137313247</x:v>
      </x:c>
      <x:c r="K47" s="21" t="n">
        <x:f>'情景参数模板'!$D$31</x:f>
        <x:v>1.2</x:v>
      </x:c>
      <x:c r="L47" s="21" t="n">
        <x:f>J47*K47</x:f>
        <x:v>98.58397364775895</x:v>
      </x:c>
    </x:row>
    <x:row r="48">
      <x:c r="A48" s="17" t="str">
        <x:v>GD01</x:v>
      </x:c>
      <x:c r="B48" s="17" t="str">
        <x:v>广州</x:v>
      </x:c>
      <x:c r="C48" s="24" t="n">
        <x:v>113.2589581</x:v>
      </x:c>
      <x:c r="D48" s="24" t="n">
        <x:v>23.1288429</x:v>
      </x:c>
      <x:c r="E48" s="17" t="str">
        <x:v>P21E</x:v>
      </x:c>
      <x:c r="F48" s="17" t="str">
        <x:v>广东瑞科美电源技术有限公司（梯次功能）</x:v>
      </x:c>
      <x:c r="G48" s="17" t="str">
        <x:v>梯次利用</x:v>
      </x:c>
      <x:c r="H48" s="24" t="n">
        <x:v>113.1159558</x:v>
      </x:c>
      <x:c r="I48" s="24" t="n">
        <x:v>23.0239788</x:v>
      </x:c>
      <x:c r="J48" s="21" t="n">
        <x:f>6371*ACOS(MIN(1,COS(D48*PI()/180)*COS(I48*PI()/180)*COS((H48-C48)*PI()/180)+SIN(D48*PI()/180)*SIN(I48*PI()/180)))</x:f>
        <x:v>18.707342512999915</x:v>
      </x:c>
      <x:c r="K48" s="21" t="n">
        <x:f>'情景参数模板'!$D$31</x:f>
        <x:v>1.2</x:v>
      </x:c>
      <x:c r="L48" s="21" t="n">
        <x:f>J48*K48</x:f>
        <x:v>22.448811015599897</x:v>
      </x:c>
    </x:row>
    <x:row r="49">
      <x:c r="A49" s="17" t="str">
        <x:v>GD01</x:v>
      </x:c>
      <x:c r="B49" s="17" t="str">
        <x:v>广州</x:v>
      </x:c>
      <x:c r="C49" s="24" t="n">
        <x:v>113.2589581</x:v>
      </x:c>
      <x:c r="D49" s="24" t="n">
        <x:v>23.1288429</x:v>
      </x:c>
      <x:c r="E49" s="17" t="str">
        <x:v>P21R</x:v>
      </x:c>
      <x:c r="F49" s="17" t="str">
        <x:v>广东瑞科美电源技术有限公司（再生功能）</x:v>
      </x:c>
      <x:c r="G49" s="17" t="str">
        <x:v>再生利用</x:v>
      </x:c>
      <x:c r="H49" s="24" t="n">
        <x:v>113.1159558</x:v>
      </x:c>
      <x:c r="I49" s="24" t="n">
        <x:v>23.0239788</x:v>
      </x:c>
      <x:c r="J49" s="21" t="n">
        <x:f>6371*ACOS(MIN(1,COS(D49*PI()/180)*COS(I49*PI()/180)*COS((H49-C49)*PI()/180)+SIN(D49*PI()/180)*SIN(I49*PI()/180)))</x:f>
        <x:v>18.707342512999915</x:v>
      </x:c>
      <x:c r="K49" s="21" t="n">
        <x:f>'情景参数模板'!$D$31</x:f>
        <x:v>1.2</x:v>
      </x:c>
      <x:c r="L49" s="21" t="n">
        <x:f>J49*K49</x:f>
        <x:v>22.448811015599897</x:v>
      </x:c>
    </x:row>
    <x:row r="50">
      <x:c r="A50" s="17" t="str">
        <x:v>GD02</x:v>
      </x:c>
      <x:c r="B50" s="17" t="str">
        <x:v>深圳</x:v>
      </x:c>
      <x:c r="C50" s="24" t="n">
        <x:v>114.0545429</x:v>
      </x:c>
      <x:c r="D50" s="24" t="n">
        <x:v>22.5445741</x:v>
      </x:c>
      <x:c r="E50" s="17" t="str">
        <x:v>C01</x:v>
      </x:c>
      <x:c r="F50" s="17" t="str">
        <x:v>广州虚拟回收/检测中心</x:v>
      </x:c>
      <x:c r="G50" s="17" t="str">
        <x:v>回收中心候选</x:v>
      </x:c>
      <x:c r="H50" s="24" t="n">
        <x:v>113.2589581</x:v>
      </x:c>
      <x:c r="I50" s="24" t="n">
        <x:v>23.1288429</x:v>
      </x:c>
      <x:c r="J50" s="21" t="n">
        <x:f>6371*ACOS(MIN(1,COS(D50*PI()/180)*COS(I50*PI()/180)*COS((H50-C50)*PI()/180)+SIN(D50*PI()/180)*SIN(I50*PI()/180)))</x:f>
        <x:v>104.24944100592228</x:v>
      </x:c>
      <x:c r="K50" s="21" t="n">
        <x:f>'情景参数模板'!$D$31</x:f>
        <x:v>1.2</x:v>
      </x:c>
      <x:c r="L50" s="21" t="n">
        <x:f>J50*K50</x:f>
        <x:v>125.09932920710673</x:v>
      </x:c>
    </x:row>
    <x:row r="51">
      <x:c r="A51" s="17" t="str">
        <x:v>GD02</x:v>
      </x:c>
      <x:c r="B51" s="17" t="str">
        <x:v>深圳</x:v>
      </x:c>
      <x:c r="C51" s="24" t="n">
        <x:v>114.0545429</x:v>
      </x:c>
      <x:c r="D51" s="24" t="n">
        <x:v>22.5445741</x:v>
      </x:c>
      <x:c r="E51" s="17" t="str">
        <x:v>C02</x:v>
      </x:c>
      <x:c r="F51" s="17" t="str">
        <x:v>深圳虚拟回收/检测中心</x:v>
      </x:c>
      <x:c r="G51" s="17" t="str">
        <x:v>回收中心候选</x:v>
      </x:c>
      <x:c r="H51" s="24" t="n">
        <x:v>114.0545429</x:v>
      </x:c>
      <x:c r="I51" s="24" t="n">
        <x:v>22.5445741</x:v>
      </x:c>
      <x:c r="J51" s="21" t="n">
        <x:f>6371*ACOS(MIN(1,COS(D51*PI()/180)*COS(I51*PI()/180)*COS((H51-C51)*PI()/180)+SIN(D51*PI()/180)*SIN(I51*PI()/180)))</x:f>
        <x:v>0</x:v>
      </x:c>
      <x:c r="K51" s="21" t="n">
        <x:f>'情景参数模板'!$D$31</x:f>
        <x:v>1.2</x:v>
      </x:c>
      <x:c r="L51" s="21" t="n">
        <x:f>J51*K51</x:f>
        <x:v>0</x:v>
      </x:c>
    </x:row>
    <x:row r="52">
      <x:c r="A52" s="17" t="str">
        <x:v>GD02</x:v>
      </x:c>
      <x:c r="B52" s="17" t="str">
        <x:v>深圳</x:v>
      </x:c>
      <x:c r="C52" s="24" t="n">
        <x:v>114.0545429</x:v>
      </x:c>
      <x:c r="D52" s="24" t="n">
        <x:v>22.5445741</x:v>
      </x:c>
      <x:c r="E52" s="17" t="str">
        <x:v>C03</x:v>
      </x:c>
      <x:c r="F52" s="17" t="str">
        <x:v>珠海虚拟回收/检测中心</x:v>
      </x:c>
      <x:c r="G52" s="17" t="str">
        <x:v>回收中心候选</x:v>
      </x:c>
      <x:c r="H52" s="24" t="n">
        <x:v>113.5721327</x:v>
      </x:c>
      <x:c r="I52" s="24" t="n">
        <x:v>22.273734</x:v>
      </x:c>
      <x:c r="J52" s="21" t="n">
        <x:f>6371*ACOS(MIN(1,COS(D52*PI()/180)*COS(I52*PI()/180)*COS((H52-C52)*PI()/180)+SIN(D52*PI()/180)*SIN(I52*PI()/180)))</x:f>
        <x:v>58.019114911578654</x:v>
      </x:c>
      <x:c r="K52" s="21" t="n">
        <x:f>'情景参数模板'!$D$31</x:f>
        <x:v>1.2</x:v>
      </x:c>
      <x:c r="L52" s="21" t="n">
        <x:f>J52*K52</x:f>
        <x:v>69.62293789389439</x:v>
      </x:c>
    </x:row>
    <x:row r="53">
      <x:c r="A53" s="17" t="str">
        <x:v>GD02</x:v>
      </x:c>
      <x:c r="B53" s="17" t="str">
        <x:v>深圳</x:v>
      </x:c>
      <x:c r="C53" s="24" t="n">
        <x:v>114.0545429</x:v>
      </x:c>
      <x:c r="D53" s="24" t="n">
        <x:v>22.5445741</x:v>
      </x:c>
      <x:c r="E53" s="17" t="str">
        <x:v>C04</x:v>
      </x:c>
      <x:c r="F53" s="17" t="str">
        <x:v>汕头虚拟回收/检测中心</x:v>
      </x:c>
      <x:c r="G53" s="17" t="str">
        <x:v>回收中心候选</x:v>
      </x:c>
      <x:c r="H53" s="24" t="n">
        <x:v>116.6775856</x:v>
      </x:c>
      <x:c r="I53" s="24" t="n">
        <x:v>23.3563921</x:v>
      </x:c>
      <x:c r="J53" s="21" t="n">
        <x:f>6371*ACOS(MIN(1,COS(D53*PI()/180)*COS(I53*PI()/180)*COS((H53-C53)*PI()/180)+SIN(D53*PI()/180)*SIN(I53*PI()/180)))</x:f>
        <x:v>283.33857381725</x:v>
      </x:c>
      <x:c r="K53" s="21" t="n">
        <x:f>'情景参数模板'!$D$31</x:f>
        <x:v>1.2</x:v>
      </x:c>
      <x:c r="L53" s="21" t="n">
        <x:f>J53*K53</x:f>
        <x:v>340.00628858069996</x:v>
      </x:c>
    </x:row>
    <x:row r="54">
      <x:c r="A54" s="17" t="str">
        <x:v>GD02</x:v>
      </x:c>
      <x:c r="B54" s="17" t="str">
        <x:v>深圳</x:v>
      </x:c>
      <x:c r="C54" s="24" t="n">
        <x:v>114.0545429</x:v>
      </x:c>
      <x:c r="D54" s="24" t="n">
        <x:v>22.5445741</x:v>
      </x:c>
      <x:c r="E54" s="17" t="str">
        <x:v>C05</x:v>
      </x:c>
      <x:c r="F54" s="17" t="str">
        <x:v>佛山虚拟回收/检测中心</x:v>
      </x:c>
      <x:c r="G54" s="17" t="str">
        <x:v>回收中心候选</x:v>
      </x:c>
      <x:c r="H54" s="24" t="n">
        <x:v>113.1159558</x:v>
      </x:c>
      <x:c r="I54" s="24" t="n">
        <x:v>23.0239788</x:v>
      </x:c>
      <x:c r="J54" s="21" t="n">
        <x:f>6371*ACOS(MIN(1,COS(D54*PI()/180)*COS(I54*PI()/180)*COS((H54-C54)*PI()/180)+SIN(D54*PI()/180)*SIN(I54*PI()/180)))</x:f>
        <x:v>110.00140131744698</x:v>
      </x:c>
      <x:c r="K54" s="21" t="n">
        <x:f>'情景参数模板'!$D$31</x:f>
        <x:v>1.2</x:v>
      </x:c>
      <x:c r="L54" s="21" t="n">
        <x:f>J54*K54</x:f>
        <x:v>132.00168158093638</x:v>
      </x:c>
    </x:row>
    <x:row r="55">
      <x:c r="A55" s="17" t="str">
        <x:v>GD02</x:v>
      </x:c>
      <x:c r="B55" s="17" t="str">
        <x:v>深圳</x:v>
      </x:c>
      <x:c r="C55" s="24" t="n">
        <x:v>114.0545429</x:v>
      </x:c>
      <x:c r="D55" s="24" t="n">
        <x:v>22.5445741</x:v>
      </x:c>
      <x:c r="E55" s="17" t="str">
        <x:v>C06</x:v>
      </x:c>
      <x:c r="F55" s="17" t="str">
        <x:v>韶关虚拟回收/检测中心</x:v>
      </x:c>
      <x:c r="G55" s="17" t="str">
        <x:v>回收中心候选</x:v>
      </x:c>
      <x:c r="H55" s="24" t="n">
        <x:v>113.8155263</x:v>
      </x:c>
      <x:c r="I55" s="24" t="n">
        <x:v>24.8309489</x:v>
      </x:c>
      <x:c r="J55" s="21" t="n">
        <x:f>6371*ACOS(MIN(1,COS(D55*PI()/180)*COS(I55*PI()/180)*COS((H55-C55)*PI()/180)+SIN(D55*PI()/180)*SIN(I55*PI()/180)))</x:f>
        <x:v>255.39535166591816</x:v>
      </x:c>
      <x:c r="K55" s="21" t="n">
        <x:f>'情景参数模板'!$D$31</x:f>
        <x:v>1.2</x:v>
      </x:c>
      <x:c r="L55" s="21" t="n">
        <x:f>J55*K55</x:f>
        <x:v>306.47442199910176</x:v>
      </x:c>
    </x:row>
    <x:row r="56">
      <x:c r="A56" s="17" t="str">
        <x:v>GD02</x:v>
      </x:c>
      <x:c r="B56" s="17" t="str">
        <x:v>深圳</x:v>
      </x:c>
      <x:c r="C56" s="24" t="n">
        <x:v>114.0545429</x:v>
      </x:c>
      <x:c r="D56" s="24" t="n">
        <x:v>22.5445741</x:v>
      </x:c>
      <x:c r="E56" s="17" t="str">
        <x:v>C07</x:v>
      </x:c>
      <x:c r="F56" s="17" t="str">
        <x:v>河源虚拟回收/检测中心</x:v>
      </x:c>
      <x:c r="G56" s="17" t="str">
        <x:v>回收中心候选</x:v>
      </x:c>
      <x:c r="H56" s="24" t="n">
        <x:v>115.0577538</x:v>
      </x:c>
      <x:c r="I56" s="24" t="n">
        <x:v>24.1014769</x:v>
      </x:c>
      <x:c r="J56" s="21" t="n">
        <x:f>6371*ACOS(MIN(1,COS(D56*PI()/180)*COS(I56*PI()/180)*COS((H56-C56)*PI()/180)+SIN(D56*PI()/180)*SIN(I56*PI()/180)))</x:f>
        <x:v>201.1533473364422</x:v>
      </x:c>
      <x:c r="K56" s="21" t="n">
        <x:f>'情景参数模板'!$D$31</x:f>
        <x:v>1.2</x:v>
      </x:c>
      <x:c r="L56" s="21" t="n">
        <x:f>J56*K56</x:f>
        <x:v>241.38401680373065</x:v>
      </x:c>
    </x:row>
    <x:row r="57">
      <x:c r="A57" s="17" t="str">
        <x:v>GD02</x:v>
      </x:c>
      <x:c r="B57" s="17" t="str">
        <x:v>深圳</x:v>
      </x:c>
      <x:c r="C57" s="24" t="n">
        <x:v>114.0545429</x:v>
      </x:c>
      <x:c r="D57" s="24" t="n">
        <x:v>22.5445741</x:v>
      </x:c>
      <x:c r="E57" s="17" t="str">
        <x:v>C08</x:v>
      </x:c>
      <x:c r="F57" s="17" t="str">
        <x:v>梅州虚拟回收/检测中心</x:v>
      </x:c>
      <x:c r="G57" s="17" t="str">
        <x:v>回收中心候选</x:v>
      </x:c>
      <x:c r="H57" s="24" t="n">
        <x:v>116.1171428</x:v>
      </x:c>
      <x:c r="I57" s="24" t="n">
        <x:v>24.2918414</x:v>
      </x:c>
      <x:c r="J57" s="21" t="n">
        <x:f>6371*ACOS(MIN(1,COS(D57*PI()/180)*COS(I57*PI()/180)*COS((H57-C57)*PI()/180)+SIN(D57*PI()/180)*SIN(I57*PI()/180)))</x:f>
        <x:v>286.41624544813754</x:v>
      </x:c>
      <x:c r="K57" s="21" t="n">
        <x:f>'情景参数模板'!$D$31</x:f>
        <x:v>1.2</x:v>
      </x:c>
      <x:c r="L57" s="21" t="n">
        <x:f>J57*K57</x:f>
        <x:v>343.699494537765</x:v>
      </x:c>
    </x:row>
    <x:row r="58">
      <x:c r="A58" s="17" t="str">
        <x:v>GD02</x:v>
      </x:c>
      <x:c r="B58" s="17" t="str">
        <x:v>深圳</x:v>
      </x:c>
      <x:c r="C58" s="24" t="n">
        <x:v>114.0545429</x:v>
      </x:c>
      <x:c r="D58" s="24" t="n">
        <x:v>22.5445741</x:v>
      </x:c>
      <x:c r="E58" s="17" t="str">
        <x:v>C09</x:v>
      </x:c>
      <x:c r="F58" s="17" t="str">
        <x:v>惠州虚拟回收/检测中心</x:v>
      </x:c>
      <x:c r="G58" s="17" t="str">
        <x:v>回收中心候选</x:v>
      </x:c>
      <x:c r="H58" s="24" t="n">
        <x:v>114.4127007</x:v>
      </x:c>
      <x:c r="I58" s="24" t="n">
        <x:v>23.1125153</x:v>
      </x:c>
      <x:c r="J58" s="21" t="n">
        <x:f>6371*ACOS(MIN(1,COS(D58*PI()/180)*COS(I58*PI()/180)*COS((H58-C58)*PI()/180)+SIN(D58*PI()/180)*SIN(I58*PI()/180)))</x:f>
        <x:v>73.04448557045887</x:v>
      </x:c>
      <x:c r="K58" s="21" t="n">
        <x:f>'情景参数模板'!$D$31</x:f>
        <x:v>1.2</x:v>
      </x:c>
      <x:c r="L58" s="21" t="n">
        <x:f>J58*K58</x:f>
        <x:v>87.65338268455065</x:v>
      </x:c>
    </x:row>
    <x:row r="59">
      <x:c r="A59" s="17" t="str">
        <x:v>GD02</x:v>
      </x:c>
      <x:c r="B59" s="17" t="str">
        <x:v>深圳</x:v>
      </x:c>
      <x:c r="C59" s="24" t="n">
        <x:v>114.0545429</x:v>
      </x:c>
      <x:c r="D59" s="24" t="n">
        <x:v>22.5445741</x:v>
      </x:c>
      <x:c r="E59" s="17" t="str">
        <x:v>C10</x:v>
      </x:c>
      <x:c r="F59" s="17" t="str">
        <x:v>汕尾虚拟回收/检测中心</x:v>
      </x:c>
      <x:c r="G59" s="17" t="str">
        <x:v>回收中心候选</x:v>
      </x:c>
      <x:c r="H59" s="24" t="n">
        <x:v>115.5099937</x:v>
      </x:c>
      <x:c r="I59" s="24" t="n">
        <x:v>23.0123639</x:v>
      </x:c>
      <x:c r="J59" s="21" t="n">
        <x:f>6371*ACOS(MIN(1,COS(D59*PI()/180)*COS(I59*PI()/180)*COS((H59-C59)*PI()/180)+SIN(D59*PI()/180)*SIN(I59*PI()/180)))</x:f>
        <x:v>158.02187678789332</x:v>
      </x:c>
      <x:c r="K59" s="21" t="n">
        <x:f>'情景参数模板'!$D$31</x:f>
        <x:v>1.2</x:v>
      </x:c>
      <x:c r="L59" s="21" t="n">
        <x:f>J59*K59</x:f>
        <x:v>189.62625214547197</x:v>
      </x:c>
    </x:row>
    <x:row r="60">
      <x:c r="A60" s="17" t="str">
        <x:v>GD02</x:v>
      </x:c>
      <x:c r="B60" s="17" t="str">
        <x:v>深圳</x:v>
      </x:c>
      <x:c r="C60" s="24" t="n">
        <x:v>114.0545429</x:v>
      </x:c>
      <x:c r="D60" s="24" t="n">
        <x:v>22.5445741</x:v>
      </x:c>
      <x:c r="E60" s="17" t="str">
        <x:v>C11</x:v>
      </x:c>
      <x:c r="F60" s="17" t="str">
        <x:v>东莞虚拟回收/检测中心</x:v>
      </x:c>
      <x:c r="G60" s="17" t="str">
        <x:v>回收中心候选</x:v>
      </x:c>
      <x:c r="H60" s="24" t="n">
        <x:v>113.7452332</x:v>
      </x:c>
      <x:c r="I60" s="24" t="n">
        <x:v>23.0183568</x:v>
      </x:c>
      <x:c r="J60" s="21" t="n">
        <x:f>6371*ACOS(MIN(1,COS(D60*PI()/180)*COS(I60*PI()/180)*COS((H60-C60)*PI()/180)+SIN(D60*PI()/180)*SIN(I60*PI()/180)))</x:f>
        <x:v>61.48958054626042</x:v>
      </x:c>
      <x:c r="K60" s="21" t="n">
        <x:f>'情景参数模板'!$D$31</x:f>
        <x:v>1.2</x:v>
      </x:c>
      <x:c r="L60" s="21" t="n">
        <x:f>J60*K60</x:f>
        <x:v>73.7874966555125</x:v>
      </x:c>
    </x:row>
    <x:row r="61">
      <x:c r="A61" s="17" t="str">
        <x:v>GD02</x:v>
      </x:c>
      <x:c r="B61" s="17" t="str">
        <x:v>深圳</x:v>
      </x:c>
      <x:c r="C61" s="24" t="n">
        <x:v>114.0545429</x:v>
      </x:c>
      <x:c r="D61" s="24" t="n">
        <x:v>22.5445741</x:v>
      </x:c>
      <x:c r="E61" s="17" t="str">
        <x:v>C12</x:v>
      </x:c>
      <x:c r="F61" s="17" t="str">
        <x:v>中山虚拟回收/检测中心</x:v>
      </x:c>
      <x:c r="G61" s="17" t="str">
        <x:v>回收中心候选</x:v>
      </x:c>
      <x:c r="H61" s="24" t="n">
        <x:v>113.3872302</x:v>
      </x:c>
      <x:c r="I61" s="24" t="n">
        <x:v>22.5197073</x:v>
      </x:c>
      <x:c r="J61" s="21" t="n">
        <x:f>6371*ACOS(MIN(1,COS(D61*PI()/180)*COS(I61*PI()/180)*COS((H61-C61)*PI()/180)+SIN(D61*PI()/180)*SIN(I61*PI()/180)))</x:f>
        <x:v>68.59326845307118</x:v>
      </x:c>
      <x:c r="K61" s="21" t="n">
        <x:f>'情景参数模板'!$D$31</x:f>
        <x:v>1.2</x:v>
      </x:c>
      <x:c r="L61" s="21" t="n">
        <x:f>J61*K61</x:f>
        <x:v>82.31192214368541</x:v>
      </x:c>
    </x:row>
    <x:row r="62">
      <x:c r="A62" s="17" t="str">
        <x:v>GD02</x:v>
      </x:c>
      <x:c r="B62" s="17" t="str">
        <x:v>深圳</x:v>
      </x:c>
      <x:c r="C62" s="24" t="n">
        <x:v>114.0545429</x:v>
      </x:c>
      <x:c r="D62" s="24" t="n">
        <x:v>22.5445741</x:v>
      </x:c>
      <x:c r="E62" s="17" t="str">
        <x:v>C13</x:v>
      </x:c>
      <x:c r="F62" s="17" t="str">
        <x:v>江门虚拟回收/检测中心</x:v>
      </x:c>
      <x:c r="G62" s="17" t="str">
        <x:v>回收中心候选</x:v>
      </x:c>
      <x:c r="H62" s="24" t="n">
        <x:v>113.0761073</x:v>
      </x:c>
      <x:c r="I62" s="24" t="n">
        <x:v>22.5816619</x:v>
      </x:c>
      <x:c r="J62" s="21" t="n">
        <x:f>6371*ACOS(MIN(1,COS(D62*PI()/180)*COS(I62*PI()/180)*COS((H62-C62)*PI()/180)+SIN(D62*PI()/180)*SIN(I62*PI()/180)))</x:f>
        <x:v>100.55388459485556</x:v>
      </x:c>
      <x:c r="K62" s="21" t="n">
        <x:f>'情景参数模板'!$D$31</x:f>
        <x:v>1.2</x:v>
      </x:c>
      <x:c r="L62" s="21" t="n">
        <x:f>J62*K62</x:f>
        <x:v>120.66466151382667</x:v>
      </x:c>
    </x:row>
    <x:row r="63">
      <x:c r="A63" s="17" t="str">
        <x:v>GD02</x:v>
      </x:c>
      <x:c r="B63" s="17" t="str">
        <x:v>深圳</x:v>
      </x:c>
      <x:c r="C63" s="24" t="n">
        <x:v>114.0545429</x:v>
      </x:c>
      <x:c r="D63" s="24" t="n">
        <x:v>22.5445741</x:v>
      </x:c>
      <x:c r="E63" s="17" t="str">
        <x:v>C14</x:v>
      </x:c>
      <x:c r="F63" s="17" t="str">
        <x:v>阳江虚拟回收/检测中心</x:v>
      </x:c>
      <x:c r="G63" s="17" t="str">
        <x:v>回收中心候选</x:v>
      </x:c>
      <x:c r="H63" s="24" t="n">
        <x:v>111.7831393</x:v>
      </x:c>
      <x:c r="I63" s="24" t="n">
        <x:v>22.0958223</x:v>
      </x:c>
      <x:c r="J63" s="21" t="n">
        <x:f>6371*ACOS(MIN(1,COS(D63*PI()/180)*COS(I63*PI()/180)*COS((H63-C63)*PI()/180)+SIN(D63*PI()/180)*SIN(I63*PI()/180)))</x:f>
        <x:v>238.91102093560318</x:v>
      </x:c>
      <x:c r="K63" s="21" t="n">
        <x:f>'情景参数模板'!$D$31</x:f>
        <x:v>1.2</x:v>
      </x:c>
      <x:c r="L63" s="21" t="n">
        <x:f>J63*K63</x:f>
        <x:v>286.6932251227238</x:v>
      </x:c>
    </x:row>
    <x:row r="64">
      <x:c r="A64" s="17" t="str">
        <x:v>GD02</x:v>
      </x:c>
      <x:c r="B64" s="17" t="str">
        <x:v>深圳</x:v>
      </x:c>
      <x:c r="C64" s="24" t="n">
        <x:v>114.0545429</x:v>
      </x:c>
      <x:c r="D64" s="24" t="n">
        <x:v>22.5445741</x:v>
      </x:c>
      <x:c r="E64" s="17" t="str">
        <x:v>C15</x:v>
      </x:c>
      <x:c r="F64" s="17" t="str">
        <x:v>湛江虚拟回收/检测中心</x:v>
      </x:c>
      <x:c r="G64" s="17" t="str">
        <x:v>回收中心候选</x:v>
      </x:c>
      <x:c r="H64" s="24" t="n">
        <x:v>110.3548318</x:v>
      </x:c>
      <x:c r="I64" s="24" t="n">
        <x:v>21.2737079</x:v>
      </x:c>
      <x:c r="J64" s="21" t="n">
        <x:f>6371*ACOS(MIN(1,COS(D64*PI()/180)*COS(I64*PI()/180)*COS((H64-C64)*PI()/180)+SIN(D64*PI()/180)*SIN(I64*PI()/180)))</x:f>
        <x:v>406.97813815707536</x:v>
      </x:c>
      <x:c r="K64" s="21" t="n">
        <x:f>'情景参数模板'!$D$31</x:f>
        <x:v>1.2</x:v>
      </x:c>
      <x:c r="L64" s="21" t="n">
        <x:f>J64*K64</x:f>
        <x:v>488.3737657884904</x:v>
      </x:c>
    </x:row>
    <x:row r="65">
      <x:c r="A65" s="17" t="str">
        <x:v>GD02</x:v>
      </x:c>
      <x:c r="B65" s="17" t="str">
        <x:v>深圳</x:v>
      </x:c>
      <x:c r="C65" s="24" t="n">
        <x:v>114.0545429</x:v>
      </x:c>
      <x:c r="D65" s="24" t="n">
        <x:v>22.5445741</x:v>
      </x:c>
      <x:c r="E65" s="17" t="str">
        <x:v>C16</x:v>
      </x:c>
      <x:c r="F65" s="17" t="str">
        <x:v>茂名虚拟回收/检测中心</x:v>
      </x:c>
      <x:c r="G65" s="17" t="str">
        <x:v>回收中心候选</x:v>
      </x:c>
      <x:c r="H65" s="24" t="n">
        <x:v>110.9209511</x:v>
      </x:c>
      <x:c r="I65" s="24" t="n">
        <x:v>21.6656961</x:v>
      </x:c>
      <x:c r="J65" s="21" t="n">
        <x:f>6371*ACOS(MIN(1,COS(D65*PI()/180)*COS(I65*PI()/180)*COS((H65-C65)*PI()/180)+SIN(D65*PI()/180)*SIN(I65*PI()/180)))</x:f>
        <x:v>337.2852485873363</x:v>
      </x:c>
      <x:c r="K65" s="21" t="n">
        <x:f>'情景参数模板'!$D$31</x:f>
        <x:v>1.2</x:v>
      </x:c>
      <x:c r="L65" s="21" t="n">
        <x:f>J65*K65</x:f>
        <x:v>404.74229830480357</x:v>
      </x:c>
    </x:row>
    <x:row r="66">
      <x:c r="A66" s="17" t="str">
        <x:v>GD02</x:v>
      </x:c>
      <x:c r="B66" s="17" t="str">
        <x:v>深圳</x:v>
      </x:c>
      <x:c r="C66" s="24" t="n">
        <x:v>114.0545429</x:v>
      </x:c>
      <x:c r="D66" s="24" t="n">
        <x:v>22.5445741</x:v>
      </x:c>
      <x:c r="E66" s="17" t="str">
        <x:v>C17</x:v>
      </x:c>
      <x:c r="F66" s="17" t="str">
        <x:v>肇庆虚拟回收/检测中心</x:v>
      </x:c>
      <x:c r="G66" s="17" t="str">
        <x:v>回收中心候选</x:v>
      </x:c>
      <x:c r="H66" s="24" t="n">
        <x:v>112.4603629</x:v>
      </x:c>
      <x:c r="I66" s="24" t="n">
        <x:v>23.0501661</x:v>
      </x:c>
      <x:c r="J66" s="21" t="n">
        <x:f>6371*ACOS(MIN(1,COS(D66*PI()/180)*COS(I66*PI()/180)*COS((H66-C66)*PI()/180)+SIN(D66*PI()/180)*SIN(I66*PI()/180)))</x:f>
        <x:v>172.815477677631</x:v>
      </x:c>
      <x:c r="K66" s="21" t="n">
        <x:f>'情景参数模板'!$D$31</x:f>
        <x:v>1.2</x:v>
      </x:c>
      <x:c r="L66" s="21" t="n">
        <x:f>J66*K66</x:f>
        <x:v>207.3785732131572</x:v>
      </x:c>
    </x:row>
    <x:row r="67">
      <x:c r="A67" s="17" t="str">
        <x:v>GD02</x:v>
      </x:c>
      <x:c r="B67" s="17" t="str">
        <x:v>深圳</x:v>
      </x:c>
      <x:c r="C67" s="24" t="n">
        <x:v>114.0545429</x:v>
      </x:c>
      <x:c r="D67" s="24" t="n">
        <x:v>22.5445741</x:v>
      </x:c>
      <x:c r="E67" s="17" t="str">
        <x:v>C18</x:v>
      </x:c>
      <x:c r="F67" s="17" t="str">
        <x:v>清远虚拟回收/检测中心</x:v>
      </x:c>
      <x:c r="G67" s="17" t="str">
        <x:v>回收中心候选</x:v>
      </x:c>
      <x:c r="H67" s="24" t="n">
        <x:v>113.0505994</x:v>
      </x:c>
      <x:c r="I67" s="24" t="n">
        <x:v>23.6832984</x:v>
      </x:c>
      <x:c r="J67" s="21" t="n">
        <x:f>6371*ACOS(MIN(1,COS(D67*PI()/180)*COS(I67*PI()/180)*COS((H67-C67)*PI()/180)+SIN(D67*PI()/180)*SIN(I67*PI()/180)))</x:f>
        <x:v>163.01445483081335</x:v>
      </x:c>
      <x:c r="K67" s="21" t="n">
        <x:f>'情景参数模板'!$D$31</x:f>
        <x:v>1.2</x:v>
      </x:c>
      <x:c r="L67" s="21" t="n">
        <x:f>J67*K67</x:f>
        <x:v>195.61734579697602</x:v>
      </x:c>
    </x:row>
    <x:row r="68">
      <x:c r="A68" s="17" t="str">
        <x:v>GD02</x:v>
      </x:c>
      <x:c r="B68" s="17" t="str">
        <x:v>深圳</x:v>
      </x:c>
      <x:c r="C68" s="24" t="n">
        <x:v>114.0545429</x:v>
      </x:c>
      <x:c r="D68" s="24" t="n">
        <x:v>22.5445741</x:v>
      </x:c>
      <x:c r="E68" s="17" t="str">
        <x:v>C19</x:v>
      </x:c>
      <x:c r="F68" s="17" t="str">
        <x:v>潮州虚拟回收/检测中心</x:v>
      </x:c>
      <x:c r="G68" s="17" t="str">
        <x:v>回收中心候选</x:v>
      </x:c>
      <x:c r="H68" s="24" t="n">
        <x:v>116.6204223</x:v>
      </x:c>
      <x:c r="I68" s="24" t="n">
        <x:v>23.656593</x:v>
      </x:c>
      <x:c r="J68" s="21" t="n">
        <x:f>6371*ACOS(MIN(1,COS(D68*PI()/180)*COS(I68*PI()/180)*COS((H68-C68)*PI()/180)+SIN(D68*PI()/180)*SIN(I68*PI()/180)))</x:f>
        <x:v>290.0980995679465</x:v>
      </x:c>
      <x:c r="K68" s="21" t="n">
        <x:f>'情景参数模板'!$D$31</x:f>
        <x:v>1.2</x:v>
      </x:c>
      <x:c r="L68" s="21" t="n">
        <x:f>J68*K68</x:f>
        <x:v>348.1177194815358</x:v>
      </x:c>
    </x:row>
    <x:row r="69">
      <x:c r="A69" s="17" t="str">
        <x:v>GD02</x:v>
      </x:c>
      <x:c r="B69" s="17" t="str">
        <x:v>深圳</x:v>
      </x:c>
      <x:c r="C69" s="24" t="n">
        <x:v>114.0545429</x:v>
      </x:c>
      <x:c r="D69" s="24" t="n">
        <x:v>22.5445741</x:v>
      </x:c>
      <x:c r="E69" s="17" t="str">
        <x:v>C20</x:v>
      </x:c>
      <x:c r="F69" s="17" t="str">
        <x:v>揭阳虚拟回收/检测中心</x:v>
      </x:c>
      <x:c r="G69" s="17" t="str">
        <x:v>回收中心候选</x:v>
      </x:c>
      <x:c r="H69" s="24" t="n">
        <x:v>116.3680354</x:v>
      </x:c>
      <x:c r="I69" s="24" t="n">
        <x:v>23.553156</x:v>
      </x:c>
      <x:c r="J69" s="21" t="n">
        <x:f>6371*ACOS(MIN(1,COS(D69*PI()/180)*COS(I69*PI()/180)*COS((H69-C69)*PI()/180)+SIN(D69*PI()/180)*SIN(I69*PI()/180)))</x:f>
        <x:v>261.92936233802646</x:v>
      </x:c>
      <x:c r="K69" s="21" t="n">
        <x:f>'情景参数模板'!$D$31</x:f>
        <x:v>1.2</x:v>
      </x:c>
      <x:c r="L69" s="21" t="n">
        <x:f>J69*K69</x:f>
        <x:v>314.31523480563175</x:v>
      </x:c>
    </x:row>
    <x:row r="70">
      <x:c r="A70" s="17" t="str">
        <x:v>GD02</x:v>
      </x:c>
      <x:c r="B70" s="17" t="str">
        <x:v>深圳</x:v>
      </x:c>
      <x:c r="C70" s="24" t="n">
        <x:v>114.0545429</x:v>
      </x:c>
      <x:c r="D70" s="24" t="n">
        <x:v>22.5445741</x:v>
      </x:c>
      <x:c r="E70" s="17" t="str">
        <x:v>C21</x:v>
      </x:c>
      <x:c r="F70" s="17" t="str">
        <x:v>云浮虚拟回收/检测中心</x:v>
      </x:c>
      <x:c r="G70" s="17" t="str">
        <x:v>回收中心候选</x:v>
      </x:c>
      <x:c r="H70" s="24" t="n">
        <x:v>111.8078586</x:v>
      </x:c>
      <x:c r="I70" s="24" t="n">
        <x:v>22.8546663</x:v>
      </x:c>
      <x:c r="J70" s="21" t="n">
        <x:f>6371*ACOS(MIN(1,COS(D70*PI()/180)*COS(I70*PI()/180)*COS((H70-C70)*PI()/180)+SIN(D70*PI()/180)*SIN(I70*PI()/180)))</x:f>
        <x:v>233.03147812497292</x:v>
      </x:c>
      <x:c r="K70" s="21" t="n">
        <x:f>'情景参数模板'!$D$31</x:f>
        <x:v>1.2</x:v>
      </x:c>
      <x:c r="L70" s="21" t="n">
        <x:f>J70*K70</x:f>
        <x:v>279.6377737499675</x:v>
      </x:c>
    </x:row>
    <x:row r="71">
      <x:c r="A71" s="17" t="str">
        <x:v>GD02</x:v>
      </x:c>
      <x:c r="B71" s="17" t="str">
        <x:v>深圳</x:v>
      </x:c>
      <x:c r="C71" s="24" t="n">
        <x:v>114.0545429</x:v>
      </x:c>
      <x:c r="D71" s="24" t="n">
        <x:v>22.5445741</x:v>
      </x:c>
      <x:c r="E71" s="17" t="str">
        <x:v>P01</x:v>
      </x:c>
      <x:c r="F71" s="17" t="str">
        <x:v>汕尾比亚迪废旧动力电池回收项目</x:v>
      </x:c>
      <x:c r="G71" s="17" t="str">
        <x:v>再生利用</x:v>
      </x:c>
      <x:c r="H71" s="24" t="n">
        <x:v>115.3492668</x:v>
      </x:c>
      <x:c r="I71" s="24" t="n">
        <x:v>22.838065</x:v>
      </x:c>
      <x:c r="J71" s="21" t="n">
        <x:f>6371*ACOS(MIN(1,COS(D71*PI()/180)*COS(I71*PI()/180)*COS((H71-C71)*PI()/180)+SIN(D71*PI()/180)*SIN(I71*PI()/180)))</x:f>
        <x:v>136.77301383921443</x:v>
      </x:c>
      <x:c r="K71" s="21" t="n">
        <x:f>'情景参数模板'!$D$31</x:f>
        <x:v>1.2</x:v>
      </x:c>
      <x:c r="L71" s="21" t="n">
        <x:f>J71*K71</x:f>
        <x:v>164.12761660705732</x:v>
      </x:c>
    </x:row>
    <x:row r="72">
      <x:c r="A72" s="17" t="str">
        <x:v>GD02</x:v>
      </x:c>
      <x:c r="B72" s="17" t="str">
        <x:v>深圳</x:v>
      </x:c>
      <x:c r="C72" s="24" t="n">
        <x:v>114.0545429</x:v>
      </x:c>
      <x:c r="D72" s="24" t="n">
        <x:v>22.5445741</x:v>
      </x:c>
      <x:c r="E72" s="17" t="str">
        <x:v>P02E</x:v>
      </x:c>
      <x:c r="F72" s="17" t="str">
        <x:v>广东光华科技股份有限公司（梯次功能）</x:v>
      </x:c>
      <x:c r="G72" s="17" t="str">
        <x:v>梯次利用</x:v>
      </x:c>
      <x:c r="H72" s="24" t="n">
        <x:v>116.6775856</x:v>
      </x:c>
      <x:c r="I72" s="24" t="n">
        <x:v>23.3563921</x:v>
      </x:c>
      <x:c r="J72" s="21" t="n">
        <x:f>6371*ACOS(MIN(1,COS(D72*PI()/180)*COS(I72*PI()/180)*COS((H72-C72)*PI()/180)+SIN(D72*PI()/180)*SIN(I72*PI()/180)))</x:f>
        <x:v>283.33857381725</x:v>
      </x:c>
      <x:c r="K72" s="21" t="n">
        <x:f>'情景参数模板'!$D$31</x:f>
        <x:v>1.2</x:v>
      </x:c>
      <x:c r="L72" s="21" t="n">
        <x:f>J72*K72</x:f>
        <x:v>340.00628858069996</x:v>
      </x:c>
    </x:row>
    <x:row r="73">
      <x:c r="A73" s="17" t="str">
        <x:v>GD02</x:v>
      </x:c>
      <x:c r="B73" s="17" t="str">
        <x:v>深圳</x:v>
      </x:c>
      <x:c r="C73" s="24" t="n">
        <x:v>114.0545429</x:v>
      </x:c>
      <x:c r="D73" s="24" t="n">
        <x:v>22.5445741</x:v>
      </x:c>
      <x:c r="E73" s="17" t="str">
        <x:v>P02R</x:v>
      </x:c>
      <x:c r="F73" s="17" t="str">
        <x:v>广东光华科技股份有限公司（再生功能）</x:v>
      </x:c>
      <x:c r="G73" s="17" t="str">
        <x:v>再生利用</x:v>
      </x:c>
      <x:c r="H73" s="24" t="n">
        <x:v>116.6775856</x:v>
      </x:c>
      <x:c r="I73" s="24" t="n">
        <x:v>23.3563921</x:v>
      </x:c>
      <x:c r="J73" s="21" t="n">
        <x:f>6371*ACOS(MIN(1,COS(D73*PI()/180)*COS(I73*PI()/180)*COS((H73-C73)*PI()/180)+SIN(D73*PI()/180)*SIN(I73*PI()/180)))</x:f>
        <x:v>283.33857381725</x:v>
      </x:c>
      <x:c r="K73" s="21" t="n">
        <x:f>'情景参数模板'!$D$31</x:f>
        <x:v>1.2</x:v>
      </x:c>
      <x:c r="L73" s="21" t="n">
        <x:f>J73*K73</x:f>
        <x:v>340.00628858069996</x:v>
      </x:c>
    </x:row>
    <x:row r="74">
      <x:c r="A74" s="17" t="str">
        <x:v>GD02</x:v>
      </x:c>
      <x:c r="B74" s="17" t="str">
        <x:v>深圳</x:v>
      </x:c>
      <x:c r="C74" s="24" t="n">
        <x:v>114.0545429</x:v>
      </x:c>
      <x:c r="D74" s="24" t="n">
        <x:v>22.5445741</x:v>
      </x:c>
      <x:c r="E74" s="17" t="str">
        <x:v>P03</x:v>
      </x:c>
      <x:c r="F74" s="17" t="str">
        <x:v>深圳深汕特别合作区乾泰技术有限公司</x:v>
      </x:c>
      <x:c r="G74" s="17" t="str">
        <x:v>梯次利用</x:v>
      </x:c>
      <x:c r="H74" s="24" t="n">
        <x:v>115.5099937</x:v>
      </x:c>
      <x:c r="I74" s="24" t="n">
        <x:v>23.0123639</x:v>
      </x:c>
      <x:c r="J74" s="21" t="n">
        <x:f>6371*ACOS(MIN(1,COS(D74*PI()/180)*COS(I74*PI()/180)*COS((H74-C74)*PI()/180)+SIN(D74*PI()/180)*SIN(I74*PI()/180)))</x:f>
        <x:v>158.02187678789332</x:v>
      </x:c>
      <x:c r="K74" s="21" t="n">
        <x:f>'情景参数模板'!$D$31</x:f>
        <x:v>1.2</x:v>
      </x:c>
      <x:c r="L74" s="21" t="n">
        <x:f>J74*K74</x:f>
        <x:v>189.62625214547197</x:v>
      </x:c>
    </x:row>
    <x:row r="75">
      <x:c r="A75" s="17" t="str">
        <x:v>GD02</x:v>
      </x:c>
      <x:c r="B75" s="17" t="str">
        <x:v>深圳</x:v>
      </x:c>
      <x:c r="C75" s="24" t="n">
        <x:v>114.0545429</x:v>
      </x:c>
      <x:c r="D75" s="24" t="n">
        <x:v>22.5445741</x:v>
      </x:c>
      <x:c r="E75" s="17" t="str">
        <x:v>P04</x:v>
      </x:c>
      <x:c r="F75" s="17" t="str">
        <x:v>珠海中力新能源科技有限公司</x:v>
      </x:c>
      <x:c r="G75" s="17" t="str">
        <x:v>梯次利用</x:v>
      </x:c>
      <x:c r="H75" s="24" t="n">
        <x:v>113.5721327</x:v>
      </x:c>
      <x:c r="I75" s="24" t="n">
        <x:v>22.273734</x:v>
      </x:c>
      <x:c r="J75" s="21" t="n">
        <x:f>6371*ACOS(MIN(1,COS(D75*PI()/180)*COS(I75*PI()/180)*COS((H75-C75)*PI()/180)+SIN(D75*PI()/180)*SIN(I75*PI()/180)))</x:f>
        <x:v>58.019114911578654</x:v>
      </x:c>
      <x:c r="K75" s="21" t="n">
        <x:f>'情景参数模板'!$D$31</x:f>
        <x:v>1.2</x:v>
      </x:c>
      <x:c r="L75" s="21" t="n">
        <x:f>J75*K75</x:f>
        <x:v>69.62293789389439</x:v>
      </x:c>
    </x:row>
    <x:row r="76">
      <x:c r="A76" s="17" t="str">
        <x:v>GD02</x:v>
      </x:c>
      <x:c r="B76" s="17" t="str">
        <x:v>深圳</x:v>
      </x:c>
      <x:c r="C76" s="24" t="n">
        <x:v>114.0545429</x:v>
      </x:c>
      <x:c r="D76" s="24" t="n">
        <x:v>22.5445741</x:v>
      </x:c>
      <x:c r="E76" s="17" t="str">
        <x:v>P05</x:v>
      </x:c>
      <x:c r="F76" s="17" t="str">
        <x:v>惠州市恒创睿能环保科技有限公司</x:v>
      </x:c>
      <x:c r="G76" s="17" t="str">
        <x:v>梯次利用</x:v>
      </x:c>
      <x:c r="H76" s="24" t="n">
        <x:v>114.4127007</x:v>
      </x:c>
      <x:c r="I76" s="24" t="n">
        <x:v>23.1125153</x:v>
      </x:c>
      <x:c r="J76" s="21" t="n">
        <x:f>6371*ACOS(MIN(1,COS(D76*PI()/180)*COS(I76*PI()/180)*COS((H76-C76)*PI()/180)+SIN(D76*PI()/180)*SIN(I76*PI()/180)))</x:f>
        <x:v>73.04448557045887</x:v>
      </x:c>
      <x:c r="K76" s="21" t="n">
        <x:f>'情景参数模板'!$D$31</x:f>
        <x:v>1.2</x:v>
      </x:c>
      <x:c r="L76" s="21" t="n">
        <x:f>J76*K76</x:f>
        <x:v>87.65338268455065</x:v>
      </x:c>
    </x:row>
    <x:row r="77">
      <x:c r="A77" s="17" t="str">
        <x:v>GD02</x:v>
      </x:c>
      <x:c r="B77" s="17" t="str">
        <x:v>深圳</x:v>
      </x:c>
      <x:c r="C77" s="24" t="n">
        <x:v>114.0545429</x:v>
      </x:c>
      <x:c r="D77" s="24" t="n">
        <x:v>22.5445741</x:v>
      </x:c>
      <x:c r="E77" s="17" t="str">
        <x:v>P06</x:v>
      </x:c>
      <x:c r="F77" s="17" t="str">
        <x:v>江门市朗达锂电池有限公司</x:v>
      </x:c>
      <x:c r="G77" s="17" t="str">
        <x:v>梯次利用</x:v>
      </x:c>
      <x:c r="H77" s="24" t="n">
        <x:v>113.0761073</x:v>
      </x:c>
      <x:c r="I77" s="24" t="n">
        <x:v>22.5816619</x:v>
      </x:c>
      <x:c r="J77" s="21" t="n">
        <x:f>6371*ACOS(MIN(1,COS(D77*PI()/180)*COS(I77*PI()/180)*COS((H77-C77)*PI()/180)+SIN(D77*PI()/180)*SIN(I77*PI()/180)))</x:f>
        <x:v>100.55388459485556</x:v>
      </x:c>
      <x:c r="K77" s="21" t="n">
        <x:f>'情景参数模板'!$D$31</x:f>
        <x:v>1.2</x:v>
      </x:c>
      <x:c r="L77" s="21" t="n">
        <x:f>J77*K77</x:f>
        <x:v>120.66466151382667</x:v>
      </x:c>
    </x:row>
    <x:row r="78">
      <x:c r="A78" s="17" t="str">
        <x:v>GD02</x:v>
      </x:c>
      <x:c r="B78" s="17" t="str">
        <x:v>深圳</x:v>
      </x:c>
      <x:c r="C78" s="24" t="n">
        <x:v>114.0545429</x:v>
      </x:c>
      <x:c r="D78" s="24" t="n">
        <x:v>22.5445741</x:v>
      </x:c>
      <x:c r="E78" s="17" t="str">
        <x:v>P07</x:v>
      </x:c>
      <x:c r="F78" s="17" t="str">
        <x:v>广东迪度新能源有限公司</x:v>
      </x:c>
      <x:c r="G78" s="17" t="str">
        <x:v>梯次利用</x:v>
      </x:c>
      <x:c r="H78" s="24" t="n">
        <x:v>113.7452332</x:v>
      </x:c>
      <x:c r="I78" s="24" t="n">
        <x:v>23.0183568</x:v>
      </x:c>
      <x:c r="J78" s="21" t="n">
        <x:f>6371*ACOS(MIN(1,COS(D78*PI()/180)*COS(I78*PI()/180)*COS((H78-C78)*PI()/180)+SIN(D78*PI()/180)*SIN(I78*PI()/180)))</x:f>
        <x:v>61.48958054626042</x:v>
      </x:c>
      <x:c r="K78" s="21" t="n">
        <x:f>'情景参数模板'!$D$31</x:f>
        <x:v>1.2</x:v>
      </x:c>
      <x:c r="L78" s="21" t="n">
        <x:f>J78*K78</x:f>
        <x:v>73.7874966555125</x:v>
      </x:c>
    </x:row>
    <x:row r="79">
      <x:c r="A79" s="17" t="str">
        <x:v>GD02</x:v>
      </x:c>
      <x:c r="B79" s="17" t="str">
        <x:v>深圳</x:v>
      </x:c>
      <x:c r="C79" s="24" t="n">
        <x:v>114.0545429</x:v>
      </x:c>
      <x:c r="D79" s="24" t="n">
        <x:v>22.5445741</x:v>
      </x:c>
      <x:c r="E79" s="17" t="str">
        <x:v>P08</x:v>
      </x:c>
      <x:c r="F79" s="17" t="str">
        <x:v>东莞市博森新能源有限公司</x:v>
      </x:c>
      <x:c r="G79" s="17" t="str">
        <x:v>梯次利用</x:v>
      </x:c>
      <x:c r="H79" s="24" t="n">
        <x:v>113.7452332</x:v>
      </x:c>
      <x:c r="I79" s="24" t="n">
        <x:v>23.0183568</x:v>
      </x:c>
      <x:c r="J79" s="21" t="n">
        <x:f>6371*ACOS(MIN(1,COS(D79*PI()/180)*COS(I79*PI()/180)*COS((H79-C79)*PI()/180)+SIN(D79*PI()/180)*SIN(I79*PI()/180)))</x:f>
        <x:v>61.48958054626042</x:v>
      </x:c>
      <x:c r="K79" s="21" t="n">
        <x:f>'情景参数模板'!$D$31</x:f>
        <x:v>1.2</x:v>
      </x:c>
      <x:c r="L79" s="21" t="n">
        <x:f>J79*K79</x:f>
        <x:v>73.7874966555125</x:v>
      </x:c>
    </x:row>
    <x:row r="80">
      <x:c r="A80" s="17" t="str">
        <x:v>GD02</x:v>
      </x:c>
      <x:c r="B80" s="17" t="str">
        <x:v>深圳</x:v>
      </x:c>
      <x:c r="C80" s="24" t="n">
        <x:v>114.0545429</x:v>
      </x:c>
      <x:c r="D80" s="24" t="n">
        <x:v>22.5445741</x:v>
      </x:c>
      <x:c r="E80" s="17" t="str">
        <x:v>P09</x:v>
      </x:c>
      <x:c r="F80" s="17" t="str">
        <x:v>广东宇阳新能源有限公司</x:v>
      </x:c>
      <x:c r="G80" s="17" t="str">
        <x:v>梯次利用</x:v>
      </x:c>
      <x:c r="H80" s="24" t="n">
        <x:v>113.7452332</x:v>
      </x:c>
      <x:c r="I80" s="24" t="n">
        <x:v>23.0183568</x:v>
      </x:c>
      <x:c r="J80" s="21" t="n">
        <x:f>6371*ACOS(MIN(1,COS(D80*PI()/180)*COS(I80*PI()/180)*COS((H80-C80)*PI()/180)+SIN(D80*PI()/180)*SIN(I80*PI()/180)))</x:f>
        <x:v>61.48958054626042</x:v>
      </x:c>
      <x:c r="K80" s="21" t="n">
        <x:f>'情景参数模板'!$D$31</x:f>
        <x:v>1.2</x:v>
      </x:c>
      <x:c r="L80" s="21" t="n">
        <x:f>J80*K80</x:f>
        <x:v>73.7874966555125</x:v>
      </x:c>
    </x:row>
    <x:row r="81">
      <x:c r="A81" s="17" t="str">
        <x:v>GD02</x:v>
      </x:c>
      <x:c r="B81" s="17" t="str">
        <x:v>深圳</x:v>
      </x:c>
      <x:c r="C81" s="24" t="n">
        <x:v>114.0545429</x:v>
      </x:c>
      <x:c r="D81" s="24" t="n">
        <x:v>22.5445741</x:v>
      </x:c>
      <x:c r="E81" s="17" t="str">
        <x:v>P10</x:v>
      </x:c>
      <x:c r="F81" s="17" t="str">
        <x:v>广州广汽商贸再生资源有限公司</x:v>
      </x:c>
      <x:c r="G81" s="17" t="str">
        <x:v>梯次利用</x:v>
      </x:c>
      <x:c r="H81" s="24" t="n">
        <x:v>113.2589581</x:v>
      </x:c>
      <x:c r="I81" s="24" t="n">
        <x:v>23.1288429</x:v>
      </x:c>
      <x:c r="J81" s="21" t="n">
        <x:f>6371*ACOS(MIN(1,COS(D81*PI()/180)*COS(I81*PI()/180)*COS((H81-C81)*PI()/180)+SIN(D81*PI()/180)*SIN(I81*PI()/180)))</x:f>
        <x:v>104.24944100592228</x:v>
      </x:c>
      <x:c r="K81" s="21" t="n">
        <x:f>'情景参数模板'!$D$31</x:f>
        <x:v>1.2</x:v>
      </x:c>
      <x:c r="L81" s="21" t="n">
        <x:f>J81*K81</x:f>
        <x:v>125.09932920710673</x:v>
      </x:c>
    </x:row>
    <x:row r="82">
      <x:c r="A82" s="17" t="str">
        <x:v>GD02</x:v>
      </x:c>
      <x:c r="B82" s="17" t="str">
        <x:v>深圳</x:v>
      </x:c>
      <x:c r="C82" s="24" t="n">
        <x:v>114.0545429</x:v>
      </x:c>
      <x:c r="D82" s="24" t="n">
        <x:v>22.5445741</x:v>
      </x:c>
      <x:c r="E82" s="17" t="str">
        <x:v>P11</x:v>
      </x:c>
      <x:c r="F82" s="17" t="str">
        <x:v>深圳市杰成镍钴新能源科技有限公司</x:v>
      </x:c>
      <x:c r="G82" s="17" t="str">
        <x:v>梯次利用</x:v>
      </x:c>
      <x:c r="H82" s="24" t="n">
        <x:v>114.0545429</x:v>
      </x:c>
      <x:c r="I82" s="24" t="n">
        <x:v>22.5445741</x:v>
      </x:c>
      <x:c r="J82" s="21" t="n">
        <x:f>6371*ACOS(MIN(1,COS(D82*PI()/180)*COS(I82*PI()/180)*COS((H82-C82)*PI()/180)+SIN(D82*PI()/180)*SIN(I82*PI()/180)))</x:f>
        <x:v>0</x:v>
      </x:c>
      <x:c r="K82" s="21" t="n">
        <x:f>'情景参数模板'!$D$31</x:f>
        <x:v>1.2</x:v>
      </x:c>
      <x:c r="L82" s="21" t="n">
        <x:f>J82*K82</x:f>
        <x:v>0</x:v>
      </x:c>
    </x:row>
    <x:row r="83">
      <x:c r="A83" s="17" t="str">
        <x:v>GD02</x:v>
      </x:c>
      <x:c r="B83" s="17" t="str">
        <x:v>深圳</x:v>
      </x:c>
      <x:c r="C83" s="24" t="n">
        <x:v>114.0545429</x:v>
      </x:c>
      <x:c r="D83" s="24" t="n">
        <x:v>22.5445741</x:v>
      </x:c>
      <x:c r="E83" s="17" t="str">
        <x:v>P12</x:v>
      </x:c>
      <x:c r="F83" s="17" t="str">
        <x:v>江门市恒创睿能环保科技有限公司</x:v>
      </x:c>
      <x:c r="G83" s="17" t="str">
        <x:v>再生利用</x:v>
      </x:c>
      <x:c r="H83" s="24" t="n">
        <x:v>113.0761073</x:v>
      </x:c>
      <x:c r="I83" s="24" t="n">
        <x:v>22.5816619</x:v>
      </x:c>
      <x:c r="J83" s="21" t="n">
        <x:f>6371*ACOS(MIN(1,COS(D83*PI()/180)*COS(I83*PI()/180)*COS((H83-C83)*PI()/180)+SIN(D83*PI()/180)*SIN(I83*PI()/180)))</x:f>
        <x:v>100.55388459485556</x:v>
      </x:c>
      <x:c r="K83" s="21" t="n">
        <x:f>'情景参数模板'!$D$31</x:f>
        <x:v>1.2</x:v>
      </x:c>
      <x:c r="L83" s="21" t="n">
        <x:f>J83*K83</x:f>
        <x:v>120.66466151382667</x:v>
      </x:c>
    </x:row>
    <x:row r="84">
      <x:c r="A84" s="17" t="str">
        <x:v>GD02</x:v>
      </x:c>
      <x:c r="B84" s="17" t="str">
        <x:v>深圳</x:v>
      </x:c>
      <x:c r="C84" s="24" t="n">
        <x:v>114.0545429</x:v>
      </x:c>
      <x:c r="D84" s="24" t="n">
        <x:v>22.5445741</x:v>
      </x:c>
      <x:c r="E84" s="17" t="str">
        <x:v>P13</x:v>
      </x:c>
      <x:c r="F84" s="17" t="str">
        <x:v>广东佳纳能源科技有限公司</x:v>
      </x:c>
      <x:c r="G84" s="17" t="str">
        <x:v>再生利用</x:v>
      </x:c>
      <x:c r="H84" s="24" t="n">
        <x:v>113.0505994</x:v>
      </x:c>
      <x:c r="I84" s="24" t="n">
        <x:v>23.6832984</x:v>
      </x:c>
      <x:c r="J84" s="21" t="n">
        <x:f>6371*ACOS(MIN(1,COS(D84*PI()/180)*COS(I84*PI()/180)*COS((H84-C84)*PI()/180)+SIN(D84*PI()/180)*SIN(I84*PI()/180)))</x:f>
        <x:v>163.01445483081335</x:v>
      </x:c>
      <x:c r="K84" s="21" t="n">
        <x:f>'情景参数模板'!$D$31</x:f>
        <x:v>1.2</x:v>
      </x:c>
      <x:c r="L84" s="21" t="n">
        <x:f>J84*K84</x:f>
        <x:v>195.61734579697602</x:v>
      </x:c>
    </x:row>
    <x:row r="85">
      <x:c r="A85" s="17" t="str">
        <x:v>GD02</x:v>
      </x:c>
      <x:c r="B85" s="17" t="str">
        <x:v>深圳</x:v>
      </x:c>
      <x:c r="C85" s="24" t="n">
        <x:v>114.0545429</x:v>
      </x:c>
      <x:c r="D85" s="24" t="n">
        <x:v>22.5445741</x:v>
      </x:c>
      <x:c r="E85" s="17" t="str">
        <x:v>P14</x:v>
      </x:c>
      <x:c r="F85" s="17" t="str">
        <x:v>格林美（深圳）循环科技有限公司</x:v>
      </x:c>
      <x:c r="G85" s="17" t="str">
        <x:v>梯次利用</x:v>
      </x:c>
      <x:c r="H85" s="24" t="n">
        <x:v>114.0545429</x:v>
      </x:c>
      <x:c r="I85" s="24" t="n">
        <x:v>22.5445741</x:v>
      </x:c>
      <x:c r="J85" s="21" t="n">
        <x:f>6371*ACOS(MIN(1,COS(D85*PI()/180)*COS(I85*PI()/180)*COS((H85-C85)*PI()/180)+SIN(D85*PI()/180)*SIN(I85*PI()/180)))</x:f>
        <x:v>0</x:v>
      </x:c>
      <x:c r="K85" s="21" t="n">
        <x:f>'情景参数模板'!$D$31</x:f>
        <x:v>1.2</x:v>
      </x:c>
      <x:c r="L85" s="21" t="n">
        <x:f>J85*K85</x:f>
        <x:v>0</x:v>
      </x:c>
    </x:row>
    <x:row r="86">
      <x:c r="A86" s="17" t="str">
        <x:v>GD02</x:v>
      </x:c>
      <x:c r="B86" s="17" t="str">
        <x:v>深圳</x:v>
      </x:c>
      <x:c r="C86" s="24" t="n">
        <x:v>114.0545429</x:v>
      </x:c>
      <x:c r="D86" s="24" t="n">
        <x:v>22.5445741</x:v>
      </x:c>
      <x:c r="E86" s="17" t="str">
        <x:v>P15</x:v>
      </x:c>
      <x:c r="F86" s="17" t="str">
        <x:v>绿循新能源科技（佛山）有限责任公司</x:v>
      </x:c>
      <x:c r="G86" s="17" t="str">
        <x:v>梯次利用</x:v>
      </x:c>
      <x:c r="H86" s="24" t="n">
        <x:v>113.1159558</x:v>
      </x:c>
      <x:c r="I86" s="24" t="n">
        <x:v>23.0239788</x:v>
      </x:c>
      <x:c r="J86" s="21" t="n">
        <x:f>6371*ACOS(MIN(1,COS(D86*PI()/180)*COS(I86*PI()/180)*COS((H86-C86)*PI()/180)+SIN(D86*PI()/180)*SIN(I86*PI()/180)))</x:f>
        <x:v>110.00140131744698</x:v>
      </x:c>
      <x:c r="K86" s="21" t="n">
        <x:f>'情景参数模板'!$D$31</x:f>
        <x:v>1.2</x:v>
      </x:c>
      <x:c r="L86" s="21" t="n">
        <x:f>J86*K86</x:f>
        <x:v>132.00168158093638</x:v>
      </x:c>
    </x:row>
    <x:row r="87">
      <x:c r="A87" s="17" t="str">
        <x:v>GD02</x:v>
      </x:c>
      <x:c r="B87" s="17" t="str">
        <x:v>深圳</x:v>
      </x:c>
      <x:c r="C87" s="24" t="n">
        <x:v>114.0545429</x:v>
      </x:c>
      <x:c r="D87" s="24" t="n">
        <x:v>22.5445741</x:v>
      </x:c>
      <x:c r="E87" s="17" t="str">
        <x:v>P16</x:v>
      </x:c>
      <x:c r="F87" s="17" t="str">
        <x:v>深圳艾云动智慧科技有限公司</x:v>
      </x:c>
      <x:c r="G87" s="17" t="str">
        <x:v>梯次利用</x:v>
      </x:c>
      <x:c r="H87" s="24" t="n">
        <x:v>114.0545429</x:v>
      </x:c>
      <x:c r="I87" s="24" t="n">
        <x:v>22.5445741</x:v>
      </x:c>
      <x:c r="J87" s="21" t="n">
        <x:f>6371*ACOS(MIN(1,COS(D87*PI()/180)*COS(I87*PI()/180)*COS((H87-C87)*PI()/180)+SIN(D87*PI()/180)*SIN(I87*PI()/180)))</x:f>
        <x:v>0</x:v>
      </x:c>
      <x:c r="K87" s="21" t="n">
        <x:f>'情景参数模板'!$D$31</x:f>
        <x:v>1.2</x:v>
      </x:c>
      <x:c r="L87" s="21" t="n">
        <x:f>J87*K87</x:f>
        <x:v>0</x:v>
      </x:c>
    </x:row>
    <x:row r="88">
      <x:c r="A88" s="17" t="str">
        <x:v>GD02</x:v>
      </x:c>
      <x:c r="B88" s="17" t="str">
        <x:v>深圳</x:v>
      </x:c>
      <x:c r="C88" s="24" t="n">
        <x:v>114.0545429</x:v>
      </x:c>
      <x:c r="D88" s="24" t="n">
        <x:v>22.5445741</x:v>
      </x:c>
      <x:c r="E88" s="17" t="str">
        <x:v>P17</x:v>
      </x:c>
      <x:c r="F88" s="17" t="str">
        <x:v>深圳市荣高晟新能源科技有限公司</x:v>
      </x:c>
      <x:c r="G88" s="17" t="str">
        <x:v>梯次利用</x:v>
      </x:c>
      <x:c r="H88" s="24" t="n">
        <x:v>114.0545429</x:v>
      </x:c>
      <x:c r="I88" s="24" t="n">
        <x:v>22.5445741</x:v>
      </x:c>
      <x:c r="J88" s="21" t="n">
        <x:f>6371*ACOS(MIN(1,COS(D88*PI()/180)*COS(I88*PI()/180)*COS((H88-C88)*PI()/180)+SIN(D88*PI()/180)*SIN(I88*PI()/180)))</x:f>
        <x:v>0</x:v>
      </x:c>
      <x:c r="K88" s="21" t="n">
        <x:f>'情景参数模板'!$D$31</x:f>
        <x:v>1.2</x:v>
      </x:c>
      <x:c r="L88" s="21" t="n">
        <x:f>J88*K88</x:f>
        <x:v>0</x:v>
      </x:c>
    </x:row>
    <x:row r="89">
      <x:c r="A89" s="17" t="str">
        <x:v>GD02</x:v>
      </x:c>
      <x:c r="B89" s="17" t="str">
        <x:v>深圳</x:v>
      </x:c>
      <x:c r="C89" s="24" t="n">
        <x:v>114.0545429</x:v>
      </x:c>
      <x:c r="D89" s="24" t="n">
        <x:v>22.5445741</x:v>
      </x:c>
      <x:c r="E89" s="17" t="str">
        <x:v>P18</x:v>
      </x:c>
      <x:c r="F89" s="17" t="str">
        <x:v>中商锂新能源科技（惠州）有限公司</x:v>
      </x:c>
      <x:c r="G89" s="17" t="str">
        <x:v>梯次利用</x:v>
      </x:c>
      <x:c r="H89" s="24" t="n">
        <x:v>114.4127007</x:v>
      </x:c>
      <x:c r="I89" s="24" t="n">
        <x:v>23.1125153</x:v>
      </x:c>
      <x:c r="J89" s="21" t="n">
        <x:f>6371*ACOS(MIN(1,COS(D89*PI()/180)*COS(I89*PI()/180)*COS((H89-C89)*PI()/180)+SIN(D89*PI()/180)*SIN(I89*PI()/180)))</x:f>
        <x:v>73.04448557045887</x:v>
      </x:c>
      <x:c r="K89" s="21" t="n">
        <x:f>'情景参数模板'!$D$31</x:f>
        <x:v>1.2</x:v>
      </x:c>
      <x:c r="L89" s="21" t="n">
        <x:f>J89*K89</x:f>
        <x:v>87.65338268455065</x:v>
      </x:c>
    </x:row>
    <x:row r="90">
      <x:c r="A90" s="17" t="str">
        <x:v>GD02</x:v>
      </x:c>
      <x:c r="B90" s="17" t="str">
        <x:v>深圳</x:v>
      </x:c>
      <x:c r="C90" s="24" t="n">
        <x:v>114.0545429</x:v>
      </x:c>
      <x:c r="D90" s="24" t="n">
        <x:v>22.5445741</x:v>
      </x:c>
      <x:c r="E90" s="17" t="str">
        <x:v>P19</x:v>
      </x:c>
      <x:c r="F90" s="17" t="str">
        <x:v>广东盛祥新材料科技有限公司</x:v>
      </x:c>
      <x:c r="G90" s="17" t="str">
        <x:v>再生利用</x:v>
      </x:c>
      <x:c r="H90" s="24" t="n">
        <x:v>113.8155263</x:v>
      </x:c>
      <x:c r="I90" s="24" t="n">
        <x:v>24.8309489</x:v>
      </x:c>
      <x:c r="J90" s="21" t="n">
        <x:f>6371*ACOS(MIN(1,COS(D90*PI()/180)*COS(I90*PI()/180)*COS((H90-C90)*PI()/180)+SIN(D90*PI()/180)*SIN(I90*PI()/180)))</x:f>
        <x:v>255.39535166591816</x:v>
      </x:c>
      <x:c r="K90" s="21" t="n">
        <x:f>'情景参数模板'!$D$31</x:f>
        <x:v>1.2</x:v>
      </x:c>
      <x:c r="L90" s="21" t="n">
        <x:f>J90*K90</x:f>
        <x:v>306.47442199910176</x:v>
      </x:c>
    </x:row>
    <x:row r="91">
      <x:c r="A91" s="17" t="str">
        <x:v>GD02</x:v>
      </x:c>
      <x:c r="B91" s="17" t="str">
        <x:v>深圳</x:v>
      </x:c>
      <x:c r="C91" s="24" t="n">
        <x:v>114.0545429</x:v>
      </x:c>
      <x:c r="D91" s="24" t="n">
        <x:v>22.5445741</x:v>
      </x:c>
      <x:c r="E91" s="17" t="str">
        <x:v>P20E</x:v>
      </x:c>
      <x:c r="F91" s="17" t="str">
        <x:v>广东金晟新能源股份有限公司（梯次功能）</x:v>
      </x:c>
      <x:c r="G91" s="17" t="str">
        <x:v>梯次利用</x:v>
      </x:c>
      <x:c r="H91" s="24" t="n">
        <x:v>112.4603629</x:v>
      </x:c>
      <x:c r="I91" s="24" t="n">
        <x:v>23.0501661</x:v>
      </x:c>
      <x:c r="J91" s="21" t="n">
        <x:f>6371*ACOS(MIN(1,COS(D91*PI()/180)*COS(I91*PI()/180)*COS((H91-C91)*PI()/180)+SIN(D91*PI()/180)*SIN(I91*PI()/180)))</x:f>
        <x:v>172.815477677631</x:v>
      </x:c>
      <x:c r="K91" s="21" t="n">
        <x:f>'情景参数模板'!$D$31</x:f>
        <x:v>1.2</x:v>
      </x:c>
      <x:c r="L91" s="21" t="n">
        <x:f>J91*K91</x:f>
        <x:v>207.3785732131572</x:v>
      </x:c>
    </x:row>
    <x:row r="92">
      <x:c r="A92" s="17" t="str">
        <x:v>GD02</x:v>
      </x:c>
      <x:c r="B92" s="17" t="str">
        <x:v>深圳</x:v>
      </x:c>
      <x:c r="C92" s="24" t="n">
        <x:v>114.0545429</x:v>
      </x:c>
      <x:c r="D92" s="24" t="n">
        <x:v>22.5445741</x:v>
      </x:c>
      <x:c r="E92" s="17" t="str">
        <x:v>P20R</x:v>
      </x:c>
      <x:c r="F92" s="17" t="str">
        <x:v>广东金晟新能源股份有限公司（再生功能）</x:v>
      </x:c>
      <x:c r="G92" s="17" t="str">
        <x:v>再生利用</x:v>
      </x:c>
      <x:c r="H92" s="24" t="n">
        <x:v>112.4603629</x:v>
      </x:c>
      <x:c r="I92" s="24" t="n">
        <x:v>23.0501661</x:v>
      </x:c>
      <x:c r="J92" s="21" t="n">
        <x:f>6371*ACOS(MIN(1,COS(D92*PI()/180)*COS(I92*PI()/180)*COS((H92-C92)*PI()/180)+SIN(D92*PI()/180)*SIN(I92*PI()/180)))</x:f>
        <x:v>172.815477677631</x:v>
      </x:c>
      <x:c r="K92" s="21" t="n">
        <x:f>'情景参数模板'!$D$31</x:f>
        <x:v>1.2</x:v>
      </x:c>
      <x:c r="L92" s="21" t="n">
        <x:f>J92*K92</x:f>
        <x:v>207.3785732131572</x:v>
      </x:c>
    </x:row>
    <x:row r="93">
      <x:c r="A93" s="17" t="str">
        <x:v>GD02</x:v>
      </x:c>
      <x:c r="B93" s="17" t="str">
        <x:v>深圳</x:v>
      </x:c>
      <x:c r="C93" s="24" t="n">
        <x:v>114.0545429</x:v>
      </x:c>
      <x:c r="D93" s="24" t="n">
        <x:v>22.5445741</x:v>
      </x:c>
      <x:c r="E93" s="17" t="str">
        <x:v>P21E</x:v>
      </x:c>
      <x:c r="F93" s="17" t="str">
        <x:v>广东瑞科美电源技术有限公司（梯次功能）</x:v>
      </x:c>
      <x:c r="G93" s="17" t="str">
        <x:v>梯次利用</x:v>
      </x:c>
      <x:c r="H93" s="24" t="n">
        <x:v>113.1159558</x:v>
      </x:c>
      <x:c r="I93" s="24" t="n">
        <x:v>23.0239788</x:v>
      </x:c>
      <x:c r="J93" s="21" t="n">
        <x:f>6371*ACOS(MIN(1,COS(D93*PI()/180)*COS(I93*PI()/180)*COS((H93-C93)*PI()/180)+SIN(D93*PI()/180)*SIN(I93*PI()/180)))</x:f>
        <x:v>110.00140131744698</x:v>
      </x:c>
      <x:c r="K93" s="21" t="n">
        <x:f>'情景参数模板'!$D$31</x:f>
        <x:v>1.2</x:v>
      </x:c>
      <x:c r="L93" s="21" t="n">
        <x:f>J93*K93</x:f>
        <x:v>132.00168158093638</x:v>
      </x:c>
    </x:row>
    <x:row r="94">
      <x:c r="A94" s="17" t="str">
        <x:v>GD02</x:v>
      </x:c>
      <x:c r="B94" s="17" t="str">
        <x:v>深圳</x:v>
      </x:c>
      <x:c r="C94" s="24" t="n">
        <x:v>114.0545429</x:v>
      </x:c>
      <x:c r="D94" s="24" t="n">
        <x:v>22.5445741</x:v>
      </x:c>
      <x:c r="E94" s="17" t="str">
        <x:v>P21R</x:v>
      </x:c>
      <x:c r="F94" s="17" t="str">
        <x:v>广东瑞科美电源技术有限公司（再生功能）</x:v>
      </x:c>
      <x:c r="G94" s="17" t="str">
        <x:v>再生利用</x:v>
      </x:c>
      <x:c r="H94" s="24" t="n">
        <x:v>113.1159558</x:v>
      </x:c>
      <x:c r="I94" s="24" t="n">
        <x:v>23.0239788</x:v>
      </x:c>
      <x:c r="J94" s="21" t="n">
        <x:f>6371*ACOS(MIN(1,COS(D94*PI()/180)*COS(I94*PI()/180)*COS((H94-C94)*PI()/180)+SIN(D94*PI()/180)*SIN(I94*PI()/180)))</x:f>
        <x:v>110.00140131744698</x:v>
      </x:c>
      <x:c r="K94" s="21" t="n">
        <x:f>'情景参数模板'!$D$31</x:f>
        <x:v>1.2</x:v>
      </x:c>
      <x:c r="L94" s="21" t="n">
        <x:f>J94*K94</x:f>
        <x:v>132.00168158093638</x:v>
      </x:c>
    </x:row>
    <x:row r="95">
      <x:c r="A95" s="17" t="str">
        <x:v>GD03</x:v>
      </x:c>
      <x:c r="B95" s="17" t="str">
        <x:v>珠海</x:v>
      </x:c>
      <x:c r="C95" s="24" t="n">
        <x:v>113.5721327</x:v>
      </x:c>
      <x:c r="D95" s="24" t="n">
        <x:v>22.273734</x:v>
      </x:c>
      <x:c r="E95" s="17" t="str">
        <x:v>C01</x:v>
      </x:c>
      <x:c r="F95" s="17" t="str">
        <x:v>广州虚拟回收/检测中心</x:v>
      </x:c>
      <x:c r="G95" s="17" t="str">
        <x:v>回收中心候选</x:v>
      </x:c>
      <x:c r="H95" s="24" t="n">
        <x:v>113.2589581</x:v>
      </x:c>
      <x:c r="I95" s="24" t="n">
        <x:v>23.1288429</x:v>
      </x:c>
      <x:c r="J95" s="21" t="n">
        <x:f>6371*ACOS(MIN(1,COS(D95*PI()/180)*COS(I95*PI()/180)*COS((H95-C95)*PI()/180)+SIN(D95*PI()/180)*SIN(I95*PI()/180)))</x:f>
        <x:v>100.36408935304908</x:v>
      </x:c>
      <x:c r="K95" s="21" t="n">
        <x:f>'情景参数模板'!$D$31</x:f>
        <x:v>1.2</x:v>
      </x:c>
      <x:c r="L95" s="21" t="n">
        <x:f>J95*K95</x:f>
        <x:v>120.43690722365889</x:v>
      </x:c>
    </x:row>
    <x:row r="96">
      <x:c r="A96" s="17" t="str">
        <x:v>GD03</x:v>
      </x:c>
      <x:c r="B96" s="17" t="str">
        <x:v>珠海</x:v>
      </x:c>
      <x:c r="C96" s="24" t="n">
        <x:v>113.5721327</x:v>
      </x:c>
      <x:c r="D96" s="24" t="n">
        <x:v>22.273734</x:v>
      </x:c>
      <x:c r="E96" s="17" t="str">
        <x:v>C02</x:v>
      </x:c>
      <x:c r="F96" s="17" t="str">
        <x:v>深圳虚拟回收/检测中心</x:v>
      </x:c>
      <x:c r="G96" s="17" t="str">
        <x:v>回收中心候选</x:v>
      </x:c>
      <x:c r="H96" s="24" t="n">
        <x:v>114.0545429</x:v>
      </x:c>
      <x:c r="I96" s="24" t="n">
        <x:v>22.5445741</x:v>
      </x:c>
      <x:c r="J96" s="21" t="n">
        <x:f>6371*ACOS(MIN(1,COS(D96*PI()/180)*COS(I96*PI()/180)*COS((H96-C96)*PI()/180)+SIN(D96*PI()/180)*SIN(I96*PI()/180)))</x:f>
        <x:v>58.019114911578654</x:v>
      </x:c>
      <x:c r="K96" s="21" t="n">
        <x:f>'情景参数模板'!$D$31</x:f>
        <x:v>1.2</x:v>
      </x:c>
      <x:c r="L96" s="21" t="n">
        <x:f>J96*K96</x:f>
        <x:v>69.62293789389439</x:v>
      </x:c>
    </x:row>
    <x:row r="97">
      <x:c r="A97" s="17" t="str">
        <x:v>GD03</x:v>
      </x:c>
      <x:c r="B97" s="17" t="str">
        <x:v>珠海</x:v>
      </x:c>
      <x:c r="C97" s="24" t="n">
        <x:v>113.5721327</x:v>
      </x:c>
      <x:c r="D97" s="24" t="n">
        <x:v>22.273734</x:v>
      </x:c>
      <x:c r="E97" s="17" t="str">
        <x:v>C03</x:v>
      </x:c>
      <x:c r="F97" s="17" t="str">
        <x:v>珠海虚拟回收/检测中心</x:v>
      </x:c>
      <x:c r="G97" s="17" t="str">
        <x:v>回收中心候选</x:v>
      </x:c>
      <x:c r="H97" s="24" t="n">
        <x:v>113.5721327</x:v>
      </x:c>
      <x:c r="I97" s="24" t="n">
        <x:v>22.273734</x:v>
      </x:c>
      <x:c r="J97" s="21" t="n">
        <x:f>6371*ACOS(MIN(1,COS(D97*PI()/180)*COS(I97*PI()/180)*COS((H97-C97)*PI()/180)+SIN(D97*PI()/180)*SIN(I97*PI()/180)))</x:f>
        <x:v>0</x:v>
      </x:c>
      <x:c r="K97" s="21" t="n">
        <x:f>'情景参数模板'!$D$31</x:f>
        <x:v>1.2</x:v>
      </x:c>
      <x:c r="L97" s="21" t="n">
        <x:f>J97*K97</x:f>
        <x:v>0</x:v>
      </x:c>
    </x:row>
    <x:row r="98">
      <x:c r="A98" s="17" t="str">
        <x:v>GD03</x:v>
      </x:c>
      <x:c r="B98" s="17" t="str">
        <x:v>珠海</x:v>
      </x:c>
      <x:c r="C98" s="24" t="n">
        <x:v>113.5721327</x:v>
      </x:c>
      <x:c r="D98" s="24" t="n">
        <x:v>22.273734</x:v>
      </x:c>
      <x:c r="E98" s="17" t="str">
        <x:v>C04</x:v>
      </x:c>
      <x:c r="F98" s="17" t="str">
        <x:v>汕头虚拟回收/检测中心</x:v>
      </x:c>
      <x:c r="G98" s="17" t="str">
        <x:v>回收中心候选</x:v>
      </x:c>
      <x:c r="H98" s="24" t="n">
        <x:v>116.6775856</x:v>
      </x:c>
      <x:c r="I98" s="24" t="n">
        <x:v>23.3563921</x:v>
      </x:c>
      <x:c r="J98" s="21" t="n">
        <x:f>6371*ACOS(MIN(1,COS(D98*PI()/180)*COS(I98*PI()/180)*COS((H98-C98)*PI()/180)+SIN(D98*PI()/180)*SIN(I98*PI()/180)))</x:f>
        <x:v>340.2873692564277</x:v>
      </x:c>
      <x:c r="K98" s="21" t="n">
        <x:f>'情景参数模板'!$D$31</x:f>
        <x:v>1.2</x:v>
      </x:c>
      <x:c r="L98" s="21" t="n">
        <x:f>J98*K98</x:f>
        <x:v>408.34484310771325</x:v>
      </x:c>
    </x:row>
    <x:row r="99">
      <x:c r="A99" s="17" t="str">
        <x:v>GD03</x:v>
      </x:c>
      <x:c r="B99" s="17" t="str">
        <x:v>珠海</x:v>
      </x:c>
      <x:c r="C99" s="24" t="n">
        <x:v>113.5721327</x:v>
      </x:c>
      <x:c r="D99" s="24" t="n">
        <x:v>22.273734</x:v>
      </x:c>
      <x:c r="E99" s="17" t="str">
        <x:v>C05</x:v>
      </x:c>
      <x:c r="F99" s="17" t="str">
        <x:v>佛山虚拟回收/检测中心</x:v>
      </x:c>
      <x:c r="G99" s="17" t="str">
        <x:v>回收中心候选</x:v>
      </x:c>
      <x:c r="H99" s="24" t="n">
        <x:v>113.1159558</x:v>
      </x:c>
      <x:c r="I99" s="24" t="n">
        <x:v>23.0239788</x:v>
      </x:c>
      <x:c r="J99" s="21" t="n">
        <x:f>6371*ACOS(MIN(1,COS(D99*PI()/180)*COS(I99*PI()/180)*COS((H99-C99)*PI()/180)+SIN(D99*PI()/180)*SIN(I99*PI()/180)))</x:f>
        <x:v>95.6600972197494</x:v>
      </x:c>
      <x:c r="K99" s="21" t="n">
        <x:f>'情景参数模板'!$D$31</x:f>
        <x:v>1.2</x:v>
      </x:c>
      <x:c r="L99" s="21" t="n">
        <x:f>J99*K99</x:f>
        <x:v>114.79211666369928</x:v>
      </x:c>
    </x:row>
    <x:row r="100">
      <x:c r="A100" s="17" t="str">
        <x:v>GD03</x:v>
      </x:c>
      <x:c r="B100" s="17" t="str">
        <x:v>珠海</x:v>
      </x:c>
      <x:c r="C100" s="24" t="n">
        <x:v>113.5721327</x:v>
      </x:c>
      <x:c r="D100" s="24" t="n">
        <x:v>22.273734</x:v>
      </x:c>
      <x:c r="E100" s="17" t="str">
        <x:v>C06</x:v>
      </x:c>
      <x:c r="F100" s="17" t="str">
        <x:v>韶关虚拟回收/检测中心</x:v>
      </x:c>
      <x:c r="G100" s="17" t="str">
        <x:v>回收中心候选</x:v>
      </x:c>
      <x:c r="H100" s="24" t="n">
        <x:v>113.8155263</x:v>
      </x:c>
      <x:c r="I100" s="24" t="n">
        <x:v>24.8309489</x:v>
      </x:c>
      <x:c r="J100" s="21" t="n">
        <x:f>6371*ACOS(MIN(1,COS(D100*PI()/180)*COS(I100*PI()/180)*COS((H100-C100)*PI()/180)+SIN(D100*PI()/180)*SIN(I100*PI()/180)))</x:f>
        <x:v>285.4293111538577</x:v>
      </x:c>
      <x:c r="K100" s="21" t="n">
        <x:f>'情景参数模板'!$D$31</x:f>
        <x:v>1.2</x:v>
      </x:c>
      <x:c r="L100" s="21" t="n">
        <x:f>J100*K100</x:f>
        <x:v>342.51517338462924</x:v>
      </x:c>
    </x:row>
    <x:row r="101">
      <x:c r="A101" s="17" t="str">
        <x:v>GD03</x:v>
      </x:c>
      <x:c r="B101" s="17" t="str">
        <x:v>珠海</x:v>
      </x:c>
      <x:c r="C101" s="24" t="n">
        <x:v>113.5721327</x:v>
      </x:c>
      <x:c r="D101" s="24" t="n">
        <x:v>22.273734</x:v>
      </x:c>
      <x:c r="E101" s="17" t="str">
        <x:v>C07</x:v>
      </x:c>
      <x:c r="F101" s="17" t="str">
        <x:v>河源虚拟回收/检测中心</x:v>
      </x:c>
      <x:c r="G101" s="17" t="str">
        <x:v>回收中心候选</x:v>
      </x:c>
      <x:c r="H101" s="24" t="n">
        <x:v>115.0577538</x:v>
      </x:c>
      <x:c r="I101" s="24" t="n">
        <x:v>24.1014769</x:v>
      </x:c>
      <x:c r="J101" s="21" t="n">
        <x:f>6371*ACOS(MIN(1,COS(D101*PI()/180)*COS(I101*PI()/180)*COS((H101-C101)*PI()/180)+SIN(D101*PI()/180)*SIN(I101*PI()/180)))</x:f>
        <x:v>253.69221156809851</x:v>
      </x:c>
      <x:c r="K101" s="21" t="n">
        <x:f>'情景参数模板'!$D$31</x:f>
        <x:v>1.2</x:v>
      </x:c>
      <x:c r="L101" s="21" t="n">
        <x:f>J101*K101</x:f>
        <x:v>304.43065388171823</x:v>
      </x:c>
    </x:row>
    <x:row r="102">
      <x:c r="A102" s="17" t="str">
        <x:v>GD03</x:v>
      </x:c>
      <x:c r="B102" s="17" t="str">
        <x:v>珠海</x:v>
      </x:c>
      <x:c r="C102" s="24" t="n">
        <x:v>113.5721327</x:v>
      </x:c>
      <x:c r="D102" s="24" t="n">
        <x:v>22.273734</x:v>
      </x:c>
      <x:c r="E102" s="17" t="str">
        <x:v>C08</x:v>
      </x:c>
      <x:c r="F102" s="17" t="str">
        <x:v>梅州虚拟回收/检测中心</x:v>
      </x:c>
      <x:c r="G102" s="17" t="str">
        <x:v>回收中心候选</x:v>
      </x:c>
      <x:c r="H102" s="24" t="n">
        <x:v>116.1171428</x:v>
      </x:c>
      <x:c r="I102" s="24" t="n">
        <x:v>24.2918414</x:v>
      </x:c>
      <x:c r="J102" s="21" t="n">
        <x:f>6371*ACOS(MIN(1,COS(D102*PI()/180)*COS(I102*PI()/180)*COS((H102-C102)*PI()/180)+SIN(D102*PI()/180)*SIN(I102*PI()/180)))</x:f>
        <x:v>343.3898243843036</x:v>
      </x:c>
      <x:c r="K102" s="21" t="n">
        <x:f>'情景参数模板'!$D$31</x:f>
        <x:v>1.2</x:v>
      </x:c>
      <x:c r="L102" s="21" t="n">
        <x:f>J102*K102</x:f>
        <x:v>412.0677892611643</x:v>
      </x:c>
    </x:row>
    <x:row r="103">
      <x:c r="A103" s="17" t="str">
        <x:v>GD03</x:v>
      </x:c>
      <x:c r="B103" s="17" t="str">
        <x:v>珠海</x:v>
      </x:c>
      <x:c r="C103" s="24" t="n">
        <x:v>113.5721327</x:v>
      </x:c>
      <x:c r="D103" s="24" t="n">
        <x:v>22.273734</x:v>
      </x:c>
      <x:c r="E103" s="17" t="str">
        <x:v>C09</x:v>
      </x:c>
      <x:c r="F103" s="17" t="str">
        <x:v>惠州虚拟回收/检测中心</x:v>
      </x:c>
      <x:c r="G103" s="17" t="str">
        <x:v>回收中心候选</x:v>
      </x:c>
      <x:c r="H103" s="24" t="n">
        <x:v>114.4127007</x:v>
      </x:c>
      <x:c r="I103" s="24" t="n">
        <x:v>23.1125153</x:v>
      </x:c>
      <x:c r="J103" s="21" t="n">
        <x:f>6371*ACOS(MIN(1,COS(D103*PI()/180)*COS(I103*PI()/180)*COS((H103-C103)*PI()/180)+SIN(D103*PI()/180)*SIN(I103*PI()/180)))</x:f>
        <x:v>127.02181764289968</x:v>
      </x:c>
      <x:c r="K103" s="21" t="n">
        <x:f>'情景参数模板'!$D$31</x:f>
        <x:v>1.2</x:v>
      </x:c>
      <x:c r="L103" s="21" t="n">
        <x:f>J103*K103</x:f>
        <x:v>152.4261811714796</x:v>
      </x:c>
    </x:row>
    <x:row r="104">
      <x:c r="A104" s="17" t="str">
        <x:v>GD03</x:v>
      </x:c>
      <x:c r="B104" s="17" t="str">
        <x:v>珠海</x:v>
      </x:c>
      <x:c r="C104" s="24" t="n">
        <x:v>113.5721327</x:v>
      </x:c>
      <x:c r="D104" s="24" t="n">
        <x:v>22.273734</x:v>
      </x:c>
      <x:c r="E104" s="17" t="str">
        <x:v>C10</x:v>
      </x:c>
      <x:c r="F104" s="17" t="str">
        <x:v>汕尾虚拟回收/检测中心</x:v>
      </x:c>
      <x:c r="G104" s="17" t="str">
        <x:v>回收中心候选</x:v>
      </x:c>
      <x:c r="H104" s="24" t="n">
        <x:v>115.5099937</x:v>
      </x:c>
      <x:c r="I104" s="24" t="n">
        <x:v>23.0123639</x:v>
      </x:c>
      <x:c r="J104" s="21" t="n">
        <x:f>6371*ACOS(MIN(1,COS(D104*PI()/180)*COS(I104*PI()/180)*COS((H104-C104)*PI()/180)+SIN(D104*PI()/180)*SIN(I104*PI()/180)))</x:f>
        <x:v>215.16056931228954</x:v>
      </x:c>
      <x:c r="K104" s="21" t="n">
        <x:f>'情景参数模板'!$D$31</x:f>
        <x:v>1.2</x:v>
      </x:c>
      <x:c r="L104" s="21" t="n">
        <x:f>J104*K104</x:f>
        <x:v>258.19268317474746</x:v>
      </x:c>
    </x:row>
    <x:row r="105">
      <x:c r="A105" s="17" t="str">
        <x:v>GD03</x:v>
      </x:c>
      <x:c r="B105" s="17" t="str">
        <x:v>珠海</x:v>
      </x:c>
      <x:c r="C105" s="24" t="n">
        <x:v>113.5721327</x:v>
      </x:c>
      <x:c r="D105" s="24" t="n">
        <x:v>22.273734</x:v>
      </x:c>
      <x:c r="E105" s="17" t="str">
        <x:v>C11</x:v>
      </x:c>
      <x:c r="F105" s="17" t="str">
        <x:v>东莞虚拟回收/检测中心</x:v>
      </x:c>
      <x:c r="G105" s="17" t="str">
        <x:v>回收中心候选</x:v>
      </x:c>
      <x:c r="H105" s="24" t="n">
        <x:v>113.7452332</x:v>
      </x:c>
      <x:c r="I105" s="24" t="n">
        <x:v>23.0183568</x:v>
      </x:c>
      <x:c r="J105" s="21" t="n">
        <x:f>6371*ACOS(MIN(1,COS(D105*PI()/180)*COS(I105*PI()/180)*COS((H105-C105)*PI()/180)+SIN(D105*PI()/180)*SIN(I105*PI()/180)))</x:f>
        <x:v>84.68237310278309</x:v>
      </x:c>
      <x:c r="K105" s="21" t="n">
        <x:f>'情景参数模板'!$D$31</x:f>
        <x:v>1.2</x:v>
      </x:c>
      <x:c r="L105" s="21" t="n">
        <x:f>J105*K105</x:f>
        <x:v>101.6188477233397</x:v>
      </x:c>
    </x:row>
    <x:row r="106">
      <x:c r="A106" s="17" t="str">
        <x:v>GD03</x:v>
      </x:c>
      <x:c r="B106" s="17" t="str">
        <x:v>珠海</x:v>
      </x:c>
      <x:c r="C106" s="24" t="n">
        <x:v>113.5721327</x:v>
      </x:c>
      <x:c r="D106" s="24" t="n">
        <x:v>22.273734</x:v>
      </x:c>
      <x:c r="E106" s="17" t="str">
        <x:v>C12</x:v>
      </x:c>
      <x:c r="F106" s="17" t="str">
        <x:v>中山虚拟回收/检测中心</x:v>
      </x:c>
      <x:c r="G106" s="17" t="str">
        <x:v>回收中心候选</x:v>
      </x:c>
      <x:c r="H106" s="24" t="n">
        <x:v>113.3872302</x:v>
      </x:c>
      <x:c r="I106" s="24" t="n">
        <x:v>22.5197073</x:v>
      </x:c>
      <x:c r="J106" s="21" t="n">
        <x:f>6371*ACOS(MIN(1,COS(D106*PI()/180)*COS(I106*PI()/180)*COS((H106-C106)*PI()/180)+SIN(D106*PI()/180)*SIN(I106*PI()/180)))</x:f>
        <x:v>33.308100641100665</x:v>
      </x:c>
      <x:c r="K106" s="21" t="n">
        <x:f>'情景参数模板'!$D$31</x:f>
        <x:v>1.2</x:v>
      </x:c>
      <x:c r="L106" s="21" t="n">
        <x:f>J106*K106</x:f>
        <x:v>39.969720769320794</x:v>
      </x:c>
    </x:row>
    <x:row r="107">
      <x:c r="A107" s="17" t="str">
        <x:v>GD03</x:v>
      </x:c>
      <x:c r="B107" s="17" t="str">
        <x:v>珠海</x:v>
      </x:c>
      <x:c r="C107" s="24" t="n">
        <x:v>113.5721327</x:v>
      </x:c>
      <x:c r="D107" s="24" t="n">
        <x:v>22.273734</x:v>
      </x:c>
      <x:c r="E107" s="17" t="str">
        <x:v>C13</x:v>
      </x:c>
      <x:c r="F107" s="17" t="str">
        <x:v>江门虚拟回收/检测中心</x:v>
      </x:c>
      <x:c r="G107" s="17" t="str">
        <x:v>回收中心候选</x:v>
      </x:c>
      <x:c r="H107" s="24" t="n">
        <x:v>113.0761073</x:v>
      </x:c>
      <x:c r="I107" s="24" t="n">
        <x:v>22.5816619</x:v>
      </x:c>
      <x:c r="J107" s="21" t="n">
        <x:f>6371*ACOS(MIN(1,COS(D107*PI()/180)*COS(I107*PI()/180)*COS((H107-C107)*PI()/180)+SIN(D107*PI()/180)*SIN(I107*PI()/180)))</x:f>
        <x:v>61.4141569491265</x:v>
      </x:c>
      <x:c r="K107" s="21" t="n">
        <x:f>'情景参数模板'!$D$31</x:f>
        <x:v>1.2</x:v>
      </x:c>
      <x:c r="L107" s="21" t="n">
        <x:f>J107*K107</x:f>
        <x:v>73.6969883389518</x:v>
      </x:c>
    </x:row>
    <x:row r="108">
      <x:c r="A108" s="17" t="str">
        <x:v>GD03</x:v>
      </x:c>
      <x:c r="B108" s="17" t="str">
        <x:v>珠海</x:v>
      </x:c>
      <x:c r="C108" s="24" t="n">
        <x:v>113.5721327</x:v>
      </x:c>
      <x:c r="D108" s="24" t="n">
        <x:v>22.273734</x:v>
      </x:c>
      <x:c r="E108" s="17" t="str">
        <x:v>C14</x:v>
      </x:c>
      <x:c r="F108" s="17" t="str">
        <x:v>阳江虚拟回收/检测中心</x:v>
      </x:c>
      <x:c r="G108" s="17" t="str">
        <x:v>回收中心候选</x:v>
      </x:c>
      <x:c r="H108" s="24" t="n">
        <x:v>111.7831393</x:v>
      </x:c>
      <x:c r="I108" s="24" t="n">
        <x:v>22.0958223</x:v>
      </x:c>
      <x:c r="J108" s="21" t="n">
        <x:f>6371*ACOS(MIN(1,COS(D108*PI()/180)*COS(I108*PI()/180)*COS((H108-C108)*PI()/180)+SIN(D108*PI()/180)*SIN(I108*PI()/180)))</x:f>
        <x:v>185.25871984739948</x:v>
      </x:c>
      <x:c r="K108" s="21" t="n">
        <x:f>'情景参数模板'!$D$31</x:f>
        <x:v>1.2</x:v>
      </x:c>
      <x:c r="L108" s="21" t="n">
        <x:f>J108*K108</x:f>
        <x:v>222.31046381687938</x:v>
      </x:c>
    </x:row>
    <x:row r="109">
      <x:c r="A109" s="17" t="str">
        <x:v>GD03</x:v>
      </x:c>
      <x:c r="B109" s="17" t="str">
        <x:v>珠海</x:v>
      </x:c>
      <x:c r="C109" s="24" t="n">
        <x:v>113.5721327</x:v>
      </x:c>
      <x:c r="D109" s="24" t="n">
        <x:v>22.273734</x:v>
      </x:c>
      <x:c r="E109" s="17" t="str">
        <x:v>C15</x:v>
      </x:c>
      <x:c r="F109" s="17" t="str">
        <x:v>湛江虚拟回收/检测中心</x:v>
      </x:c>
      <x:c r="G109" s="17" t="str">
        <x:v>回收中心候选</x:v>
      </x:c>
      <x:c r="H109" s="24" t="n">
        <x:v>110.3548318</x:v>
      </x:c>
      <x:c r="I109" s="24" t="n">
        <x:v>21.2737079</x:v>
      </x:c>
      <x:c r="J109" s="21" t="n">
        <x:f>6371*ACOS(MIN(1,COS(D109*PI()/180)*COS(I109*PI()/180)*COS((H109-C109)*PI()/180)+SIN(D109*PI()/180)*SIN(I109*PI()/180)))</x:f>
        <x:v>350.328255137951</x:v>
      </x:c>
      <x:c r="K109" s="21" t="n">
        <x:f>'情景参数模板'!$D$31</x:f>
        <x:v>1.2</x:v>
      </x:c>
      <x:c r="L109" s="21" t="n">
        <x:f>J109*K109</x:f>
        <x:v>420.3939061655412</x:v>
      </x:c>
    </x:row>
    <x:row r="110">
      <x:c r="A110" s="17" t="str">
        <x:v>GD03</x:v>
      </x:c>
      <x:c r="B110" s="17" t="str">
        <x:v>珠海</x:v>
      </x:c>
      <x:c r="C110" s="24" t="n">
        <x:v>113.5721327</x:v>
      </x:c>
      <x:c r="D110" s="24" t="n">
        <x:v>22.273734</x:v>
      </x:c>
      <x:c r="E110" s="17" t="str">
        <x:v>C16</x:v>
      </x:c>
      <x:c r="F110" s="17" t="str">
        <x:v>茂名虚拟回收/检测中心</x:v>
      </x:c>
      <x:c r="G110" s="17" t="str">
        <x:v>回收中心候选</x:v>
      </x:c>
      <x:c r="H110" s="24" t="n">
        <x:v>110.9209511</x:v>
      </x:c>
      <x:c r="I110" s="24" t="n">
        <x:v>21.6656961</x:v>
      </x:c>
      <x:c r="J110" s="21" t="n">
        <x:f>6371*ACOS(MIN(1,COS(D110*PI()/180)*COS(I110*PI()/180)*COS((H110-C110)*PI()/180)+SIN(D110*PI()/180)*SIN(I110*PI()/180)))</x:f>
        <x:v>281.6212285375003</x:v>
      </x:c>
      <x:c r="K110" s="21" t="n">
        <x:f>'情景参数模板'!$D$31</x:f>
        <x:v>1.2</x:v>
      </x:c>
      <x:c r="L110" s="21" t="n">
        <x:f>J110*K110</x:f>
        <x:v>337.94547424500036</x:v>
      </x:c>
    </x:row>
    <x:row r="111">
      <x:c r="A111" s="17" t="str">
        <x:v>GD03</x:v>
      </x:c>
      <x:c r="B111" s="17" t="str">
        <x:v>珠海</x:v>
      </x:c>
      <x:c r="C111" s="24" t="n">
        <x:v>113.5721327</x:v>
      </x:c>
      <x:c r="D111" s="24" t="n">
        <x:v>22.273734</x:v>
      </x:c>
      <x:c r="E111" s="17" t="str">
        <x:v>C17</x:v>
      </x:c>
      <x:c r="F111" s="17" t="str">
        <x:v>肇庆虚拟回收/检测中心</x:v>
      </x:c>
      <x:c r="G111" s="17" t="str">
        <x:v>回收中心候选</x:v>
      </x:c>
      <x:c r="H111" s="24" t="n">
        <x:v>112.4603629</x:v>
      </x:c>
      <x:c r="I111" s="24" t="n">
        <x:v>23.0501661</x:v>
      </x:c>
      <x:c r="J111" s="21" t="n">
        <x:f>6371*ACOS(MIN(1,COS(D111*PI()/180)*COS(I111*PI()/180)*COS((H111-C111)*PI()/180)+SIN(D111*PI()/180)*SIN(I111*PI()/180)))</x:f>
        <x:v>143.0642477152054</x:v>
      </x:c>
      <x:c r="K111" s="21" t="n">
        <x:f>'情景参数模板'!$D$31</x:f>
        <x:v>1.2</x:v>
      </x:c>
      <x:c r="L111" s="21" t="n">
        <x:f>J111*K111</x:f>
        <x:v>171.67709725824648</x:v>
      </x:c>
    </x:row>
    <x:row r="112">
      <x:c r="A112" s="17" t="str">
        <x:v>GD03</x:v>
      </x:c>
      <x:c r="B112" s="17" t="str">
        <x:v>珠海</x:v>
      </x:c>
      <x:c r="C112" s="24" t="n">
        <x:v>113.5721327</x:v>
      </x:c>
      <x:c r="D112" s="24" t="n">
        <x:v>22.273734</x:v>
      </x:c>
      <x:c r="E112" s="17" t="str">
        <x:v>C18</x:v>
      </x:c>
      <x:c r="F112" s="17" t="str">
        <x:v>清远虚拟回收/检测中心</x:v>
      </x:c>
      <x:c r="G112" s="17" t="str">
        <x:v>回收中心候选</x:v>
      </x:c>
      <x:c r="H112" s="24" t="n">
        <x:v>113.0505994</x:v>
      </x:c>
      <x:c r="I112" s="24" t="n">
        <x:v>23.6832984</x:v>
      </x:c>
      <x:c r="J112" s="21" t="n">
        <x:f>6371*ACOS(MIN(1,COS(D112*PI()/180)*COS(I112*PI()/180)*COS((H112-C112)*PI()/180)+SIN(D112*PI()/180)*SIN(I112*PI()/180)))</x:f>
        <x:v>165.57958735422196</x:v>
      </x:c>
      <x:c r="K112" s="21" t="n">
        <x:f>'情景参数模板'!$D$31</x:f>
        <x:v>1.2</x:v>
      </x:c>
      <x:c r="L112" s="21" t="n">
        <x:f>J112*K112</x:f>
        <x:v>198.69550482506634</x:v>
      </x:c>
    </x:row>
    <x:row r="113">
      <x:c r="A113" s="17" t="str">
        <x:v>GD03</x:v>
      </x:c>
      <x:c r="B113" s="17" t="str">
        <x:v>珠海</x:v>
      </x:c>
      <x:c r="C113" s="24" t="n">
        <x:v>113.5721327</x:v>
      </x:c>
      <x:c r="D113" s="24" t="n">
        <x:v>22.273734</x:v>
      </x:c>
      <x:c r="E113" s="17" t="str">
        <x:v>C19</x:v>
      </x:c>
      <x:c r="F113" s="17" t="str">
        <x:v>潮州虚拟回收/检测中心</x:v>
      </x:c>
      <x:c r="G113" s="17" t="str">
        <x:v>回收中心候选</x:v>
      </x:c>
      <x:c r="H113" s="24" t="n">
        <x:v>116.6204223</x:v>
      </x:c>
      <x:c r="I113" s="24" t="n">
        <x:v>23.656593</x:v>
      </x:c>
      <x:c r="J113" s="21" t="n">
        <x:f>6371*ACOS(MIN(1,COS(D113*PI()/180)*COS(I113*PI()/180)*COS((H113-C113)*PI()/180)+SIN(D113*PI()/180)*SIN(I113*PI()/180)))</x:f>
        <x:v>347.89853925176067</x:v>
      </x:c>
      <x:c r="K113" s="21" t="n">
        <x:f>'情景参数模板'!$D$31</x:f>
        <x:v>1.2</x:v>
      </x:c>
      <x:c r="L113" s="21" t="n">
        <x:f>J113*K113</x:f>
        <x:v>417.4782471021128</x:v>
      </x:c>
    </x:row>
    <x:row r="114">
      <x:c r="A114" s="17" t="str">
        <x:v>GD03</x:v>
      </x:c>
      <x:c r="B114" s="17" t="str">
        <x:v>珠海</x:v>
      </x:c>
      <x:c r="C114" s="24" t="n">
        <x:v>113.5721327</x:v>
      </x:c>
      <x:c r="D114" s="24" t="n">
        <x:v>22.273734</x:v>
      </x:c>
      <x:c r="E114" s="17" t="str">
        <x:v>C20</x:v>
      </x:c>
      <x:c r="F114" s="17" t="str">
        <x:v>揭阳虚拟回收/检测中心</x:v>
      </x:c>
      <x:c r="G114" s="17" t="str">
        <x:v>回收中心候选</x:v>
      </x:c>
      <x:c r="H114" s="24" t="n">
        <x:v>116.3680354</x:v>
      </x:c>
      <x:c r="I114" s="24" t="n">
        <x:v>23.553156</x:v>
      </x:c>
      <x:c r="J114" s="21" t="n">
        <x:f>6371*ACOS(MIN(1,COS(D114*PI()/180)*COS(I114*PI()/180)*COS((H114-C114)*PI()/180)+SIN(D114*PI()/180)*SIN(I114*PI()/180)))</x:f>
        <x:v>319.7393294978697</x:v>
      </x:c>
      <x:c r="K114" s="21" t="n">
        <x:f>'情景参数模板'!$D$31</x:f>
        <x:v>1.2</x:v>
      </x:c>
      <x:c r="L114" s="21" t="n">
        <x:f>J114*K114</x:f>
        <x:v>383.6871953974436</x:v>
      </x:c>
    </x:row>
    <x:row r="115">
      <x:c r="A115" s="17" t="str">
        <x:v>GD03</x:v>
      </x:c>
      <x:c r="B115" s="17" t="str">
        <x:v>珠海</x:v>
      </x:c>
      <x:c r="C115" s="24" t="n">
        <x:v>113.5721327</x:v>
      </x:c>
      <x:c r="D115" s="24" t="n">
        <x:v>22.273734</x:v>
      </x:c>
      <x:c r="E115" s="17" t="str">
        <x:v>C21</x:v>
      </x:c>
      <x:c r="F115" s="17" t="str">
        <x:v>云浮虚拟回收/检测中心</x:v>
      </x:c>
      <x:c r="G115" s="17" t="str">
        <x:v>回收中心候选</x:v>
      </x:c>
      <x:c r="H115" s="24" t="n">
        <x:v>111.8078586</x:v>
      </x:c>
      <x:c r="I115" s="24" t="n">
        <x:v>22.8546663</x:v>
      </x:c>
      <x:c r="J115" s="21" t="n">
        <x:f>6371*ACOS(MIN(1,COS(D115*PI()/180)*COS(I115*PI()/180)*COS((H115-C115)*PI()/180)+SIN(D115*PI()/180)*SIN(I115*PI()/180)))</x:f>
        <x:v>192.33097216709288</x:v>
      </x:c>
      <x:c r="K115" s="21" t="n">
        <x:f>'情景参数模板'!$D$31</x:f>
        <x:v>1.2</x:v>
      </x:c>
      <x:c r="L115" s="21" t="n">
        <x:f>J115*K115</x:f>
        <x:v>230.79716660051145</x:v>
      </x:c>
    </x:row>
    <x:row r="116">
      <x:c r="A116" s="17" t="str">
        <x:v>GD03</x:v>
      </x:c>
      <x:c r="B116" s="17" t="str">
        <x:v>珠海</x:v>
      </x:c>
      <x:c r="C116" s="24" t="n">
        <x:v>113.5721327</x:v>
      </x:c>
      <x:c r="D116" s="24" t="n">
        <x:v>22.273734</x:v>
      </x:c>
      <x:c r="E116" s="17" t="str">
        <x:v>P01</x:v>
      </x:c>
      <x:c r="F116" s="17" t="str">
        <x:v>汕尾比亚迪废旧动力电池回收项目</x:v>
      </x:c>
      <x:c r="G116" s="17" t="str">
        <x:v>再生利用</x:v>
      </x:c>
      <x:c r="H116" s="24" t="n">
        <x:v>115.3492668</x:v>
      </x:c>
      <x:c r="I116" s="24" t="n">
        <x:v>22.838065</x:v>
      </x:c>
      <x:c r="J116" s="21" t="n">
        <x:f>6371*ACOS(MIN(1,COS(D116*PI()/180)*COS(I116*PI()/180)*COS((H116-C116)*PI()/180)+SIN(D116*PI()/180)*SIN(I116*PI()/180)))</x:f>
        <x:v>192.9775336831328</x:v>
      </x:c>
      <x:c r="K116" s="21" t="n">
        <x:f>'情景参数模板'!$D$31</x:f>
        <x:v>1.2</x:v>
      </x:c>
      <x:c r="L116" s="21" t="n">
        <x:f>J116*K116</x:f>
        <x:v>231.57304041975937</x:v>
      </x:c>
    </x:row>
    <x:row r="117">
      <x:c r="A117" s="17" t="str">
        <x:v>GD03</x:v>
      </x:c>
      <x:c r="B117" s="17" t="str">
        <x:v>珠海</x:v>
      </x:c>
      <x:c r="C117" s="24" t="n">
        <x:v>113.5721327</x:v>
      </x:c>
      <x:c r="D117" s="24" t="n">
        <x:v>22.273734</x:v>
      </x:c>
      <x:c r="E117" s="17" t="str">
        <x:v>P02E</x:v>
      </x:c>
      <x:c r="F117" s="17" t="str">
        <x:v>广东光华科技股份有限公司（梯次功能）</x:v>
      </x:c>
      <x:c r="G117" s="17" t="str">
        <x:v>梯次利用</x:v>
      </x:c>
      <x:c r="H117" s="24" t="n">
        <x:v>116.6775856</x:v>
      </x:c>
      <x:c r="I117" s="24" t="n">
        <x:v>23.3563921</x:v>
      </x:c>
      <x:c r="J117" s="21" t="n">
        <x:f>6371*ACOS(MIN(1,COS(D117*PI()/180)*COS(I117*PI()/180)*COS((H117-C117)*PI()/180)+SIN(D117*PI()/180)*SIN(I117*PI()/180)))</x:f>
        <x:v>340.2873692564277</x:v>
      </x:c>
      <x:c r="K117" s="21" t="n">
        <x:f>'情景参数模板'!$D$31</x:f>
        <x:v>1.2</x:v>
      </x:c>
      <x:c r="L117" s="21" t="n">
        <x:f>J117*K117</x:f>
        <x:v>408.34484310771325</x:v>
      </x:c>
    </x:row>
    <x:row r="118">
      <x:c r="A118" s="17" t="str">
        <x:v>GD03</x:v>
      </x:c>
      <x:c r="B118" s="17" t="str">
        <x:v>珠海</x:v>
      </x:c>
      <x:c r="C118" s="24" t="n">
        <x:v>113.5721327</x:v>
      </x:c>
      <x:c r="D118" s="24" t="n">
        <x:v>22.273734</x:v>
      </x:c>
      <x:c r="E118" s="17" t="str">
        <x:v>P02R</x:v>
      </x:c>
      <x:c r="F118" s="17" t="str">
        <x:v>广东光华科技股份有限公司（再生功能）</x:v>
      </x:c>
      <x:c r="G118" s="17" t="str">
        <x:v>再生利用</x:v>
      </x:c>
      <x:c r="H118" s="24" t="n">
        <x:v>116.6775856</x:v>
      </x:c>
      <x:c r="I118" s="24" t="n">
        <x:v>23.3563921</x:v>
      </x:c>
      <x:c r="J118" s="21" t="n">
        <x:f>6371*ACOS(MIN(1,COS(D118*PI()/180)*COS(I118*PI()/180)*COS((H118-C118)*PI()/180)+SIN(D118*PI()/180)*SIN(I118*PI()/180)))</x:f>
        <x:v>340.2873692564277</x:v>
      </x:c>
      <x:c r="K118" s="21" t="n">
        <x:f>'情景参数模板'!$D$31</x:f>
        <x:v>1.2</x:v>
      </x:c>
      <x:c r="L118" s="21" t="n">
        <x:f>J118*K118</x:f>
        <x:v>408.34484310771325</x:v>
      </x:c>
    </x:row>
    <x:row r="119">
      <x:c r="A119" s="17" t="str">
        <x:v>GD03</x:v>
      </x:c>
      <x:c r="B119" s="17" t="str">
        <x:v>珠海</x:v>
      </x:c>
      <x:c r="C119" s="24" t="n">
        <x:v>113.5721327</x:v>
      </x:c>
      <x:c r="D119" s="24" t="n">
        <x:v>22.273734</x:v>
      </x:c>
      <x:c r="E119" s="17" t="str">
        <x:v>P03</x:v>
      </x:c>
      <x:c r="F119" s="17" t="str">
        <x:v>深圳深汕特别合作区乾泰技术有限公司</x:v>
      </x:c>
      <x:c r="G119" s="17" t="str">
        <x:v>梯次利用</x:v>
      </x:c>
      <x:c r="H119" s="24" t="n">
        <x:v>115.5099937</x:v>
      </x:c>
      <x:c r="I119" s="24" t="n">
        <x:v>23.0123639</x:v>
      </x:c>
      <x:c r="J119" s="21" t="n">
        <x:f>6371*ACOS(MIN(1,COS(D119*PI()/180)*COS(I119*PI()/180)*COS((H119-C119)*PI()/180)+SIN(D119*PI()/180)*SIN(I119*PI()/180)))</x:f>
        <x:v>215.16056931228954</x:v>
      </x:c>
      <x:c r="K119" s="21" t="n">
        <x:f>'情景参数模板'!$D$31</x:f>
        <x:v>1.2</x:v>
      </x:c>
      <x:c r="L119" s="21" t="n">
        <x:f>J119*K119</x:f>
        <x:v>258.19268317474746</x:v>
      </x:c>
    </x:row>
    <x:row r="120">
      <x:c r="A120" s="17" t="str">
        <x:v>GD03</x:v>
      </x:c>
      <x:c r="B120" s="17" t="str">
        <x:v>珠海</x:v>
      </x:c>
      <x:c r="C120" s="24" t="n">
        <x:v>113.5721327</x:v>
      </x:c>
      <x:c r="D120" s="24" t="n">
        <x:v>22.273734</x:v>
      </x:c>
      <x:c r="E120" s="17" t="str">
        <x:v>P04</x:v>
      </x:c>
      <x:c r="F120" s="17" t="str">
        <x:v>珠海中力新能源科技有限公司</x:v>
      </x:c>
      <x:c r="G120" s="17" t="str">
        <x:v>梯次利用</x:v>
      </x:c>
      <x:c r="H120" s="24" t="n">
        <x:v>113.5721327</x:v>
      </x:c>
      <x:c r="I120" s="24" t="n">
        <x:v>22.273734</x:v>
      </x:c>
      <x:c r="J120" s="21" t="n">
        <x:f>6371*ACOS(MIN(1,COS(D120*PI()/180)*COS(I120*PI()/180)*COS((H120-C120)*PI()/180)+SIN(D120*PI()/180)*SIN(I120*PI()/180)))</x:f>
        <x:v>0</x:v>
      </x:c>
      <x:c r="K120" s="21" t="n">
        <x:f>'情景参数模板'!$D$31</x:f>
        <x:v>1.2</x:v>
      </x:c>
      <x:c r="L120" s="21" t="n">
        <x:f>J120*K120</x:f>
        <x:v>0</x:v>
      </x:c>
    </x:row>
    <x:row r="121">
      <x:c r="A121" s="17" t="str">
        <x:v>GD03</x:v>
      </x:c>
      <x:c r="B121" s="17" t="str">
        <x:v>珠海</x:v>
      </x:c>
      <x:c r="C121" s="24" t="n">
        <x:v>113.5721327</x:v>
      </x:c>
      <x:c r="D121" s="24" t="n">
        <x:v>22.273734</x:v>
      </x:c>
      <x:c r="E121" s="17" t="str">
        <x:v>P05</x:v>
      </x:c>
      <x:c r="F121" s="17" t="str">
        <x:v>惠州市恒创睿能环保科技有限公司</x:v>
      </x:c>
      <x:c r="G121" s="17" t="str">
        <x:v>梯次利用</x:v>
      </x:c>
      <x:c r="H121" s="24" t="n">
        <x:v>114.4127007</x:v>
      </x:c>
      <x:c r="I121" s="24" t="n">
        <x:v>23.1125153</x:v>
      </x:c>
      <x:c r="J121" s="21" t="n">
        <x:f>6371*ACOS(MIN(1,COS(D121*PI()/180)*COS(I121*PI()/180)*COS((H121-C121)*PI()/180)+SIN(D121*PI()/180)*SIN(I121*PI()/180)))</x:f>
        <x:v>127.02181764289968</x:v>
      </x:c>
      <x:c r="K121" s="21" t="n">
        <x:f>'情景参数模板'!$D$31</x:f>
        <x:v>1.2</x:v>
      </x:c>
      <x:c r="L121" s="21" t="n">
        <x:f>J121*K121</x:f>
        <x:v>152.4261811714796</x:v>
      </x:c>
    </x:row>
    <x:row r="122">
      <x:c r="A122" s="17" t="str">
        <x:v>GD03</x:v>
      </x:c>
      <x:c r="B122" s="17" t="str">
        <x:v>珠海</x:v>
      </x:c>
      <x:c r="C122" s="24" t="n">
        <x:v>113.5721327</x:v>
      </x:c>
      <x:c r="D122" s="24" t="n">
        <x:v>22.273734</x:v>
      </x:c>
      <x:c r="E122" s="17" t="str">
        <x:v>P06</x:v>
      </x:c>
      <x:c r="F122" s="17" t="str">
        <x:v>江门市朗达锂电池有限公司</x:v>
      </x:c>
      <x:c r="G122" s="17" t="str">
        <x:v>梯次利用</x:v>
      </x:c>
      <x:c r="H122" s="24" t="n">
        <x:v>113.0761073</x:v>
      </x:c>
      <x:c r="I122" s="24" t="n">
        <x:v>22.5816619</x:v>
      </x:c>
      <x:c r="J122" s="21" t="n">
        <x:f>6371*ACOS(MIN(1,COS(D122*PI()/180)*COS(I122*PI()/180)*COS((H122-C122)*PI()/180)+SIN(D122*PI()/180)*SIN(I122*PI()/180)))</x:f>
        <x:v>61.4141569491265</x:v>
      </x:c>
      <x:c r="K122" s="21" t="n">
        <x:f>'情景参数模板'!$D$31</x:f>
        <x:v>1.2</x:v>
      </x:c>
      <x:c r="L122" s="21" t="n">
        <x:f>J122*K122</x:f>
        <x:v>73.6969883389518</x:v>
      </x:c>
    </x:row>
    <x:row r="123">
      <x:c r="A123" s="17" t="str">
        <x:v>GD03</x:v>
      </x:c>
      <x:c r="B123" s="17" t="str">
        <x:v>珠海</x:v>
      </x:c>
      <x:c r="C123" s="24" t="n">
        <x:v>113.5721327</x:v>
      </x:c>
      <x:c r="D123" s="24" t="n">
        <x:v>22.273734</x:v>
      </x:c>
      <x:c r="E123" s="17" t="str">
        <x:v>P07</x:v>
      </x:c>
      <x:c r="F123" s="17" t="str">
        <x:v>广东迪度新能源有限公司</x:v>
      </x:c>
      <x:c r="G123" s="17" t="str">
        <x:v>梯次利用</x:v>
      </x:c>
      <x:c r="H123" s="24" t="n">
        <x:v>113.7452332</x:v>
      </x:c>
      <x:c r="I123" s="24" t="n">
        <x:v>23.0183568</x:v>
      </x:c>
      <x:c r="J123" s="21" t="n">
        <x:f>6371*ACOS(MIN(1,COS(D123*PI()/180)*COS(I123*PI()/180)*COS((H123-C123)*PI()/180)+SIN(D123*PI()/180)*SIN(I123*PI()/180)))</x:f>
        <x:v>84.68237310278309</x:v>
      </x:c>
      <x:c r="K123" s="21" t="n">
        <x:f>'情景参数模板'!$D$31</x:f>
        <x:v>1.2</x:v>
      </x:c>
      <x:c r="L123" s="21" t="n">
        <x:f>J123*K123</x:f>
        <x:v>101.6188477233397</x:v>
      </x:c>
    </x:row>
    <x:row r="124">
      <x:c r="A124" s="17" t="str">
        <x:v>GD03</x:v>
      </x:c>
      <x:c r="B124" s="17" t="str">
        <x:v>珠海</x:v>
      </x:c>
      <x:c r="C124" s="24" t="n">
        <x:v>113.5721327</x:v>
      </x:c>
      <x:c r="D124" s="24" t="n">
        <x:v>22.273734</x:v>
      </x:c>
      <x:c r="E124" s="17" t="str">
        <x:v>P08</x:v>
      </x:c>
      <x:c r="F124" s="17" t="str">
        <x:v>东莞市博森新能源有限公司</x:v>
      </x:c>
      <x:c r="G124" s="17" t="str">
        <x:v>梯次利用</x:v>
      </x:c>
      <x:c r="H124" s="24" t="n">
        <x:v>113.7452332</x:v>
      </x:c>
      <x:c r="I124" s="24" t="n">
        <x:v>23.0183568</x:v>
      </x:c>
      <x:c r="J124" s="21" t="n">
        <x:f>6371*ACOS(MIN(1,COS(D124*PI()/180)*COS(I124*PI()/180)*COS((H124-C124)*PI()/180)+SIN(D124*PI()/180)*SIN(I124*PI()/180)))</x:f>
        <x:v>84.68237310278309</x:v>
      </x:c>
      <x:c r="K124" s="21" t="n">
        <x:f>'情景参数模板'!$D$31</x:f>
        <x:v>1.2</x:v>
      </x:c>
      <x:c r="L124" s="21" t="n">
        <x:f>J124*K124</x:f>
        <x:v>101.6188477233397</x:v>
      </x:c>
    </x:row>
    <x:row r="125">
      <x:c r="A125" s="17" t="str">
        <x:v>GD03</x:v>
      </x:c>
      <x:c r="B125" s="17" t="str">
        <x:v>珠海</x:v>
      </x:c>
      <x:c r="C125" s="24" t="n">
        <x:v>113.5721327</x:v>
      </x:c>
      <x:c r="D125" s="24" t="n">
        <x:v>22.273734</x:v>
      </x:c>
      <x:c r="E125" s="17" t="str">
        <x:v>P09</x:v>
      </x:c>
      <x:c r="F125" s="17" t="str">
        <x:v>广东宇阳新能源有限公司</x:v>
      </x:c>
      <x:c r="G125" s="17" t="str">
        <x:v>梯次利用</x:v>
      </x:c>
      <x:c r="H125" s="24" t="n">
        <x:v>113.7452332</x:v>
      </x:c>
      <x:c r="I125" s="24" t="n">
        <x:v>23.0183568</x:v>
      </x:c>
      <x:c r="J125" s="21" t="n">
        <x:f>6371*ACOS(MIN(1,COS(D125*PI()/180)*COS(I125*PI()/180)*COS((H125-C125)*PI()/180)+SIN(D125*PI()/180)*SIN(I125*PI()/180)))</x:f>
        <x:v>84.68237310278309</x:v>
      </x:c>
      <x:c r="K125" s="21" t="n">
        <x:f>'情景参数模板'!$D$31</x:f>
        <x:v>1.2</x:v>
      </x:c>
      <x:c r="L125" s="21" t="n">
        <x:f>J125*K125</x:f>
        <x:v>101.6188477233397</x:v>
      </x:c>
    </x:row>
    <x:row r="126">
      <x:c r="A126" s="17" t="str">
        <x:v>GD03</x:v>
      </x:c>
      <x:c r="B126" s="17" t="str">
        <x:v>珠海</x:v>
      </x:c>
      <x:c r="C126" s="24" t="n">
        <x:v>113.5721327</x:v>
      </x:c>
      <x:c r="D126" s="24" t="n">
        <x:v>22.273734</x:v>
      </x:c>
      <x:c r="E126" s="17" t="str">
        <x:v>P10</x:v>
      </x:c>
      <x:c r="F126" s="17" t="str">
        <x:v>广州广汽商贸再生资源有限公司</x:v>
      </x:c>
      <x:c r="G126" s="17" t="str">
        <x:v>梯次利用</x:v>
      </x:c>
      <x:c r="H126" s="24" t="n">
        <x:v>113.2589581</x:v>
      </x:c>
      <x:c r="I126" s="24" t="n">
        <x:v>23.1288429</x:v>
      </x:c>
      <x:c r="J126" s="21" t="n">
        <x:f>6371*ACOS(MIN(1,COS(D126*PI()/180)*COS(I126*PI()/180)*COS((H126-C126)*PI()/180)+SIN(D126*PI()/180)*SIN(I126*PI()/180)))</x:f>
        <x:v>100.36408935304908</x:v>
      </x:c>
      <x:c r="K126" s="21" t="n">
        <x:f>'情景参数模板'!$D$31</x:f>
        <x:v>1.2</x:v>
      </x:c>
      <x:c r="L126" s="21" t="n">
        <x:f>J126*K126</x:f>
        <x:v>120.43690722365889</x:v>
      </x:c>
    </x:row>
    <x:row r="127">
      <x:c r="A127" s="17" t="str">
        <x:v>GD03</x:v>
      </x:c>
      <x:c r="B127" s="17" t="str">
        <x:v>珠海</x:v>
      </x:c>
      <x:c r="C127" s="24" t="n">
        <x:v>113.5721327</x:v>
      </x:c>
      <x:c r="D127" s="24" t="n">
        <x:v>22.273734</x:v>
      </x:c>
      <x:c r="E127" s="17" t="str">
        <x:v>P11</x:v>
      </x:c>
      <x:c r="F127" s="17" t="str">
        <x:v>深圳市杰成镍钴新能源科技有限公司</x:v>
      </x:c>
      <x:c r="G127" s="17" t="str">
        <x:v>梯次利用</x:v>
      </x:c>
      <x:c r="H127" s="24" t="n">
        <x:v>114.0545429</x:v>
      </x:c>
      <x:c r="I127" s="24" t="n">
        <x:v>22.5445741</x:v>
      </x:c>
      <x:c r="J127" s="21" t="n">
        <x:f>6371*ACOS(MIN(1,COS(D127*PI()/180)*COS(I127*PI()/180)*COS((H127-C127)*PI()/180)+SIN(D127*PI()/180)*SIN(I127*PI()/180)))</x:f>
        <x:v>58.019114911578654</x:v>
      </x:c>
      <x:c r="K127" s="21" t="n">
        <x:f>'情景参数模板'!$D$31</x:f>
        <x:v>1.2</x:v>
      </x:c>
      <x:c r="L127" s="21" t="n">
        <x:f>J127*K127</x:f>
        <x:v>69.62293789389439</x:v>
      </x:c>
    </x:row>
    <x:row r="128">
      <x:c r="A128" s="17" t="str">
        <x:v>GD03</x:v>
      </x:c>
      <x:c r="B128" s="17" t="str">
        <x:v>珠海</x:v>
      </x:c>
      <x:c r="C128" s="24" t="n">
        <x:v>113.5721327</x:v>
      </x:c>
      <x:c r="D128" s="24" t="n">
        <x:v>22.273734</x:v>
      </x:c>
      <x:c r="E128" s="17" t="str">
        <x:v>P12</x:v>
      </x:c>
      <x:c r="F128" s="17" t="str">
        <x:v>江门市恒创睿能环保科技有限公司</x:v>
      </x:c>
      <x:c r="G128" s="17" t="str">
        <x:v>再生利用</x:v>
      </x:c>
      <x:c r="H128" s="24" t="n">
        <x:v>113.0761073</x:v>
      </x:c>
      <x:c r="I128" s="24" t="n">
        <x:v>22.5816619</x:v>
      </x:c>
      <x:c r="J128" s="21" t="n">
        <x:f>6371*ACOS(MIN(1,COS(D128*PI()/180)*COS(I128*PI()/180)*COS((H128-C128)*PI()/180)+SIN(D128*PI()/180)*SIN(I128*PI()/180)))</x:f>
        <x:v>61.4141569491265</x:v>
      </x:c>
      <x:c r="K128" s="21" t="n">
        <x:f>'情景参数模板'!$D$31</x:f>
        <x:v>1.2</x:v>
      </x:c>
      <x:c r="L128" s="21" t="n">
        <x:f>J128*K128</x:f>
        <x:v>73.6969883389518</x:v>
      </x:c>
    </x:row>
    <x:row r="129">
      <x:c r="A129" s="17" t="str">
        <x:v>GD03</x:v>
      </x:c>
      <x:c r="B129" s="17" t="str">
        <x:v>珠海</x:v>
      </x:c>
      <x:c r="C129" s="24" t="n">
        <x:v>113.5721327</x:v>
      </x:c>
      <x:c r="D129" s="24" t="n">
        <x:v>22.273734</x:v>
      </x:c>
      <x:c r="E129" s="17" t="str">
        <x:v>P13</x:v>
      </x:c>
      <x:c r="F129" s="17" t="str">
        <x:v>广东佳纳能源科技有限公司</x:v>
      </x:c>
      <x:c r="G129" s="17" t="str">
        <x:v>再生利用</x:v>
      </x:c>
      <x:c r="H129" s="24" t="n">
        <x:v>113.0505994</x:v>
      </x:c>
      <x:c r="I129" s="24" t="n">
        <x:v>23.6832984</x:v>
      </x:c>
      <x:c r="J129" s="21" t="n">
        <x:f>6371*ACOS(MIN(1,COS(D129*PI()/180)*COS(I129*PI()/180)*COS((H129-C129)*PI()/180)+SIN(D129*PI()/180)*SIN(I129*PI()/180)))</x:f>
        <x:v>165.57958735422196</x:v>
      </x:c>
      <x:c r="K129" s="21" t="n">
        <x:f>'情景参数模板'!$D$31</x:f>
        <x:v>1.2</x:v>
      </x:c>
      <x:c r="L129" s="21" t="n">
        <x:f>J129*K129</x:f>
        <x:v>198.69550482506634</x:v>
      </x:c>
    </x:row>
    <x:row r="130">
      <x:c r="A130" s="17" t="str">
        <x:v>GD03</x:v>
      </x:c>
      <x:c r="B130" s="17" t="str">
        <x:v>珠海</x:v>
      </x:c>
      <x:c r="C130" s="24" t="n">
        <x:v>113.5721327</x:v>
      </x:c>
      <x:c r="D130" s="24" t="n">
        <x:v>22.273734</x:v>
      </x:c>
      <x:c r="E130" s="17" t="str">
        <x:v>P14</x:v>
      </x:c>
      <x:c r="F130" s="17" t="str">
        <x:v>格林美（深圳）循环科技有限公司</x:v>
      </x:c>
      <x:c r="G130" s="17" t="str">
        <x:v>梯次利用</x:v>
      </x:c>
      <x:c r="H130" s="24" t="n">
        <x:v>114.0545429</x:v>
      </x:c>
      <x:c r="I130" s="24" t="n">
        <x:v>22.5445741</x:v>
      </x:c>
      <x:c r="J130" s="21" t="n">
        <x:f>6371*ACOS(MIN(1,COS(D130*PI()/180)*COS(I130*PI()/180)*COS((H130-C130)*PI()/180)+SIN(D130*PI()/180)*SIN(I130*PI()/180)))</x:f>
        <x:v>58.019114911578654</x:v>
      </x:c>
      <x:c r="K130" s="21" t="n">
        <x:f>'情景参数模板'!$D$31</x:f>
        <x:v>1.2</x:v>
      </x:c>
      <x:c r="L130" s="21" t="n">
        <x:f>J130*K130</x:f>
        <x:v>69.62293789389439</x:v>
      </x:c>
    </x:row>
    <x:row r="131">
      <x:c r="A131" s="17" t="str">
        <x:v>GD03</x:v>
      </x:c>
      <x:c r="B131" s="17" t="str">
        <x:v>珠海</x:v>
      </x:c>
      <x:c r="C131" s="24" t="n">
        <x:v>113.5721327</x:v>
      </x:c>
      <x:c r="D131" s="24" t="n">
        <x:v>22.273734</x:v>
      </x:c>
      <x:c r="E131" s="17" t="str">
        <x:v>P15</x:v>
      </x:c>
      <x:c r="F131" s="17" t="str">
        <x:v>绿循新能源科技（佛山）有限责任公司</x:v>
      </x:c>
      <x:c r="G131" s="17" t="str">
        <x:v>梯次利用</x:v>
      </x:c>
      <x:c r="H131" s="24" t="n">
        <x:v>113.1159558</x:v>
      </x:c>
      <x:c r="I131" s="24" t="n">
        <x:v>23.0239788</x:v>
      </x:c>
      <x:c r="J131" s="21" t="n">
        <x:f>6371*ACOS(MIN(1,COS(D131*PI()/180)*COS(I131*PI()/180)*COS((H131-C131)*PI()/180)+SIN(D131*PI()/180)*SIN(I131*PI()/180)))</x:f>
        <x:v>95.6600972197494</x:v>
      </x:c>
      <x:c r="K131" s="21" t="n">
        <x:f>'情景参数模板'!$D$31</x:f>
        <x:v>1.2</x:v>
      </x:c>
      <x:c r="L131" s="21" t="n">
        <x:f>J131*K131</x:f>
        <x:v>114.79211666369928</x:v>
      </x:c>
    </x:row>
    <x:row r="132">
      <x:c r="A132" s="17" t="str">
        <x:v>GD03</x:v>
      </x:c>
      <x:c r="B132" s="17" t="str">
        <x:v>珠海</x:v>
      </x:c>
      <x:c r="C132" s="24" t="n">
        <x:v>113.5721327</x:v>
      </x:c>
      <x:c r="D132" s="24" t="n">
        <x:v>22.273734</x:v>
      </x:c>
      <x:c r="E132" s="17" t="str">
        <x:v>P16</x:v>
      </x:c>
      <x:c r="F132" s="17" t="str">
        <x:v>深圳艾云动智慧科技有限公司</x:v>
      </x:c>
      <x:c r="G132" s="17" t="str">
        <x:v>梯次利用</x:v>
      </x:c>
      <x:c r="H132" s="24" t="n">
        <x:v>114.0545429</x:v>
      </x:c>
      <x:c r="I132" s="24" t="n">
        <x:v>22.5445741</x:v>
      </x:c>
      <x:c r="J132" s="21" t="n">
        <x:f>6371*ACOS(MIN(1,COS(D132*PI()/180)*COS(I132*PI()/180)*COS((H132-C132)*PI()/180)+SIN(D132*PI()/180)*SIN(I132*PI()/180)))</x:f>
        <x:v>58.019114911578654</x:v>
      </x:c>
      <x:c r="K132" s="21" t="n">
        <x:f>'情景参数模板'!$D$31</x:f>
        <x:v>1.2</x:v>
      </x:c>
      <x:c r="L132" s="21" t="n">
        <x:f>J132*K132</x:f>
        <x:v>69.62293789389439</x:v>
      </x:c>
    </x:row>
    <x:row r="133">
      <x:c r="A133" s="17" t="str">
        <x:v>GD03</x:v>
      </x:c>
      <x:c r="B133" s="17" t="str">
        <x:v>珠海</x:v>
      </x:c>
      <x:c r="C133" s="24" t="n">
        <x:v>113.5721327</x:v>
      </x:c>
      <x:c r="D133" s="24" t="n">
        <x:v>22.273734</x:v>
      </x:c>
      <x:c r="E133" s="17" t="str">
        <x:v>P17</x:v>
      </x:c>
      <x:c r="F133" s="17" t="str">
        <x:v>深圳市荣高晟新能源科技有限公司</x:v>
      </x:c>
      <x:c r="G133" s="17" t="str">
        <x:v>梯次利用</x:v>
      </x:c>
      <x:c r="H133" s="24" t="n">
        <x:v>114.0545429</x:v>
      </x:c>
      <x:c r="I133" s="24" t="n">
        <x:v>22.5445741</x:v>
      </x:c>
      <x:c r="J133" s="21" t="n">
        <x:f>6371*ACOS(MIN(1,COS(D133*PI()/180)*COS(I133*PI()/180)*COS((H133-C133)*PI()/180)+SIN(D133*PI()/180)*SIN(I133*PI()/180)))</x:f>
        <x:v>58.019114911578654</x:v>
      </x:c>
      <x:c r="K133" s="21" t="n">
        <x:f>'情景参数模板'!$D$31</x:f>
        <x:v>1.2</x:v>
      </x:c>
      <x:c r="L133" s="21" t="n">
        <x:f>J133*K133</x:f>
        <x:v>69.62293789389439</x:v>
      </x:c>
    </x:row>
    <x:row r="134">
      <x:c r="A134" s="17" t="str">
        <x:v>GD03</x:v>
      </x:c>
      <x:c r="B134" s="17" t="str">
        <x:v>珠海</x:v>
      </x:c>
      <x:c r="C134" s="24" t="n">
        <x:v>113.5721327</x:v>
      </x:c>
      <x:c r="D134" s="24" t="n">
        <x:v>22.273734</x:v>
      </x:c>
      <x:c r="E134" s="17" t="str">
        <x:v>P18</x:v>
      </x:c>
      <x:c r="F134" s="17" t="str">
        <x:v>中商锂新能源科技（惠州）有限公司</x:v>
      </x:c>
      <x:c r="G134" s="17" t="str">
        <x:v>梯次利用</x:v>
      </x:c>
      <x:c r="H134" s="24" t="n">
        <x:v>114.4127007</x:v>
      </x:c>
      <x:c r="I134" s="24" t="n">
        <x:v>23.1125153</x:v>
      </x:c>
      <x:c r="J134" s="21" t="n">
        <x:f>6371*ACOS(MIN(1,COS(D134*PI()/180)*COS(I134*PI()/180)*COS((H134-C134)*PI()/180)+SIN(D134*PI()/180)*SIN(I134*PI()/180)))</x:f>
        <x:v>127.02181764289968</x:v>
      </x:c>
      <x:c r="K134" s="21" t="n">
        <x:f>'情景参数模板'!$D$31</x:f>
        <x:v>1.2</x:v>
      </x:c>
      <x:c r="L134" s="21" t="n">
        <x:f>J134*K134</x:f>
        <x:v>152.4261811714796</x:v>
      </x:c>
    </x:row>
    <x:row r="135">
      <x:c r="A135" s="17" t="str">
        <x:v>GD03</x:v>
      </x:c>
      <x:c r="B135" s="17" t="str">
        <x:v>珠海</x:v>
      </x:c>
      <x:c r="C135" s="24" t="n">
        <x:v>113.5721327</x:v>
      </x:c>
      <x:c r="D135" s="24" t="n">
        <x:v>22.273734</x:v>
      </x:c>
      <x:c r="E135" s="17" t="str">
        <x:v>P19</x:v>
      </x:c>
      <x:c r="F135" s="17" t="str">
        <x:v>广东盛祥新材料科技有限公司</x:v>
      </x:c>
      <x:c r="G135" s="17" t="str">
        <x:v>再生利用</x:v>
      </x:c>
      <x:c r="H135" s="24" t="n">
        <x:v>113.8155263</x:v>
      </x:c>
      <x:c r="I135" s="24" t="n">
        <x:v>24.8309489</x:v>
      </x:c>
      <x:c r="J135" s="21" t="n">
        <x:f>6371*ACOS(MIN(1,COS(D135*PI()/180)*COS(I135*PI()/180)*COS((H135-C135)*PI()/180)+SIN(D135*PI()/180)*SIN(I135*PI()/180)))</x:f>
        <x:v>285.4293111538577</x:v>
      </x:c>
      <x:c r="K135" s="21" t="n">
        <x:f>'情景参数模板'!$D$31</x:f>
        <x:v>1.2</x:v>
      </x:c>
      <x:c r="L135" s="21" t="n">
        <x:f>J135*K135</x:f>
        <x:v>342.51517338462924</x:v>
      </x:c>
    </x:row>
    <x:row r="136">
      <x:c r="A136" s="17" t="str">
        <x:v>GD03</x:v>
      </x:c>
      <x:c r="B136" s="17" t="str">
        <x:v>珠海</x:v>
      </x:c>
      <x:c r="C136" s="24" t="n">
        <x:v>113.5721327</x:v>
      </x:c>
      <x:c r="D136" s="24" t="n">
        <x:v>22.273734</x:v>
      </x:c>
      <x:c r="E136" s="17" t="str">
        <x:v>P20E</x:v>
      </x:c>
      <x:c r="F136" s="17" t="str">
        <x:v>广东金晟新能源股份有限公司（梯次功能）</x:v>
      </x:c>
      <x:c r="G136" s="17" t="str">
        <x:v>梯次利用</x:v>
      </x:c>
      <x:c r="H136" s="24" t="n">
        <x:v>112.4603629</x:v>
      </x:c>
      <x:c r="I136" s="24" t="n">
        <x:v>23.0501661</x:v>
      </x:c>
      <x:c r="J136" s="21" t="n">
        <x:f>6371*ACOS(MIN(1,COS(D136*PI()/180)*COS(I136*PI()/180)*COS((H136-C136)*PI()/180)+SIN(D136*PI()/180)*SIN(I136*PI()/180)))</x:f>
        <x:v>143.0642477152054</x:v>
      </x:c>
      <x:c r="K136" s="21" t="n">
        <x:f>'情景参数模板'!$D$31</x:f>
        <x:v>1.2</x:v>
      </x:c>
      <x:c r="L136" s="21" t="n">
        <x:f>J136*K136</x:f>
        <x:v>171.67709725824648</x:v>
      </x:c>
    </x:row>
    <x:row r="137">
      <x:c r="A137" s="17" t="str">
        <x:v>GD03</x:v>
      </x:c>
      <x:c r="B137" s="17" t="str">
        <x:v>珠海</x:v>
      </x:c>
      <x:c r="C137" s="24" t="n">
        <x:v>113.5721327</x:v>
      </x:c>
      <x:c r="D137" s="24" t="n">
        <x:v>22.273734</x:v>
      </x:c>
      <x:c r="E137" s="17" t="str">
        <x:v>P20R</x:v>
      </x:c>
      <x:c r="F137" s="17" t="str">
        <x:v>广东金晟新能源股份有限公司（再生功能）</x:v>
      </x:c>
      <x:c r="G137" s="17" t="str">
        <x:v>再生利用</x:v>
      </x:c>
      <x:c r="H137" s="24" t="n">
        <x:v>112.4603629</x:v>
      </x:c>
      <x:c r="I137" s="24" t="n">
        <x:v>23.0501661</x:v>
      </x:c>
      <x:c r="J137" s="21" t="n">
        <x:f>6371*ACOS(MIN(1,COS(D137*PI()/180)*COS(I137*PI()/180)*COS((H137-C137)*PI()/180)+SIN(D137*PI()/180)*SIN(I137*PI()/180)))</x:f>
        <x:v>143.0642477152054</x:v>
      </x:c>
      <x:c r="K137" s="21" t="n">
        <x:f>'情景参数模板'!$D$31</x:f>
        <x:v>1.2</x:v>
      </x:c>
      <x:c r="L137" s="21" t="n">
        <x:f>J137*K137</x:f>
        <x:v>171.67709725824648</x:v>
      </x:c>
    </x:row>
    <x:row r="138">
      <x:c r="A138" s="17" t="str">
        <x:v>GD03</x:v>
      </x:c>
      <x:c r="B138" s="17" t="str">
        <x:v>珠海</x:v>
      </x:c>
      <x:c r="C138" s="24" t="n">
        <x:v>113.5721327</x:v>
      </x:c>
      <x:c r="D138" s="24" t="n">
        <x:v>22.273734</x:v>
      </x:c>
      <x:c r="E138" s="17" t="str">
        <x:v>P21E</x:v>
      </x:c>
      <x:c r="F138" s="17" t="str">
        <x:v>广东瑞科美电源技术有限公司（梯次功能）</x:v>
      </x:c>
      <x:c r="G138" s="17" t="str">
        <x:v>梯次利用</x:v>
      </x:c>
      <x:c r="H138" s="24" t="n">
        <x:v>113.1159558</x:v>
      </x:c>
      <x:c r="I138" s="24" t="n">
        <x:v>23.0239788</x:v>
      </x:c>
      <x:c r="J138" s="21" t="n">
        <x:f>6371*ACOS(MIN(1,COS(D138*PI()/180)*COS(I138*PI()/180)*COS((H138-C138)*PI()/180)+SIN(D138*PI()/180)*SIN(I138*PI()/180)))</x:f>
        <x:v>95.6600972197494</x:v>
      </x:c>
      <x:c r="K138" s="21" t="n">
        <x:f>'情景参数模板'!$D$31</x:f>
        <x:v>1.2</x:v>
      </x:c>
      <x:c r="L138" s="21" t="n">
        <x:f>J138*K138</x:f>
        <x:v>114.79211666369928</x:v>
      </x:c>
    </x:row>
    <x:row r="139">
      <x:c r="A139" s="17" t="str">
        <x:v>GD03</x:v>
      </x:c>
      <x:c r="B139" s="17" t="str">
        <x:v>珠海</x:v>
      </x:c>
      <x:c r="C139" s="24" t="n">
        <x:v>113.5721327</x:v>
      </x:c>
      <x:c r="D139" s="24" t="n">
        <x:v>22.273734</x:v>
      </x:c>
      <x:c r="E139" s="17" t="str">
        <x:v>P21R</x:v>
      </x:c>
      <x:c r="F139" s="17" t="str">
        <x:v>广东瑞科美电源技术有限公司（再生功能）</x:v>
      </x:c>
      <x:c r="G139" s="17" t="str">
        <x:v>再生利用</x:v>
      </x:c>
      <x:c r="H139" s="24" t="n">
        <x:v>113.1159558</x:v>
      </x:c>
      <x:c r="I139" s="24" t="n">
        <x:v>23.0239788</x:v>
      </x:c>
      <x:c r="J139" s="21" t="n">
        <x:f>6371*ACOS(MIN(1,COS(D139*PI()/180)*COS(I139*PI()/180)*COS((H139-C139)*PI()/180)+SIN(D139*PI()/180)*SIN(I139*PI()/180)))</x:f>
        <x:v>95.6600972197494</x:v>
      </x:c>
      <x:c r="K139" s="21" t="n">
        <x:f>'情景参数模板'!$D$31</x:f>
        <x:v>1.2</x:v>
      </x:c>
      <x:c r="L139" s="21" t="n">
        <x:f>J139*K139</x:f>
        <x:v>114.79211666369928</x:v>
      </x:c>
    </x:row>
    <x:row r="140">
      <x:c r="A140" s="17" t="str">
        <x:v>GD04</x:v>
      </x:c>
      <x:c r="B140" s="17" t="str">
        <x:v>汕头</x:v>
      </x:c>
      <x:c r="C140" s="24" t="n">
        <x:v>116.6775856</x:v>
      </x:c>
      <x:c r="D140" s="24" t="n">
        <x:v>23.3563921</x:v>
      </x:c>
      <x:c r="E140" s="17" t="str">
        <x:v>C01</x:v>
      </x:c>
      <x:c r="F140" s="17" t="str">
        <x:v>广州虚拟回收/检测中心</x:v>
      </x:c>
      <x:c r="G140" s="17" t="str">
        <x:v>回收中心候选</x:v>
      </x:c>
      <x:c r="H140" s="24" t="n">
        <x:v>113.2589581</x:v>
      </x:c>
      <x:c r="I140" s="24" t="n">
        <x:v>23.1288429</x:v>
      </x:c>
      <x:c r="J140" s="21" t="n">
        <x:f>6371*ACOS(MIN(1,COS(D140*PI()/180)*COS(I140*PI()/180)*COS((H140-C140)*PI()/180)+SIN(D140*PI()/180)*SIN(I140*PI()/180)))</x:f>
        <x:v>350.1899949540084</x:v>
      </x:c>
      <x:c r="K140" s="21" t="n">
        <x:f>'情景参数模板'!$D$31</x:f>
        <x:v>1.2</x:v>
      </x:c>
      <x:c r="L140" s="21" t="n">
        <x:f>J140*K140</x:f>
        <x:v>420.22799394481007</x:v>
      </x:c>
    </x:row>
    <x:row r="141">
      <x:c r="A141" s="17" t="str">
        <x:v>GD04</x:v>
      </x:c>
      <x:c r="B141" s="17" t="str">
        <x:v>汕头</x:v>
      </x:c>
      <x:c r="C141" s="24" t="n">
        <x:v>116.6775856</x:v>
      </x:c>
      <x:c r="D141" s="24" t="n">
        <x:v>23.3563921</x:v>
      </x:c>
      <x:c r="E141" s="17" t="str">
        <x:v>C02</x:v>
      </x:c>
      <x:c r="F141" s="17" t="str">
        <x:v>深圳虚拟回收/检测中心</x:v>
      </x:c>
      <x:c r="G141" s="17" t="str">
        <x:v>回收中心候选</x:v>
      </x:c>
      <x:c r="H141" s="24" t="n">
        <x:v>114.0545429</x:v>
      </x:c>
      <x:c r="I141" s="24" t="n">
        <x:v>22.5445741</x:v>
      </x:c>
      <x:c r="J141" s="21" t="n">
        <x:f>6371*ACOS(MIN(1,COS(D141*PI()/180)*COS(I141*PI()/180)*COS((H141-C141)*PI()/180)+SIN(D141*PI()/180)*SIN(I141*PI()/180)))</x:f>
        <x:v>283.33857381725</x:v>
      </x:c>
      <x:c r="K141" s="21" t="n">
        <x:f>'情景参数模板'!$D$31</x:f>
        <x:v>1.2</x:v>
      </x:c>
      <x:c r="L141" s="21" t="n">
        <x:f>J141*K141</x:f>
        <x:v>340.00628858069996</x:v>
      </x:c>
    </x:row>
    <x:row r="142">
      <x:c r="A142" s="17" t="str">
        <x:v>GD04</x:v>
      </x:c>
      <x:c r="B142" s="17" t="str">
        <x:v>汕头</x:v>
      </x:c>
      <x:c r="C142" s="24" t="n">
        <x:v>116.6775856</x:v>
      </x:c>
      <x:c r="D142" s="24" t="n">
        <x:v>23.3563921</x:v>
      </x:c>
      <x:c r="E142" s="17" t="str">
        <x:v>C03</x:v>
      </x:c>
      <x:c r="F142" s="17" t="str">
        <x:v>珠海虚拟回收/检测中心</x:v>
      </x:c>
      <x:c r="G142" s="17" t="str">
        <x:v>回收中心候选</x:v>
      </x:c>
      <x:c r="H142" s="24" t="n">
        <x:v>113.5721327</x:v>
      </x:c>
      <x:c r="I142" s="24" t="n">
        <x:v>22.273734</x:v>
      </x:c>
      <x:c r="J142" s="21" t="n">
        <x:f>6371*ACOS(MIN(1,COS(D142*PI()/180)*COS(I142*PI()/180)*COS((H142-C142)*PI()/180)+SIN(D142*PI()/180)*SIN(I142*PI()/180)))</x:f>
        <x:v>340.2873692564277</x:v>
      </x:c>
      <x:c r="K142" s="21" t="n">
        <x:f>'情景参数模板'!$D$31</x:f>
        <x:v>1.2</x:v>
      </x:c>
      <x:c r="L142" s="21" t="n">
        <x:f>J142*K142</x:f>
        <x:v>408.34484310771325</x:v>
      </x:c>
    </x:row>
    <x:row r="143">
      <x:c r="A143" s="17" t="str">
        <x:v>GD04</x:v>
      </x:c>
      <x:c r="B143" s="17" t="str">
        <x:v>汕头</x:v>
      </x:c>
      <x:c r="C143" s="24" t="n">
        <x:v>116.6775856</x:v>
      </x:c>
      <x:c r="D143" s="24" t="n">
        <x:v>23.3563921</x:v>
      </x:c>
      <x:c r="E143" s="17" t="str">
        <x:v>C04</x:v>
      </x:c>
      <x:c r="F143" s="17" t="str">
        <x:v>汕头虚拟回收/检测中心</x:v>
      </x:c>
      <x:c r="G143" s="17" t="str">
        <x:v>回收中心候选</x:v>
      </x:c>
      <x:c r="H143" s="24" t="n">
        <x:v>116.6775856</x:v>
      </x:c>
      <x:c r="I143" s="24" t="n">
        <x:v>23.3563921</x:v>
      </x:c>
      <x:c r="J143" s="21" t="n">
        <x:f>6371*ACOS(MIN(1,COS(D143*PI()/180)*COS(I143*PI()/180)*COS((H143-C143)*PI()/180)+SIN(D143*PI()/180)*SIN(I143*PI()/180)))</x:f>
        <x:v>0</x:v>
      </x:c>
      <x:c r="K143" s="21" t="n">
        <x:f>'情景参数模板'!$D$31</x:f>
        <x:v>1.2</x:v>
      </x:c>
      <x:c r="L143" s="21" t="n">
        <x:f>J143*K143</x:f>
        <x:v>0</x:v>
      </x:c>
    </x:row>
    <x:row r="144">
      <x:c r="A144" s="17" t="str">
        <x:v>GD04</x:v>
      </x:c>
      <x:c r="B144" s="17" t="str">
        <x:v>汕头</x:v>
      </x:c>
      <x:c r="C144" s="24" t="n">
        <x:v>116.6775856</x:v>
      </x:c>
      <x:c r="D144" s="24" t="n">
        <x:v>23.3563921</x:v>
      </x:c>
      <x:c r="E144" s="17" t="str">
        <x:v>C05</x:v>
      </x:c>
      <x:c r="F144" s="17" t="str">
        <x:v>佛山虚拟回收/检测中心</x:v>
      </x:c>
      <x:c r="G144" s="17" t="str">
        <x:v>回收中心候选</x:v>
      </x:c>
      <x:c r="H144" s="24" t="n">
        <x:v>113.1159558</x:v>
      </x:c>
      <x:c r="I144" s="24" t="n">
        <x:v>23.0239788</x:v>
      </x:c>
      <x:c r="J144" s="21" t="n">
        <x:f>6371*ACOS(MIN(1,COS(D144*PI()/180)*COS(I144*PI()/180)*COS((H144-C144)*PI()/180)+SIN(D144*PI()/180)*SIN(I144*PI()/180)))</x:f>
        <x:v>365.8985033160558</x:v>
      </x:c>
      <x:c r="K144" s="21" t="n">
        <x:f>'情景参数模板'!$D$31</x:f>
        <x:v>1.2</x:v>
      </x:c>
      <x:c r="L144" s="21" t="n">
        <x:f>J144*K144</x:f>
        <x:v>439.0782039792669</x:v>
      </x:c>
    </x:row>
    <x:row r="145">
      <x:c r="A145" s="17" t="str">
        <x:v>GD04</x:v>
      </x:c>
      <x:c r="B145" s="17" t="str">
        <x:v>汕头</x:v>
      </x:c>
      <x:c r="C145" s="24" t="n">
        <x:v>116.6775856</x:v>
      </x:c>
      <x:c r="D145" s="24" t="n">
        <x:v>23.3563921</x:v>
      </x:c>
      <x:c r="E145" s="17" t="str">
        <x:v>C06</x:v>
      </x:c>
      <x:c r="F145" s="17" t="str">
        <x:v>韶关虚拟回收/检测中心</x:v>
      </x:c>
      <x:c r="G145" s="17" t="str">
        <x:v>回收中心候选</x:v>
      </x:c>
      <x:c r="H145" s="24" t="n">
        <x:v>113.8155263</x:v>
      </x:c>
      <x:c r="I145" s="24" t="n">
        <x:v>24.8309489</x:v>
      </x:c>
      <x:c r="J145" s="21" t="n">
        <x:f>6371*ACOS(MIN(1,COS(D145*PI()/180)*COS(I145*PI()/180)*COS((H145-C145)*PI()/180)+SIN(D145*PI()/180)*SIN(I145*PI()/180)))</x:f>
        <x:v>333.5802590119702</x:v>
      </x:c>
      <x:c r="K145" s="21" t="n">
        <x:f>'情景参数模板'!$D$31</x:f>
        <x:v>1.2</x:v>
      </x:c>
      <x:c r="L145" s="21" t="n">
        <x:f>J145*K145</x:f>
        <x:v>400.29631081436423</x:v>
      </x:c>
    </x:row>
    <x:row r="146">
      <x:c r="A146" s="17" t="str">
        <x:v>GD04</x:v>
      </x:c>
      <x:c r="B146" s="17" t="str">
        <x:v>汕头</x:v>
      </x:c>
      <x:c r="C146" s="24" t="n">
        <x:v>116.6775856</x:v>
      </x:c>
      <x:c r="D146" s="24" t="n">
        <x:v>23.3563921</x:v>
      </x:c>
      <x:c r="E146" s="17" t="str">
        <x:v>C07</x:v>
      </x:c>
      <x:c r="F146" s="17" t="str">
        <x:v>河源虚拟回收/检测中心</x:v>
      </x:c>
      <x:c r="G146" s="17" t="str">
        <x:v>回收中心候选</x:v>
      </x:c>
      <x:c r="H146" s="24" t="n">
        <x:v>115.0577538</x:v>
      </x:c>
      <x:c r="I146" s="24" t="n">
        <x:v>24.1014769</x:v>
      </x:c>
      <x:c r="J146" s="21" t="n">
        <x:f>6371*ACOS(MIN(1,COS(D146*PI()/180)*COS(I146*PI()/180)*COS((H146-C146)*PI()/180)+SIN(D146*PI()/180)*SIN(I146*PI()/180)))</x:f>
        <x:v>184.53141025973926</x:v>
      </x:c>
      <x:c r="K146" s="21" t="n">
        <x:f>'情景参数模板'!$D$31</x:f>
        <x:v>1.2</x:v>
      </x:c>
      <x:c r="L146" s="21" t="n">
        <x:f>J146*K146</x:f>
        <x:v>221.4376923116871</x:v>
      </x:c>
    </x:row>
    <x:row r="147">
      <x:c r="A147" s="17" t="str">
        <x:v>GD04</x:v>
      </x:c>
      <x:c r="B147" s="17" t="str">
        <x:v>汕头</x:v>
      </x:c>
      <x:c r="C147" s="24" t="n">
        <x:v>116.6775856</x:v>
      </x:c>
      <x:c r="D147" s="24" t="n">
        <x:v>23.3563921</x:v>
      </x:c>
      <x:c r="E147" s="17" t="str">
        <x:v>C08</x:v>
      </x:c>
      <x:c r="F147" s="17" t="str">
        <x:v>梅州虚拟回收/检测中心</x:v>
      </x:c>
      <x:c r="G147" s="17" t="str">
        <x:v>回收中心候选</x:v>
      </x:c>
      <x:c r="H147" s="24" t="n">
        <x:v>116.1171428</x:v>
      </x:c>
      <x:c r="I147" s="24" t="n">
        <x:v>24.2918414</x:v>
      </x:c>
      <x:c r="J147" s="21" t="n">
        <x:f>6371*ACOS(MIN(1,COS(D147*PI()/180)*COS(I147*PI()/180)*COS((H147-C147)*PI()/180)+SIN(D147*PI()/180)*SIN(I147*PI()/180)))</x:f>
        <x:v>118.61450484712725</x:v>
      </x:c>
      <x:c r="K147" s="21" t="n">
        <x:f>'情景参数模板'!$D$31</x:f>
        <x:v>1.2</x:v>
      </x:c>
      <x:c r="L147" s="21" t="n">
        <x:f>J147*K147</x:f>
        <x:v>142.3374058165527</x:v>
      </x:c>
    </x:row>
    <x:row r="148">
      <x:c r="A148" s="17" t="str">
        <x:v>GD04</x:v>
      </x:c>
      <x:c r="B148" s="17" t="str">
        <x:v>汕头</x:v>
      </x:c>
      <x:c r="C148" s="24" t="n">
        <x:v>116.6775856</x:v>
      </x:c>
      <x:c r="D148" s="24" t="n">
        <x:v>23.3563921</x:v>
      </x:c>
      <x:c r="E148" s="17" t="str">
        <x:v>C09</x:v>
      </x:c>
      <x:c r="F148" s="17" t="str">
        <x:v>惠州虚拟回收/检测中心</x:v>
      </x:c>
      <x:c r="G148" s="17" t="str">
        <x:v>回收中心候选</x:v>
      </x:c>
      <x:c r="H148" s="24" t="n">
        <x:v>114.4127007</x:v>
      </x:c>
      <x:c r="I148" s="24" t="n">
        <x:v>23.1125153</x:v>
      </x:c>
      <x:c r="J148" s="21" t="n">
        <x:f>6371*ACOS(MIN(1,COS(D148*PI()/180)*COS(I148*PI()/180)*COS((H148-C148)*PI()/180)+SIN(D148*PI()/180)*SIN(I148*PI()/180)))</x:f>
        <x:v>232.99958546699187</x:v>
      </x:c>
      <x:c r="K148" s="21" t="n">
        <x:f>'情景参数模板'!$D$31</x:f>
        <x:v>1.2</x:v>
      </x:c>
      <x:c r="L148" s="21" t="n">
        <x:f>J148*K148</x:f>
        <x:v>279.59950256039025</x:v>
      </x:c>
    </x:row>
    <x:row r="149">
      <x:c r="A149" s="17" t="str">
        <x:v>GD04</x:v>
      </x:c>
      <x:c r="B149" s="17" t="str">
        <x:v>汕头</x:v>
      </x:c>
      <x:c r="C149" s="24" t="n">
        <x:v>116.6775856</x:v>
      </x:c>
      <x:c r="D149" s="24" t="n">
        <x:v>23.3563921</x:v>
      </x:c>
      <x:c r="E149" s="17" t="str">
        <x:v>C10</x:v>
      </x:c>
      <x:c r="F149" s="17" t="str">
        <x:v>汕尾虚拟回收/检测中心</x:v>
      </x:c>
      <x:c r="G149" s="17" t="str">
        <x:v>回收中心候选</x:v>
      </x:c>
      <x:c r="H149" s="24" t="n">
        <x:v>115.5099937</x:v>
      </x:c>
      <x:c r="I149" s="24" t="n">
        <x:v>23.0123639</x:v>
      </x:c>
      <x:c r="J149" s="21" t="n">
        <x:f>6371*ACOS(MIN(1,COS(D149*PI()/180)*COS(I149*PI()/180)*COS((H149-C149)*PI()/180)+SIN(D149*PI()/180)*SIN(I149*PI()/180)))</x:f>
        <x:v>125.32598093140014</x:v>
      </x:c>
      <x:c r="K149" s="21" t="n">
        <x:f>'情景参数模板'!$D$31</x:f>
        <x:v>1.2</x:v>
      </x:c>
      <x:c r="L149" s="21" t="n">
        <x:f>J149*K149</x:f>
        <x:v>150.39117711768017</x:v>
      </x:c>
    </x:row>
    <x:row r="150">
      <x:c r="A150" s="17" t="str">
        <x:v>GD04</x:v>
      </x:c>
      <x:c r="B150" s="17" t="str">
        <x:v>汕头</x:v>
      </x:c>
      <x:c r="C150" s="24" t="n">
        <x:v>116.6775856</x:v>
      </x:c>
      <x:c r="D150" s="24" t="n">
        <x:v>23.3563921</x:v>
      </x:c>
      <x:c r="E150" s="17" t="str">
        <x:v>C11</x:v>
      </x:c>
      <x:c r="F150" s="17" t="str">
        <x:v>东莞虚拟回收/检测中心</x:v>
      </x:c>
      <x:c r="G150" s="17" t="str">
        <x:v>回收中心候选</x:v>
      </x:c>
      <x:c r="H150" s="24" t="n">
        <x:v>113.7452332</x:v>
      </x:c>
      <x:c r="I150" s="24" t="n">
        <x:v>23.0183568</x:v>
      </x:c>
      <x:c r="J150" s="21" t="n">
        <x:f>6371*ACOS(MIN(1,COS(D150*PI()/180)*COS(I150*PI()/180)*COS((H150-C150)*PI()/180)+SIN(D150*PI()/180)*SIN(I150*PI()/180)))</x:f>
        <x:v>302.0660678063366</x:v>
      </x:c>
      <x:c r="K150" s="21" t="n">
        <x:f>'情景参数模板'!$D$31</x:f>
        <x:v>1.2</x:v>
      </x:c>
      <x:c r="L150" s="21" t="n">
        <x:f>J150*K150</x:f>
        <x:v>362.4792813676039</x:v>
      </x:c>
    </x:row>
    <x:row r="151">
      <x:c r="A151" s="17" t="str">
        <x:v>GD04</x:v>
      </x:c>
      <x:c r="B151" s="17" t="str">
        <x:v>汕头</x:v>
      </x:c>
      <x:c r="C151" s="24" t="n">
        <x:v>116.6775856</x:v>
      </x:c>
      <x:c r="D151" s="24" t="n">
        <x:v>23.3563921</x:v>
      </x:c>
      <x:c r="E151" s="17" t="str">
        <x:v>C12</x:v>
      </x:c>
      <x:c r="F151" s="17" t="str">
        <x:v>中山虚拟回收/检测中心</x:v>
      </x:c>
      <x:c r="G151" s="17" t="str">
        <x:v>回收中心候选</x:v>
      </x:c>
      <x:c r="H151" s="24" t="n">
        <x:v>113.3872302</x:v>
      </x:c>
      <x:c r="I151" s="24" t="n">
        <x:v>22.5197073</x:v>
      </x:c>
      <x:c r="J151" s="21" t="n">
        <x:f>6371*ACOS(MIN(1,COS(D151*PI()/180)*COS(I151*PI()/180)*COS((H151-C151)*PI()/180)+SIN(D151*PI()/180)*SIN(I151*PI()/180)))</x:f>
        <x:v>349.537434266799</x:v>
      </x:c>
      <x:c r="K151" s="21" t="n">
        <x:f>'情景参数模板'!$D$31</x:f>
        <x:v>1.2</x:v>
      </x:c>
      <x:c r="L151" s="21" t="n">
        <x:f>J151*K151</x:f>
        <x:v>419.44492112015877</x:v>
      </x:c>
    </x:row>
    <x:row r="152">
      <x:c r="A152" s="17" t="str">
        <x:v>GD04</x:v>
      </x:c>
      <x:c r="B152" s="17" t="str">
        <x:v>汕头</x:v>
      </x:c>
      <x:c r="C152" s="24" t="n">
        <x:v>116.6775856</x:v>
      </x:c>
      <x:c r="D152" s="24" t="n">
        <x:v>23.3563921</x:v>
      </x:c>
      <x:c r="E152" s="17" t="str">
        <x:v>C13</x:v>
      </x:c>
      <x:c r="F152" s="17" t="str">
        <x:v>江门虚拟回收/检测中心</x:v>
      </x:c>
      <x:c r="G152" s="17" t="str">
        <x:v>回收中心候选</x:v>
      </x:c>
      <x:c r="H152" s="24" t="n">
        <x:v>113.0761073</x:v>
      </x:c>
      <x:c r="I152" s="24" t="n">
        <x:v>22.5816619</x:v>
      </x:c>
      <x:c r="J152" s="21" t="n">
        <x:f>6371*ACOS(MIN(1,COS(D152*PI()/180)*COS(I152*PI()/180)*COS((H152-C152)*PI()/180)+SIN(D152*PI()/180)*SIN(I152*PI()/180)))</x:f>
        <x:v>378.6321234404451</x:v>
      </x:c>
      <x:c r="K152" s="21" t="n">
        <x:f>'情景参数模板'!$D$31</x:f>
        <x:v>1.2</x:v>
      </x:c>
      <x:c r="L152" s="21" t="n">
        <x:f>J152*K152</x:f>
        <x:v>454.35854812853415</x:v>
      </x:c>
    </x:row>
    <x:row r="153">
      <x:c r="A153" s="17" t="str">
        <x:v>GD04</x:v>
      </x:c>
      <x:c r="B153" s="17" t="str">
        <x:v>汕头</x:v>
      </x:c>
      <x:c r="C153" s="24" t="n">
        <x:v>116.6775856</x:v>
      </x:c>
      <x:c r="D153" s="24" t="n">
        <x:v>23.3563921</x:v>
      </x:c>
      <x:c r="E153" s="17" t="str">
        <x:v>C14</x:v>
      </x:c>
      <x:c r="F153" s="17" t="str">
        <x:v>阳江虚拟回收/检测中心</x:v>
      </x:c>
      <x:c r="G153" s="17" t="str">
        <x:v>回收中心候选</x:v>
      </x:c>
      <x:c r="H153" s="24" t="n">
        <x:v>111.7831393</x:v>
      </x:c>
      <x:c r="I153" s="24" t="n">
        <x:v>22.0958223</x:v>
      </x:c>
      <x:c r="J153" s="21" t="n">
        <x:f>6371*ACOS(MIN(1,COS(D153*PI()/180)*COS(I153*PI()/180)*COS((H153-C153)*PI()/180)+SIN(D153*PI()/180)*SIN(I153*PI()/180)))</x:f>
        <x:v>521.1497268263299</x:v>
      </x:c>
      <x:c r="K153" s="21" t="n">
        <x:f>'情景参数模板'!$D$31</x:f>
        <x:v>1.2</x:v>
      </x:c>
      <x:c r="L153" s="21" t="n">
        <x:f>J153*K153</x:f>
        <x:v>625.3796721915959</x:v>
      </x:c>
    </x:row>
    <x:row r="154">
      <x:c r="A154" s="17" t="str">
        <x:v>GD04</x:v>
      </x:c>
      <x:c r="B154" s="17" t="str">
        <x:v>汕头</x:v>
      </x:c>
      <x:c r="C154" s="24" t="n">
        <x:v>116.6775856</x:v>
      </x:c>
      <x:c r="D154" s="24" t="n">
        <x:v>23.3563921</x:v>
      </x:c>
      <x:c r="E154" s="17" t="str">
        <x:v>C15</x:v>
      </x:c>
      <x:c r="F154" s="17" t="str">
        <x:v>湛江虚拟回收/检测中心</x:v>
      </x:c>
      <x:c r="G154" s="17" t="str">
        <x:v>回收中心候选</x:v>
      </x:c>
      <x:c r="H154" s="24" t="n">
        <x:v>110.3548318</x:v>
      </x:c>
      <x:c r="I154" s="24" t="n">
        <x:v>21.2737079</x:v>
      </x:c>
      <x:c r="J154" s="21" t="n">
        <x:f>6371*ACOS(MIN(1,COS(D154*PI()/180)*COS(I154*PI()/180)*COS((H154-C154)*PI()/180)+SIN(D154*PI()/180)*SIN(I154*PI()/180)))</x:f>
        <x:v>690.3094605041547</x:v>
      </x:c>
      <x:c r="K154" s="21" t="n">
        <x:f>'情景参数模板'!$D$31</x:f>
        <x:v>1.2</x:v>
      </x:c>
      <x:c r="L154" s="21" t="n">
        <x:f>J154*K154</x:f>
        <x:v>828.3713526049856</x:v>
      </x:c>
    </x:row>
    <x:row r="155">
      <x:c r="A155" s="17" t="str">
        <x:v>GD04</x:v>
      </x:c>
      <x:c r="B155" s="17" t="str">
        <x:v>汕头</x:v>
      </x:c>
      <x:c r="C155" s="24" t="n">
        <x:v>116.6775856</x:v>
      </x:c>
      <x:c r="D155" s="24" t="n">
        <x:v>23.3563921</x:v>
      </x:c>
      <x:c r="E155" s="17" t="str">
        <x:v>C16</x:v>
      </x:c>
      <x:c r="F155" s="17" t="str">
        <x:v>茂名虚拟回收/检测中心</x:v>
      </x:c>
      <x:c r="G155" s="17" t="str">
        <x:v>回收中心候选</x:v>
      </x:c>
      <x:c r="H155" s="24" t="n">
        <x:v>110.9209511</x:v>
      </x:c>
      <x:c r="I155" s="24" t="n">
        <x:v>21.6656961</x:v>
      </x:c>
      <x:c r="J155" s="21" t="n">
        <x:f>6371*ACOS(MIN(1,COS(D155*PI()/180)*COS(I155*PI()/180)*COS((H155-C155)*PI()/180)+SIN(D155*PI()/180)*SIN(I155*PI()/180)))</x:f>
        <x:v>620.4348566157764</x:v>
      </x:c>
      <x:c r="K155" s="21" t="n">
        <x:f>'情景参数模板'!$D$31</x:f>
        <x:v>1.2</x:v>
      </x:c>
      <x:c r="L155" s="21" t="n">
        <x:f>J155*K155</x:f>
        <x:v>744.5218279389317</x:v>
      </x:c>
    </x:row>
    <x:row r="156">
      <x:c r="A156" s="17" t="str">
        <x:v>GD04</x:v>
      </x:c>
      <x:c r="B156" s="17" t="str">
        <x:v>汕头</x:v>
      </x:c>
      <x:c r="C156" s="24" t="n">
        <x:v>116.6775856</x:v>
      </x:c>
      <x:c r="D156" s="24" t="n">
        <x:v>23.3563921</x:v>
      </x:c>
      <x:c r="E156" s="17" t="str">
        <x:v>C17</x:v>
      </x:c>
      <x:c r="F156" s="17" t="str">
        <x:v>肇庆虚拟回收/检测中心</x:v>
      </x:c>
      <x:c r="G156" s="17" t="str">
        <x:v>回收中心候选</x:v>
      </x:c>
      <x:c r="H156" s="24" t="n">
        <x:v>112.4603629</x:v>
      </x:c>
      <x:c r="I156" s="24" t="n">
        <x:v>23.0501661</x:v>
      </x:c>
      <x:c r="J156" s="21" t="n">
        <x:f>6371*ACOS(MIN(1,COS(D156*PI()/180)*COS(I156*PI()/180)*COS((H156-C156)*PI()/180)+SIN(D156*PI()/180)*SIN(I156*PI()/180)))</x:f>
        <x:v>432.3301436322801</x:v>
      </x:c>
      <x:c r="K156" s="21" t="n">
        <x:f>'情景参数模板'!$D$31</x:f>
        <x:v>1.2</x:v>
      </x:c>
      <x:c r="L156" s="21" t="n">
        <x:f>J156*K156</x:f>
        <x:v>518.7961723587362</x:v>
      </x:c>
    </x:row>
    <x:row r="157">
      <x:c r="A157" s="17" t="str">
        <x:v>GD04</x:v>
      </x:c>
      <x:c r="B157" s="17" t="str">
        <x:v>汕头</x:v>
      </x:c>
      <x:c r="C157" s="24" t="n">
        <x:v>116.6775856</x:v>
      </x:c>
      <x:c r="D157" s="24" t="n">
        <x:v>23.3563921</x:v>
      </x:c>
      <x:c r="E157" s="17" t="str">
        <x:v>C18</x:v>
      </x:c>
      <x:c r="F157" s="17" t="str">
        <x:v>清远虚拟回收/检测中心</x:v>
      </x:c>
      <x:c r="G157" s="17" t="str">
        <x:v>回收中心候选</x:v>
      </x:c>
      <x:c r="H157" s="24" t="n">
        <x:v>113.0505994</x:v>
      </x:c>
      <x:c r="I157" s="24" t="n">
        <x:v>23.6832984</x:v>
      </x:c>
      <x:c r="J157" s="21" t="n">
        <x:f>6371*ACOS(MIN(1,COS(D157*PI()/180)*COS(I157*PI()/180)*COS((H157-C157)*PI()/180)+SIN(D157*PI()/180)*SIN(I157*PI()/180)))</x:f>
        <x:v>371.5685810407413</x:v>
      </x:c>
      <x:c r="K157" s="21" t="n">
        <x:f>'情景参数模板'!$D$31</x:f>
        <x:v>1.2</x:v>
      </x:c>
      <x:c r="L157" s="21" t="n">
        <x:f>J157*K157</x:f>
        <x:v>445.8822972488896</x:v>
      </x:c>
    </x:row>
    <x:row r="158">
      <x:c r="A158" s="17" t="str">
        <x:v>GD04</x:v>
      </x:c>
      <x:c r="B158" s="17" t="str">
        <x:v>汕头</x:v>
      </x:c>
      <x:c r="C158" s="24" t="n">
        <x:v>116.6775856</x:v>
      </x:c>
      <x:c r="D158" s="24" t="n">
        <x:v>23.3563921</x:v>
      </x:c>
      <x:c r="E158" s="17" t="str">
        <x:v>C19</x:v>
      </x:c>
      <x:c r="F158" s="17" t="str">
        <x:v>潮州虚拟回收/检测中心</x:v>
      </x:c>
      <x:c r="G158" s="17" t="str">
        <x:v>回收中心候选</x:v>
      </x:c>
      <x:c r="H158" s="24" t="n">
        <x:v>116.6204223</x:v>
      </x:c>
      <x:c r="I158" s="24" t="n">
        <x:v>23.656593</x:v>
      </x:c>
      <x:c r="J158" s="21" t="n">
        <x:f>6371*ACOS(MIN(1,COS(D158*PI()/180)*COS(I158*PI()/180)*COS((H158-C158)*PI()/180)+SIN(D158*PI()/180)*SIN(I158*PI()/180)))</x:f>
        <x:v>33.88589168759266</x:v>
      </x:c>
      <x:c r="K158" s="21" t="n">
        <x:f>'情景参数模板'!$D$31</x:f>
        <x:v>1.2</x:v>
      </x:c>
      <x:c r="L158" s="21" t="n">
        <x:f>J158*K158</x:f>
        <x:v>40.66307002511119</x:v>
      </x:c>
    </x:row>
    <x:row r="159">
      <x:c r="A159" s="17" t="str">
        <x:v>GD04</x:v>
      </x:c>
      <x:c r="B159" s="17" t="str">
        <x:v>汕头</x:v>
      </x:c>
      <x:c r="C159" s="24" t="n">
        <x:v>116.6775856</x:v>
      </x:c>
      <x:c r="D159" s="24" t="n">
        <x:v>23.3563921</x:v>
      </x:c>
      <x:c r="E159" s="17" t="str">
        <x:v>C20</x:v>
      </x:c>
      <x:c r="F159" s="17" t="str">
        <x:v>揭阳虚拟回收/检测中心</x:v>
      </x:c>
      <x:c r="G159" s="17" t="str">
        <x:v>回收中心候选</x:v>
      </x:c>
      <x:c r="H159" s="24" t="n">
        <x:v>116.3680354</x:v>
      </x:c>
      <x:c r="I159" s="24" t="n">
        <x:v>23.553156</x:v>
      </x:c>
      <x:c r="J159" s="21" t="n">
        <x:f>6371*ACOS(MIN(1,COS(D159*PI()/180)*COS(I159*PI()/180)*COS((H159-C159)*PI()/180)+SIN(D159*PI()/180)*SIN(I159*PI()/180)))</x:f>
        <x:v>38.41568432658492</x:v>
      </x:c>
      <x:c r="K159" s="21" t="n">
        <x:f>'情景参数模板'!$D$31</x:f>
        <x:v>1.2</x:v>
      </x:c>
      <x:c r="L159" s="21" t="n">
        <x:f>J159*K159</x:f>
        <x:v>46.098821191901905</x:v>
      </x:c>
    </x:row>
    <x:row r="160">
      <x:c r="A160" s="17" t="str">
        <x:v>GD04</x:v>
      </x:c>
      <x:c r="B160" s="17" t="str">
        <x:v>汕头</x:v>
      </x:c>
      <x:c r="C160" s="24" t="n">
        <x:v>116.6775856</x:v>
      </x:c>
      <x:c r="D160" s="24" t="n">
        <x:v>23.3563921</x:v>
      </x:c>
      <x:c r="E160" s="17" t="str">
        <x:v>C21</x:v>
      </x:c>
      <x:c r="F160" s="17" t="str">
        <x:v>云浮虚拟回收/检测中心</x:v>
      </x:c>
      <x:c r="G160" s="17" t="str">
        <x:v>回收中心候选</x:v>
      </x:c>
      <x:c r="H160" s="24" t="n">
        <x:v>111.8078586</x:v>
      </x:c>
      <x:c r="I160" s="24" t="n">
        <x:v>22.8546663</x:v>
      </x:c>
      <x:c r="J160" s="21" t="n">
        <x:f>6371*ACOS(MIN(1,COS(D160*PI()/180)*COS(I160*PI()/180)*COS((H160-C160)*PI()/180)+SIN(D160*PI()/180)*SIN(I160*PI()/180)))</x:f>
        <x:v>501.14214106027384</x:v>
      </x:c>
      <x:c r="K160" s="21" t="n">
        <x:f>'情景参数模板'!$D$31</x:f>
        <x:v>1.2</x:v>
      </x:c>
      <x:c r="L160" s="21" t="n">
        <x:f>J160*K160</x:f>
        <x:v>601.3705692723286</x:v>
      </x:c>
    </x:row>
    <x:row r="161">
      <x:c r="A161" s="17" t="str">
        <x:v>GD04</x:v>
      </x:c>
      <x:c r="B161" s="17" t="str">
        <x:v>汕头</x:v>
      </x:c>
      <x:c r="C161" s="24" t="n">
        <x:v>116.6775856</x:v>
      </x:c>
      <x:c r="D161" s="24" t="n">
        <x:v>23.3563921</x:v>
      </x:c>
      <x:c r="E161" s="17" t="str">
        <x:v>P01</x:v>
      </x:c>
      <x:c r="F161" s="17" t="str">
        <x:v>汕尾比亚迪废旧动力电池回收项目</x:v>
      </x:c>
      <x:c r="G161" s="17" t="str">
        <x:v>再生利用</x:v>
      </x:c>
      <x:c r="H161" s="24" t="n">
        <x:v>115.3492668</x:v>
      </x:c>
      <x:c r="I161" s="24" t="n">
        <x:v>22.838065</x:v>
      </x:c>
      <x:c r="J161" s="21" t="n">
        <x:f>6371*ACOS(MIN(1,COS(D161*PI()/180)*COS(I161*PI()/180)*COS((H161-C161)*PI()/180)+SIN(D161*PI()/180)*SIN(I161*PI()/180)))</x:f>
        <x:v>147.58098592068362</x:v>
      </x:c>
      <x:c r="K161" s="21" t="n">
        <x:f>'情景参数模板'!$D$31</x:f>
        <x:v>1.2</x:v>
      </x:c>
      <x:c r="L161" s="21" t="n">
        <x:f>J161*K161</x:f>
        <x:v>177.09718310482035</x:v>
      </x:c>
    </x:row>
    <x:row r="162">
      <x:c r="A162" s="17" t="str">
        <x:v>GD04</x:v>
      </x:c>
      <x:c r="B162" s="17" t="str">
        <x:v>汕头</x:v>
      </x:c>
      <x:c r="C162" s="24" t="n">
        <x:v>116.6775856</x:v>
      </x:c>
      <x:c r="D162" s="24" t="n">
        <x:v>23.3563921</x:v>
      </x:c>
      <x:c r="E162" s="17" t="str">
        <x:v>P02E</x:v>
      </x:c>
      <x:c r="F162" s="17" t="str">
        <x:v>广东光华科技股份有限公司（梯次功能）</x:v>
      </x:c>
      <x:c r="G162" s="17" t="str">
        <x:v>梯次利用</x:v>
      </x:c>
      <x:c r="H162" s="24" t="n">
        <x:v>116.6775856</x:v>
      </x:c>
      <x:c r="I162" s="24" t="n">
        <x:v>23.3563921</x:v>
      </x:c>
      <x:c r="J162" s="21" t="n">
        <x:f>6371*ACOS(MIN(1,COS(D162*PI()/180)*COS(I162*PI()/180)*COS((H162-C162)*PI()/180)+SIN(D162*PI()/180)*SIN(I162*PI()/180)))</x:f>
        <x:v>0</x:v>
      </x:c>
      <x:c r="K162" s="21" t="n">
        <x:f>'情景参数模板'!$D$31</x:f>
        <x:v>1.2</x:v>
      </x:c>
      <x:c r="L162" s="21" t="n">
        <x:f>J162*K162</x:f>
        <x:v>0</x:v>
      </x:c>
    </x:row>
    <x:row r="163">
      <x:c r="A163" s="17" t="str">
        <x:v>GD04</x:v>
      </x:c>
      <x:c r="B163" s="17" t="str">
        <x:v>汕头</x:v>
      </x:c>
      <x:c r="C163" s="24" t="n">
        <x:v>116.6775856</x:v>
      </x:c>
      <x:c r="D163" s="24" t="n">
        <x:v>23.3563921</x:v>
      </x:c>
      <x:c r="E163" s="17" t="str">
        <x:v>P02R</x:v>
      </x:c>
      <x:c r="F163" s="17" t="str">
        <x:v>广东光华科技股份有限公司（再生功能）</x:v>
      </x:c>
      <x:c r="G163" s="17" t="str">
        <x:v>再生利用</x:v>
      </x:c>
      <x:c r="H163" s="24" t="n">
        <x:v>116.6775856</x:v>
      </x:c>
      <x:c r="I163" s="24" t="n">
        <x:v>23.3563921</x:v>
      </x:c>
      <x:c r="J163" s="21" t="n">
        <x:f>6371*ACOS(MIN(1,COS(D163*PI()/180)*COS(I163*PI()/180)*COS((H163-C163)*PI()/180)+SIN(D163*PI()/180)*SIN(I163*PI()/180)))</x:f>
        <x:v>0</x:v>
      </x:c>
      <x:c r="K163" s="21" t="n">
        <x:f>'情景参数模板'!$D$31</x:f>
        <x:v>1.2</x:v>
      </x:c>
      <x:c r="L163" s="21" t="n">
        <x:f>J163*K163</x:f>
        <x:v>0</x:v>
      </x:c>
    </x:row>
    <x:row r="164">
      <x:c r="A164" s="17" t="str">
        <x:v>GD04</x:v>
      </x:c>
      <x:c r="B164" s="17" t="str">
        <x:v>汕头</x:v>
      </x:c>
      <x:c r="C164" s="24" t="n">
        <x:v>116.6775856</x:v>
      </x:c>
      <x:c r="D164" s="24" t="n">
        <x:v>23.3563921</x:v>
      </x:c>
      <x:c r="E164" s="17" t="str">
        <x:v>P03</x:v>
      </x:c>
      <x:c r="F164" s="17" t="str">
        <x:v>深圳深汕特别合作区乾泰技术有限公司</x:v>
      </x:c>
      <x:c r="G164" s="17" t="str">
        <x:v>梯次利用</x:v>
      </x:c>
      <x:c r="H164" s="24" t="n">
        <x:v>115.5099937</x:v>
      </x:c>
      <x:c r="I164" s="24" t="n">
        <x:v>23.0123639</x:v>
      </x:c>
      <x:c r="J164" s="21" t="n">
        <x:f>6371*ACOS(MIN(1,COS(D164*PI()/180)*COS(I164*PI()/180)*COS((H164-C164)*PI()/180)+SIN(D164*PI()/180)*SIN(I164*PI()/180)))</x:f>
        <x:v>125.32598093140014</x:v>
      </x:c>
      <x:c r="K164" s="21" t="n">
        <x:f>'情景参数模板'!$D$31</x:f>
        <x:v>1.2</x:v>
      </x:c>
      <x:c r="L164" s="21" t="n">
        <x:f>J164*K164</x:f>
        <x:v>150.39117711768017</x:v>
      </x:c>
    </x:row>
    <x:row r="165">
      <x:c r="A165" s="17" t="str">
        <x:v>GD04</x:v>
      </x:c>
      <x:c r="B165" s="17" t="str">
        <x:v>汕头</x:v>
      </x:c>
      <x:c r="C165" s="24" t="n">
        <x:v>116.6775856</x:v>
      </x:c>
      <x:c r="D165" s="24" t="n">
        <x:v>23.3563921</x:v>
      </x:c>
      <x:c r="E165" s="17" t="str">
        <x:v>P04</x:v>
      </x:c>
      <x:c r="F165" s="17" t="str">
        <x:v>珠海中力新能源科技有限公司</x:v>
      </x:c>
      <x:c r="G165" s="17" t="str">
        <x:v>梯次利用</x:v>
      </x:c>
      <x:c r="H165" s="24" t="n">
        <x:v>113.5721327</x:v>
      </x:c>
      <x:c r="I165" s="24" t="n">
        <x:v>22.273734</x:v>
      </x:c>
      <x:c r="J165" s="21" t="n">
        <x:f>6371*ACOS(MIN(1,COS(D165*PI()/180)*COS(I165*PI()/180)*COS((H165-C165)*PI()/180)+SIN(D165*PI()/180)*SIN(I165*PI()/180)))</x:f>
        <x:v>340.2873692564277</x:v>
      </x:c>
      <x:c r="K165" s="21" t="n">
        <x:f>'情景参数模板'!$D$31</x:f>
        <x:v>1.2</x:v>
      </x:c>
      <x:c r="L165" s="21" t="n">
        <x:f>J165*K165</x:f>
        <x:v>408.34484310771325</x:v>
      </x:c>
    </x:row>
    <x:row r="166">
      <x:c r="A166" s="17" t="str">
        <x:v>GD04</x:v>
      </x:c>
      <x:c r="B166" s="17" t="str">
        <x:v>汕头</x:v>
      </x:c>
      <x:c r="C166" s="24" t="n">
        <x:v>116.6775856</x:v>
      </x:c>
      <x:c r="D166" s="24" t="n">
        <x:v>23.3563921</x:v>
      </x:c>
      <x:c r="E166" s="17" t="str">
        <x:v>P05</x:v>
      </x:c>
      <x:c r="F166" s="17" t="str">
        <x:v>惠州市恒创睿能环保科技有限公司</x:v>
      </x:c>
      <x:c r="G166" s="17" t="str">
        <x:v>梯次利用</x:v>
      </x:c>
      <x:c r="H166" s="24" t="n">
        <x:v>114.4127007</x:v>
      </x:c>
      <x:c r="I166" s="24" t="n">
        <x:v>23.1125153</x:v>
      </x:c>
      <x:c r="J166" s="21" t="n">
        <x:f>6371*ACOS(MIN(1,COS(D166*PI()/180)*COS(I166*PI()/180)*COS((H166-C166)*PI()/180)+SIN(D166*PI()/180)*SIN(I166*PI()/180)))</x:f>
        <x:v>232.99958546699187</x:v>
      </x:c>
      <x:c r="K166" s="21" t="n">
        <x:f>'情景参数模板'!$D$31</x:f>
        <x:v>1.2</x:v>
      </x:c>
      <x:c r="L166" s="21" t="n">
        <x:f>J166*K166</x:f>
        <x:v>279.59950256039025</x:v>
      </x:c>
    </x:row>
    <x:row r="167">
      <x:c r="A167" s="17" t="str">
        <x:v>GD04</x:v>
      </x:c>
      <x:c r="B167" s="17" t="str">
        <x:v>汕头</x:v>
      </x:c>
      <x:c r="C167" s="24" t="n">
        <x:v>116.6775856</x:v>
      </x:c>
      <x:c r="D167" s="24" t="n">
        <x:v>23.3563921</x:v>
      </x:c>
      <x:c r="E167" s="17" t="str">
        <x:v>P06</x:v>
      </x:c>
      <x:c r="F167" s="17" t="str">
        <x:v>江门市朗达锂电池有限公司</x:v>
      </x:c>
      <x:c r="G167" s="17" t="str">
        <x:v>梯次利用</x:v>
      </x:c>
      <x:c r="H167" s="24" t="n">
        <x:v>113.0761073</x:v>
      </x:c>
      <x:c r="I167" s="24" t="n">
        <x:v>22.5816619</x:v>
      </x:c>
      <x:c r="J167" s="21" t="n">
        <x:f>6371*ACOS(MIN(1,COS(D167*PI()/180)*COS(I167*PI()/180)*COS((H167-C167)*PI()/180)+SIN(D167*PI()/180)*SIN(I167*PI()/180)))</x:f>
        <x:v>378.6321234404451</x:v>
      </x:c>
      <x:c r="K167" s="21" t="n">
        <x:f>'情景参数模板'!$D$31</x:f>
        <x:v>1.2</x:v>
      </x:c>
      <x:c r="L167" s="21" t="n">
        <x:f>J167*K167</x:f>
        <x:v>454.35854812853415</x:v>
      </x:c>
    </x:row>
    <x:row r="168">
      <x:c r="A168" s="17" t="str">
        <x:v>GD04</x:v>
      </x:c>
      <x:c r="B168" s="17" t="str">
        <x:v>汕头</x:v>
      </x:c>
      <x:c r="C168" s="24" t="n">
        <x:v>116.6775856</x:v>
      </x:c>
      <x:c r="D168" s="24" t="n">
        <x:v>23.3563921</x:v>
      </x:c>
      <x:c r="E168" s="17" t="str">
        <x:v>P07</x:v>
      </x:c>
      <x:c r="F168" s="17" t="str">
        <x:v>广东迪度新能源有限公司</x:v>
      </x:c>
      <x:c r="G168" s="17" t="str">
        <x:v>梯次利用</x:v>
      </x:c>
      <x:c r="H168" s="24" t="n">
        <x:v>113.7452332</x:v>
      </x:c>
      <x:c r="I168" s="24" t="n">
        <x:v>23.0183568</x:v>
      </x:c>
      <x:c r="J168" s="21" t="n">
        <x:f>6371*ACOS(MIN(1,COS(D168*PI()/180)*COS(I168*PI()/180)*COS((H168-C168)*PI()/180)+SIN(D168*PI()/180)*SIN(I168*PI()/180)))</x:f>
        <x:v>302.0660678063366</x:v>
      </x:c>
      <x:c r="K168" s="21" t="n">
        <x:f>'情景参数模板'!$D$31</x:f>
        <x:v>1.2</x:v>
      </x:c>
      <x:c r="L168" s="21" t="n">
        <x:f>J168*K168</x:f>
        <x:v>362.4792813676039</x:v>
      </x:c>
    </x:row>
    <x:row r="169">
      <x:c r="A169" s="17" t="str">
        <x:v>GD04</x:v>
      </x:c>
      <x:c r="B169" s="17" t="str">
        <x:v>汕头</x:v>
      </x:c>
      <x:c r="C169" s="24" t="n">
        <x:v>116.6775856</x:v>
      </x:c>
      <x:c r="D169" s="24" t="n">
        <x:v>23.3563921</x:v>
      </x:c>
      <x:c r="E169" s="17" t="str">
        <x:v>P08</x:v>
      </x:c>
      <x:c r="F169" s="17" t="str">
        <x:v>东莞市博森新能源有限公司</x:v>
      </x:c>
      <x:c r="G169" s="17" t="str">
        <x:v>梯次利用</x:v>
      </x:c>
      <x:c r="H169" s="24" t="n">
        <x:v>113.7452332</x:v>
      </x:c>
      <x:c r="I169" s="24" t="n">
        <x:v>23.0183568</x:v>
      </x:c>
      <x:c r="J169" s="21" t="n">
        <x:f>6371*ACOS(MIN(1,COS(D169*PI()/180)*COS(I169*PI()/180)*COS((H169-C169)*PI()/180)+SIN(D169*PI()/180)*SIN(I169*PI()/180)))</x:f>
        <x:v>302.0660678063366</x:v>
      </x:c>
      <x:c r="K169" s="21" t="n">
        <x:f>'情景参数模板'!$D$31</x:f>
        <x:v>1.2</x:v>
      </x:c>
      <x:c r="L169" s="21" t="n">
        <x:f>J169*K169</x:f>
        <x:v>362.4792813676039</x:v>
      </x:c>
    </x:row>
    <x:row r="170">
      <x:c r="A170" s="17" t="str">
        <x:v>GD04</x:v>
      </x:c>
      <x:c r="B170" s="17" t="str">
        <x:v>汕头</x:v>
      </x:c>
      <x:c r="C170" s="24" t="n">
        <x:v>116.6775856</x:v>
      </x:c>
      <x:c r="D170" s="24" t="n">
        <x:v>23.3563921</x:v>
      </x:c>
      <x:c r="E170" s="17" t="str">
        <x:v>P09</x:v>
      </x:c>
      <x:c r="F170" s="17" t="str">
        <x:v>广东宇阳新能源有限公司</x:v>
      </x:c>
      <x:c r="G170" s="17" t="str">
        <x:v>梯次利用</x:v>
      </x:c>
      <x:c r="H170" s="24" t="n">
        <x:v>113.7452332</x:v>
      </x:c>
      <x:c r="I170" s="24" t="n">
        <x:v>23.0183568</x:v>
      </x:c>
      <x:c r="J170" s="21" t="n">
        <x:f>6371*ACOS(MIN(1,COS(D170*PI()/180)*COS(I170*PI()/180)*COS((H170-C170)*PI()/180)+SIN(D170*PI()/180)*SIN(I170*PI()/180)))</x:f>
        <x:v>302.0660678063366</x:v>
      </x:c>
      <x:c r="K170" s="21" t="n">
        <x:f>'情景参数模板'!$D$31</x:f>
        <x:v>1.2</x:v>
      </x:c>
      <x:c r="L170" s="21" t="n">
        <x:f>J170*K170</x:f>
        <x:v>362.4792813676039</x:v>
      </x:c>
    </x:row>
    <x:row r="171">
      <x:c r="A171" s="17" t="str">
        <x:v>GD04</x:v>
      </x:c>
      <x:c r="B171" s="17" t="str">
        <x:v>汕头</x:v>
      </x:c>
      <x:c r="C171" s="24" t="n">
        <x:v>116.6775856</x:v>
      </x:c>
      <x:c r="D171" s="24" t="n">
        <x:v>23.3563921</x:v>
      </x:c>
      <x:c r="E171" s="17" t="str">
        <x:v>P10</x:v>
      </x:c>
      <x:c r="F171" s="17" t="str">
        <x:v>广州广汽商贸再生资源有限公司</x:v>
      </x:c>
      <x:c r="G171" s="17" t="str">
        <x:v>梯次利用</x:v>
      </x:c>
      <x:c r="H171" s="24" t="n">
        <x:v>113.2589581</x:v>
      </x:c>
      <x:c r="I171" s="24" t="n">
        <x:v>23.1288429</x:v>
      </x:c>
      <x:c r="J171" s="21" t="n">
        <x:f>6371*ACOS(MIN(1,COS(D171*PI()/180)*COS(I171*PI()/180)*COS((H171-C171)*PI()/180)+SIN(D171*PI()/180)*SIN(I171*PI()/180)))</x:f>
        <x:v>350.1899949540084</x:v>
      </x:c>
      <x:c r="K171" s="21" t="n">
        <x:f>'情景参数模板'!$D$31</x:f>
        <x:v>1.2</x:v>
      </x:c>
      <x:c r="L171" s="21" t="n">
        <x:f>J171*K171</x:f>
        <x:v>420.22799394481007</x:v>
      </x:c>
    </x:row>
    <x:row r="172">
      <x:c r="A172" s="17" t="str">
        <x:v>GD04</x:v>
      </x:c>
      <x:c r="B172" s="17" t="str">
        <x:v>汕头</x:v>
      </x:c>
      <x:c r="C172" s="24" t="n">
        <x:v>116.6775856</x:v>
      </x:c>
      <x:c r="D172" s="24" t="n">
        <x:v>23.3563921</x:v>
      </x:c>
      <x:c r="E172" s="17" t="str">
        <x:v>P11</x:v>
      </x:c>
      <x:c r="F172" s="17" t="str">
        <x:v>深圳市杰成镍钴新能源科技有限公司</x:v>
      </x:c>
      <x:c r="G172" s="17" t="str">
        <x:v>梯次利用</x:v>
      </x:c>
      <x:c r="H172" s="24" t="n">
        <x:v>114.0545429</x:v>
      </x:c>
      <x:c r="I172" s="24" t="n">
        <x:v>22.5445741</x:v>
      </x:c>
      <x:c r="J172" s="21" t="n">
        <x:f>6371*ACOS(MIN(1,COS(D172*PI()/180)*COS(I172*PI()/180)*COS((H172-C172)*PI()/180)+SIN(D172*PI()/180)*SIN(I172*PI()/180)))</x:f>
        <x:v>283.33857381725</x:v>
      </x:c>
      <x:c r="K172" s="21" t="n">
        <x:f>'情景参数模板'!$D$31</x:f>
        <x:v>1.2</x:v>
      </x:c>
      <x:c r="L172" s="21" t="n">
        <x:f>J172*K172</x:f>
        <x:v>340.00628858069996</x:v>
      </x:c>
    </x:row>
    <x:row r="173">
      <x:c r="A173" s="17" t="str">
        <x:v>GD04</x:v>
      </x:c>
      <x:c r="B173" s="17" t="str">
        <x:v>汕头</x:v>
      </x:c>
      <x:c r="C173" s="24" t="n">
        <x:v>116.6775856</x:v>
      </x:c>
      <x:c r="D173" s="24" t="n">
        <x:v>23.3563921</x:v>
      </x:c>
      <x:c r="E173" s="17" t="str">
        <x:v>P12</x:v>
      </x:c>
      <x:c r="F173" s="17" t="str">
        <x:v>江门市恒创睿能环保科技有限公司</x:v>
      </x:c>
      <x:c r="G173" s="17" t="str">
        <x:v>再生利用</x:v>
      </x:c>
      <x:c r="H173" s="24" t="n">
        <x:v>113.0761073</x:v>
      </x:c>
      <x:c r="I173" s="24" t="n">
        <x:v>22.5816619</x:v>
      </x:c>
      <x:c r="J173" s="21" t="n">
        <x:f>6371*ACOS(MIN(1,COS(D173*PI()/180)*COS(I173*PI()/180)*COS((H173-C173)*PI()/180)+SIN(D173*PI()/180)*SIN(I173*PI()/180)))</x:f>
        <x:v>378.6321234404451</x:v>
      </x:c>
      <x:c r="K173" s="21" t="n">
        <x:f>'情景参数模板'!$D$31</x:f>
        <x:v>1.2</x:v>
      </x:c>
      <x:c r="L173" s="21" t="n">
        <x:f>J173*K173</x:f>
        <x:v>454.35854812853415</x:v>
      </x:c>
    </x:row>
    <x:row r="174">
      <x:c r="A174" s="17" t="str">
        <x:v>GD04</x:v>
      </x:c>
      <x:c r="B174" s="17" t="str">
        <x:v>汕头</x:v>
      </x:c>
      <x:c r="C174" s="24" t="n">
        <x:v>116.6775856</x:v>
      </x:c>
      <x:c r="D174" s="24" t="n">
        <x:v>23.3563921</x:v>
      </x:c>
      <x:c r="E174" s="17" t="str">
        <x:v>P13</x:v>
      </x:c>
      <x:c r="F174" s="17" t="str">
        <x:v>广东佳纳能源科技有限公司</x:v>
      </x:c>
      <x:c r="G174" s="17" t="str">
        <x:v>再生利用</x:v>
      </x:c>
      <x:c r="H174" s="24" t="n">
        <x:v>113.0505994</x:v>
      </x:c>
      <x:c r="I174" s="24" t="n">
        <x:v>23.6832984</x:v>
      </x:c>
      <x:c r="J174" s="21" t="n">
        <x:f>6371*ACOS(MIN(1,COS(D174*PI()/180)*COS(I174*PI()/180)*COS((H174-C174)*PI()/180)+SIN(D174*PI()/180)*SIN(I174*PI()/180)))</x:f>
        <x:v>371.5685810407413</x:v>
      </x:c>
      <x:c r="K174" s="21" t="n">
        <x:f>'情景参数模板'!$D$31</x:f>
        <x:v>1.2</x:v>
      </x:c>
      <x:c r="L174" s="21" t="n">
        <x:f>J174*K174</x:f>
        <x:v>445.8822972488896</x:v>
      </x:c>
    </x:row>
    <x:row r="175">
      <x:c r="A175" s="17" t="str">
        <x:v>GD04</x:v>
      </x:c>
      <x:c r="B175" s="17" t="str">
        <x:v>汕头</x:v>
      </x:c>
      <x:c r="C175" s="24" t="n">
        <x:v>116.6775856</x:v>
      </x:c>
      <x:c r="D175" s="24" t="n">
        <x:v>23.3563921</x:v>
      </x:c>
      <x:c r="E175" s="17" t="str">
        <x:v>P14</x:v>
      </x:c>
      <x:c r="F175" s="17" t="str">
        <x:v>格林美（深圳）循环科技有限公司</x:v>
      </x:c>
      <x:c r="G175" s="17" t="str">
        <x:v>梯次利用</x:v>
      </x:c>
      <x:c r="H175" s="24" t="n">
        <x:v>114.0545429</x:v>
      </x:c>
      <x:c r="I175" s="24" t="n">
        <x:v>22.5445741</x:v>
      </x:c>
      <x:c r="J175" s="21" t="n">
        <x:f>6371*ACOS(MIN(1,COS(D175*PI()/180)*COS(I175*PI()/180)*COS((H175-C175)*PI()/180)+SIN(D175*PI()/180)*SIN(I175*PI()/180)))</x:f>
        <x:v>283.33857381725</x:v>
      </x:c>
      <x:c r="K175" s="21" t="n">
        <x:f>'情景参数模板'!$D$31</x:f>
        <x:v>1.2</x:v>
      </x:c>
      <x:c r="L175" s="21" t="n">
        <x:f>J175*K175</x:f>
        <x:v>340.00628858069996</x:v>
      </x:c>
    </x:row>
    <x:row r="176">
      <x:c r="A176" s="17" t="str">
        <x:v>GD04</x:v>
      </x:c>
      <x:c r="B176" s="17" t="str">
        <x:v>汕头</x:v>
      </x:c>
      <x:c r="C176" s="24" t="n">
        <x:v>116.6775856</x:v>
      </x:c>
      <x:c r="D176" s="24" t="n">
        <x:v>23.3563921</x:v>
      </x:c>
      <x:c r="E176" s="17" t="str">
        <x:v>P15</x:v>
      </x:c>
      <x:c r="F176" s="17" t="str">
        <x:v>绿循新能源科技（佛山）有限责任公司</x:v>
      </x:c>
      <x:c r="G176" s="17" t="str">
        <x:v>梯次利用</x:v>
      </x:c>
      <x:c r="H176" s="24" t="n">
        <x:v>113.1159558</x:v>
      </x:c>
      <x:c r="I176" s="24" t="n">
        <x:v>23.0239788</x:v>
      </x:c>
      <x:c r="J176" s="21" t="n">
        <x:f>6371*ACOS(MIN(1,COS(D176*PI()/180)*COS(I176*PI()/180)*COS((H176-C176)*PI()/180)+SIN(D176*PI()/180)*SIN(I176*PI()/180)))</x:f>
        <x:v>365.8985033160558</x:v>
      </x:c>
      <x:c r="K176" s="21" t="n">
        <x:f>'情景参数模板'!$D$31</x:f>
        <x:v>1.2</x:v>
      </x:c>
      <x:c r="L176" s="21" t="n">
        <x:f>J176*K176</x:f>
        <x:v>439.0782039792669</x:v>
      </x:c>
    </x:row>
    <x:row r="177">
      <x:c r="A177" s="17" t="str">
        <x:v>GD04</x:v>
      </x:c>
      <x:c r="B177" s="17" t="str">
        <x:v>汕头</x:v>
      </x:c>
      <x:c r="C177" s="24" t="n">
        <x:v>116.6775856</x:v>
      </x:c>
      <x:c r="D177" s="24" t="n">
        <x:v>23.3563921</x:v>
      </x:c>
      <x:c r="E177" s="17" t="str">
        <x:v>P16</x:v>
      </x:c>
      <x:c r="F177" s="17" t="str">
        <x:v>深圳艾云动智慧科技有限公司</x:v>
      </x:c>
      <x:c r="G177" s="17" t="str">
        <x:v>梯次利用</x:v>
      </x:c>
      <x:c r="H177" s="24" t="n">
        <x:v>114.0545429</x:v>
      </x:c>
      <x:c r="I177" s="24" t="n">
        <x:v>22.5445741</x:v>
      </x:c>
      <x:c r="J177" s="21" t="n">
        <x:f>6371*ACOS(MIN(1,COS(D177*PI()/180)*COS(I177*PI()/180)*COS((H177-C177)*PI()/180)+SIN(D177*PI()/180)*SIN(I177*PI()/180)))</x:f>
        <x:v>283.33857381725</x:v>
      </x:c>
      <x:c r="K177" s="21" t="n">
        <x:f>'情景参数模板'!$D$31</x:f>
        <x:v>1.2</x:v>
      </x:c>
      <x:c r="L177" s="21" t="n">
        <x:f>J177*K177</x:f>
        <x:v>340.00628858069996</x:v>
      </x:c>
    </x:row>
    <x:row r="178">
      <x:c r="A178" s="17" t="str">
        <x:v>GD04</x:v>
      </x:c>
      <x:c r="B178" s="17" t="str">
        <x:v>汕头</x:v>
      </x:c>
      <x:c r="C178" s="24" t="n">
        <x:v>116.6775856</x:v>
      </x:c>
      <x:c r="D178" s="24" t="n">
        <x:v>23.3563921</x:v>
      </x:c>
      <x:c r="E178" s="17" t="str">
        <x:v>P17</x:v>
      </x:c>
      <x:c r="F178" s="17" t="str">
        <x:v>深圳市荣高晟新能源科技有限公司</x:v>
      </x:c>
      <x:c r="G178" s="17" t="str">
        <x:v>梯次利用</x:v>
      </x:c>
      <x:c r="H178" s="24" t="n">
        <x:v>114.0545429</x:v>
      </x:c>
      <x:c r="I178" s="24" t="n">
        <x:v>22.5445741</x:v>
      </x:c>
      <x:c r="J178" s="21" t="n">
        <x:f>6371*ACOS(MIN(1,COS(D178*PI()/180)*COS(I178*PI()/180)*COS((H178-C178)*PI()/180)+SIN(D178*PI()/180)*SIN(I178*PI()/180)))</x:f>
        <x:v>283.33857381725</x:v>
      </x:c>
      <x:c r="K178" s="21" t="n">
        <x:f>'情景参数模板'!$D$31</x:f>
        <x:v>1.2</x:v>
      </x:c>
      <x:c r="L178" s="21" t="n">
        <x:f>J178*K178</x:f>
        <x:v>340.00628858069996</x:v>
      </x:c>
    </x:row>
    <x:row r="179">
      <x:c r="A179" s="17" t="str">
        <x:v>GD04</x:v>
      </x:c>
      <x:c r="B179" s="17" t="str">
        <x:v>汕头</x:v>
      </x:c>
      <x:c r="C179" s="24" t="n">
        <x:v>116.6775856</x:v>
      </x:c>
      <x:c r="D179" s="24" t="n">
        <x:v>23.3563921</x:v>
      </x:c>
      <x:c r="E179" s="17" t="str">
        <x:v>P18</x:v>
      </x:c>
      <x:c r="F179" s="17" t="str">
        <x:v>中商锂新能源科技（惠州）有限公司</x:v>
      </x:c>
      <x:c r="G179" s="17" t="str">
        <x:v>梯次利用</x:v>
      </x:c>
      <x:c r="H179" s="24" t="n">
        <x:v>114.4127007</x:v>
      </x:c>
      <x:c r="I179" s="24" t="n">
        <x:v>23.1125153</x:v>
      </x:c>
      <x:c r="J179" s="21" t="n">
        <x:f>6371*ACOS(MIN(1,COS(D179*PI()/180)*COS(I179*PI()/180)*COS((H179-C179)*PI()/180)+SIN(D179*PI()/180)*SIN(I179*PI()/180)))</x:f>
        <x:v>232.99958546699187</x:v>
      </x:c>
      <x:c r="K179" s="21" t="n">
        <x:f>'情景参数模板'!$D$31</x:f>
        <x:v>1.2</x:v>
      </x:c>
      <x:c r="L179" s="21" t="n">
        <x:f>J179*K179</x:f>
        <x:v>279.59950256039025</x:v>
      </x:c>
    </x:row>
    <x:row r="180">
      <x:c r="A180" s="17" t="str">
        <x:v>GD04</x:v>
      </x:c>
      <x:c r="B180" s="17" t="str">
        <x:v>汕头</x:v>
      </x:c>
      <x:c r="C180" s="24" t="n">
        <x:v>116.6775856</x:v>
      </x:c>
      <x:c r="D180" s="24" t="n">
        <x:v>23.3563921</x:v>
      </x:c>
      <x:c r="E180" s="17" t="str">
        <x:v>P19</x:v>
      </x:c>
      <x:c r="F180" s="17" t="str">
        <x:v>广东盛祥新材料科技有限公司</x:v>
      </x:c>
      <x:c r="G180" s="17" t="str">
        <x:v>再生利用</x:v>
      </x:c>
      <x:c r="H180" s="24" t="n">
        <x:v>113.8155263</x:v>
      </x:c>
      <x:c r="I180" s="24" t="n">
        <x:v>24.8309489</x:v>
      </x:c>
      <x:c r="J180" s="21" t="n">
        <x:f>6371*ACOS(MIN(1,COS(D180*PI()/180)*COS(I180*PI()/180)*COS((H180-C180)*PI()/180)+SIN(D180*PI()/180)*SIN(I180*PI()/180)))</x:f>
        <x:v>333.5802590119702</x:v>
      </x:c>
      <x:c r="K180" s="21" t="n">
        <x:f>'情景参数模板'!$D$31</x:f>
        <x:v>1.2</x:v>
      </x:c>
      <x:c r="L180" s="21" t="n">
        <x:f>J180*K180</x:f>
        <x:v>400.29631081436423</x:v>
      </x:c>
    </x:row>
    <x:row r="181">
      <x:c r="A181" s="17" t="str">
        <x:v>GD04</x:v>
      </x:c>
      <x:c r="B181" s="17" t="str">
        <x:v>汕头</x:v>
      </x:c>
      <x:c r="C181" s="24" t="n">
        <x:v>116.6775856</x:v>
      </x:c>
      <x:c r="D181" s="24" t="n">
        <x:v>23.3563921</x:v>
      </x:c>
      <x:c r="E181" s="17" t="str">
        <x:v>P20E</x:v>
      </x:c>
      <x:c r="F181" s="17" t="str">
        <x:v>广东金晟新能源股份有限公司（梯次功能）</x:v>
      </x:c>
      <x:c r="G181" s="17" t="str">
        <x:v>梯次利用</x:v>
      </x:c>
      <x:c r="H181" s="24" t="n">
        <x:v>112.4603629</x:v>
      </x:c>
      <x:c r="I181" s="24" t="n">
        <x:v>23.0501661</x:v>
      </x:c>
      <x:c r="J181" s="21" t="n">
        <x:f>6371*ACOS(MIN(1,COS(D181*PI()/180)*COS(I181*PI()/180)*COS((H181-C181)*PI()/180)+SIN(D181*PI()/180)*SIN(I181*PI()/180)))</x:f>
        <x:v>432.3301436322801</x:v>
      </x:c>
      <x:c r="K181" s="21" t="n">
        <x:f>'情景参数模板'!$D$31</x:f>
        <x:v>1.2</x:v>
      </x:c>
      <x:c r="L181" s="21" t="n">
        <x:f>J181*K181</x:f>
        <x:v>518.7961723587362</x:v>
      </x:c>
    </x:row>
    <x:row r="182">
      <x:c r="A182" s="17" t="str">
        <x:v>GD04</x:v>
      </x:c>
      <x:c r="B182" s="17" t="str">
        <x:v>汕头</x:v>
      </x:c>
      <x:c r="C182" s="24" t="n">
        <x:v>116.6775856</x:v>
      </x:c>
      <x:c r="D182" s="24" t="n">
        <x:v>23.3563921</x:v>
      </x:c>
      <x:c r="E182" s="17" t="str">
        <x:v>P20R</x:v>
      </x:c>
      <x:c r="F182" s="17" t="str">
        <x:v>广东金晟新能源股份有限公司（再生功能）</x:v>
      </x:c>
      <x:c r="G182" s="17" t="str">
        <x:v>再生利用</x:v>
      </x:c>
      <x:c r="H182" s="24" t="n">
        <x:v>112.4603629</x:v>
      </x:c>
      <x:c r="I182" s="24" t="n">
        <x:v>23.0501661</x:v>
      </x:c>
      <x:c r="J182" s="21" t="n">
        <x:f>6371*ACOS(MIN(1,COS(D182*PI()/180)*COS(I182*PI()/180)*COS((H182-C182)*PI()/180)+SIN(D182*PI()/180)*SIN(I182*PI()/180)))</x:f>
        <x:v>432.3301436322801</x:v>
      </x:c>
      <x:c r="K182" s="21" t="n">
        <x:f>'情景参数模板'!$D$31</x:f>
        <x:v>1.2</x:v>
      </x:c>
      <x:c r="L182" s="21" t="n">
        <x:f>J182*K182</x:f>
        <x:v>518.7961723587362</x:v>
      </x:c>
    </x:row>
    <x:row r="183">
      <x:c r="A183" s="17" t="str">
        <x:v>GD04</x:v>
      </x:c>
      <x:c r="B183" s="17" t="str">
        <x:v>汕头</x:v>
      </x:c>
      <x:c r="C183" s="24" t="n">
        <x:v>116.6775856</x:v>
      </x:c>
      <x:c r="D183" s="24" t="n">
        <x:v>23.3563921</x:v>
      </x:c>
      <x:c r="E183" s="17" t="str">
        <x:v>P21E</x:v>
      </x:c>
      <x:c r="F183" s="17" t="str">
        <x:v>广东瑞科美电源技术有限公司（梯次功能）</x:v>
      </x:c>
      <x:c r="G183" s="17" t="str">
        <x:v>梯次利用</x:v>
      </x:c>
      <x:c r="H183" s="24" t="n">
        <x:v>113.1159558</x:v>
      </x:c>
      <x:c r="I183" s="24" t="n">
        <x:v>23.0239788</x:v>
      </x:c>
      <x:c r="J183" s="21" t="n">
        <x:f>6371*ACOS(MIN(1,COS(D183*PI()/180)*COS(I183*PI()/180)*COS((H183-C183)*PI()/180)+SIN(D183*PI()/180)*SIN(I183*PI()/180)))</x:f>
        <x:v>365.8985033160558</x:v>
      </x:c>
      <x:c r="K183" s="21" t="n">
        <x:f>'情景参数模板'!$D$31</x:f>
        <x:v>1.2</x:v>
      </x:c>
      <x:c r="L183" s="21" t="n">
        <x:f>J183*K183</x:f>
        <x:v>439.0782039792669</x:v>
      </x:c>
    </x:row>
    <x:row r="184">
      <x:c r="A184" s="17" t="str">
        <x:v>GD04</x:v>
      </x:c>
      <x:c r="B184" s="17" t="str">
        <x:v>汕头</x:v>
      </x:c>
      <x:c r="C184" s="24" t="n">
        <x:v>116.6775856</x:v>
      </x:c>
      <x:c r="D184" s="24" t="n">
        <x:v>23.3563921</x:v>
      </x:c>
      <x:c r="E184" s="17" t="str">
        <x:v>P21R</x:v>
      </x:c>
      <x:c r="F184" s="17" t="str">
        <x:v>广东瑞科美电源技术有限公司（再生功能）</x:v>
      </x:c>
      <x:c r="G184" s="17" t="str">
        <x:v>再生利用</x:v>
      </x:c>
      <x:c r="H184" s="24" t="n">
        <x:v>113.1159558</x:v>
      </x:c>
      <x:c r="I184" s="24" t="n">
        <x:v>23.0239788</x:v>
      </x:c>
      <x:c r="J184" s="21" t="n">
        <x:f>6371*ACOS(MIN(1,COS(D184*PI()/180)*COS(I184*PI()/180)*COS((H184-C184)*PI()/180)+SIN(D184*PI()/180)*SIN(I184*PI()/180)))</x:f>
        <x:v>365.8985033160558</x:v>
      </x:c>
      <x:c r="K184" s="21" t="n">
        <x:f>'情景参数模板'!$D$31</x:f>
        <x:v>1.2</x:v>
      </x:c>
      <x:c r="L184" s="21" t="n">
        <x:f>J184*K184</x:f>
        <x:v>439.0782039792669</x:v>
      </x:c>
    </x:row>
    <x:row r="185">
      <x:c r="A185" s="17" t="str">
        <x:v>GD05</x:v>
      </x:c>
      <x:c r="B185" s="17" t="str">
        <x:v>佛山</x:v>
      </x:c>
      <x:c r="C185" s="24" t="n">
        <x:v>113.1159558</x:v>
      </x:c>
      <x:c r="D185" s="24" t="n">
        <x:v>23.0239788</x:v>
      </x:c>
      <x:c r="E185" s="17" t="str">
        <x:v>C01</x:v>
      </x:c>
      <x:c r="F185" s="17" t="str">
        <x:v>广州虚拟回收/检测中心</x:v>
      </x:c>
      <x:c r="G185" s="17" t="str">
        <x:v>回收中心候选</x:v>
      </x:c>
      <x:c r="H185" s="24" t="n">
        <x:v>113.2589581</x:v>
      </x:c>
      <x:c r="I185" s="24" t="n">
        <x:v>23.1288429</x:v>
      </x:c>
      <x:c r="J185" s="21" t="n">
        <x:f>6371*ACOS(MIN(1,COS(D185*PI()/180)*COS(I185*PI()/180)*COS((H185-C185)*PI()/180)+SIN(D185*PI()/180)*SIN(I185*PI()/180)))</x:f>
        <x:v>18.707342512999915</x:v>
      </x:c>
      <x:c r="K185" s="21" t="n">
        <x:f>'情景参数模板'!$D$31</x:f>
        <x:v>1.2</x:v>
      </x:c>
      <x:c r="L185" s="21" t="n">
        <x:f>J185*K185</x:f>
        <x:v>22.448811015599897</x:v>
      </x:c>
    </x:row>
    <x:row r="186">
      <x:c r="A186" s="17" t="str">
        <x:v>GD05</x:v>
      </x:c>
      <x:c r="B186" s="17" t="str">
        <x:v>佛山</x:v>
      </x:c>
      <x:c r="C186" s="24" t="n">
        <x:v>113.1159558</x:v>
      </x:c>
      <x:c r="D186" s="24" t="n">
        <x:v>23.0239788</x:v>
      </x:c>
      <x:c r="E186" s="17" t="str">
        <x:v>C02</x:v>
      </x:c>
      <x:c r="F186" s="17" t="str">
        <x:v>深圳虚拟回收/检测中心</x:v>
      </x:c>
      <x:c r="G186" s="17" t="str">
        <x:v>回收中心候选</x:v>
      </x:c>
      <x:c r="H186" s="24" t="n">
        <x:v>114.0545429</x:v>
      </x:c>
      <x:c r="I186" s="24" t="n">
        <x:v>22.5445741</x:v>
      </x:c>
      <x:c r="J186" s="21" t="n">
        <x:f>6371*ACOS(MIN(1,COS(D186*PI()/180)*COS(I186*PI()/180)*COS((H186-C186)*PI()/180)+SIN(D186*PI()/180)*SIN(I186*PI()/180)))</x:f>
        <x:v>110.00140131744698</x:v>
      </x:c>
      <x:c r="K186" s="21" t="n">
        <x:f>'情景参数模板'!$D$31</x:f>
        <x:v>1.2</x:v>
      </x:c>
      <x:c r="L186" s="21" t="n">
        <x:f>J186*K186</x:f>
        <x:v>132.00168158093638</x:v>
      </x:c>
    </x:row>
    <x:row r="187">
      <x:c r="A187" s="17" t="str">
        <x:v>GD05</x:v>
      </x:c>
      <x:c r="B187" s="17" t="str">
        <x:v>佛山</x:v>
      </x:c>
      <x:c r="C187" s="24" t="n">
        <x:v>113.1159558</x:v>
      </x:c>
      <x:c r="D187" s="24" t="n">
        <x:v>23.0239788</x:v>
      </x:c>
      <x:c r="E187" s="17" t="str">
        <x:v>C03</x:v>
      </x:c>
      <x:c r="F187" s="17" t="str">
        <x:v>珠海虚拟回收/检测中心</x:v>
      </x:c>
      <x:c r="G187" s="17" t="str">
        <x:v>回收中心候选</x:v>
      </x:c>
      <x:c r="H187" s="24" t="n">
        <x:v>113.5721327</x:v>
      </x:c>
      <x:c r="I187" s="24" t="n">
        <x:v>22.273734</x:v>
      </x:c>
      <x:c r="J187" s="21" t="n">
        <x:f>6371*ACOS(MIN(1,COS(D187*PI()/180)*COS(I187*PI()/180)*COS((H187-C187)*PI()/180)+SIN(D187*PI()/180)*SIN(I187*PI()/180)))</x:f>
        <x:v>95.6600972197494</x:v>
      </x:c>
      <x:c r="K187" s="21" t="n">
        <x:f>'情景参数模板'!$D$31</x:f>
        <x:v>1.2</x:v>
      </x:c>
      <x:c r="L187" s="21" t="n">
        <x:f>J187*K187</x:f>
        <x:v>114.79211666369928</x:v>
      </x:c>
    </x:row>
    <x:row r="188">
      <x:c r="A188" s="17" t="str">
        <x:v>GD05</x:v>
      </x:c>
      <x:c r="B188" s="17" t="str">
        <x:v>佛山</x:v>
      </x:c>
      <x:c r="C188" s="24" t="n">
        <x:v>113.1159558</x:v>
      </x:c>
      <x:c r="D188" s="24" t="n">
        <x:v>23.0239788</x:v>
      </x:c>
      <x:c r="E188" s="17" t="str">
        <x:v>C04</x:v>
      </x:c>
      <x:c r="F188" s="17" t="str">
        <x:v>汕头虚拟回收/检测中心</x:v>
      </x:c>
      <x:c r="G188" s="17" t="str">
        <x:v>回收中心候选</x:v>
      </x:c>
      <x:c r="H188" s="24" t="n">
        <x:v>116.6775856</x:v>
      </x:c>
      <x:c r="I188" s="24" t="n">
        <x:v>23.3563921</x:v>
      </x:c>
      <x:c r="J188" s="21" t="n">
        <x:f>6371*ACOS(MIN(1,COS(D188*PI()/180)*COS(I188*PI()/180)*COS((H188-C188)*PI()/180)+SIN(D188*PI()/180)*SIN(I188*PI()/180)))</x:f>
        <x:v>365.8985033160558</x:v>
      </x:c>
      <x:c r="K188" s="21" t="n">
        <x:f>'情景参数模板'!$D$31</x:f>
        <x:v>1.2</x:v>
      </x:c>
      <x:c r="L188" s="21" t="n">
        <x:f>J188*K188</x:f>
        <x:v>439.0782039792669</x:v>
      </x:c>
    </x:row>
    <x:row r="189">
      <x:c r="A189" s="17" t="str">
        <x:v>GD05</x:v>
      </x:c>
      <x:c r="B189" s="17" t="str">
        <x:v>佛山</x:v>
      </x:c>
      <x:c r="C189" s="24" t="n">
        <x:v>113.1159558</x:v>
      </x:c>
      <x:c r="D189" s="24" t="n">
        <x:v>23.0239788</x:v>
      </x:c>
      <x:c r="E189" s="17" t="str">
        <x:v>C05</x:v>
      </x:c>
      <x:c r="F189" s="17" t="str">
        <x:v>佛山虚拟回收/检测中心</x:v>
      </x:c>
      <x:c r="G189" s="17" t="str">
        <x:v>回收中心候选</x:v>
      </x:c>
      <x:c r="H189" s="24" t="n">
        <x:v>113.1159558</x:v>
      </x:c>
      <x:c r="I189" s="24" t="n">
        <x:v>23.0239788</x:v>
      </x:c>
      <x:c r="J189" s="21" t="n">
        <x:f>6371*ACOS(MIN(1,COS(D189*PI()/180)*COS(I189*PI()/180)*COS((H189-C189)*PI()/180)+SIN(D189*PI()/180)*SIN(I189*PI()/180)))</x:f>
        <x:v>0</x:v>
      </x:c>
      <x:c r="K189" s="21" t="n">
        <x:f>'情景参数模板'!$D$31</x:f>
        <x:v>1.2</x:v>
      </x:c>
      <x:c r="L189" s="21" t="n">
        <x:f>J189*K189</x:f>
        <x:v>0</x:v>
      </x:c>
    </x:row>
    <x:row r="190">
      <x:c r="A190" s="17" t="str">
        <x:v>GD05</x:v>
      </x:c>
      <x:c r="B190" s="17" t="str">
        <x:v>佛山</x:v>
      </x:c>
      <x:c r="C190" s="24" t="n">
        <x:v>113.1159558</x:v>
      </x:c>
      <x:c r="D190" s="24" t="n">
        <x:v>23.0239788</x:v>
      </x:c>
      <x:c r="E190" s="17" t="str">
        <x:v>C06</x:v>
      </x:c>
      <x:c r="F190" s="17" t="str">
        <x:v>韶关虚拟回收/检测中心</x:v>
      </x:c>
      <x:c r="G190" s="17" t="str">
        <x:v>回收中心候选</x:v>
      </x:c>
      <x:c r="H190" s="24" t="n">
        <x:v>113.8155263</x:v>
      </x:c>
      <x:c r="I190" s="24" t="n">
        <x:v>24.8309489</x:v>
      </x:c>
      <x:c r="J190" s="21" t="n">
        <x:f>6371*ACOS(MIN(1,COS(D190*PI()/180)*COS(I190*PI()/180)*COS((H190-C190)*PI()/180)+SIN(D190*PI()/180)*SIN(I190*PI()/180)))</x:f>
        <x:v>213.1343512095063</x:v>
      </x:c>
      <x:c r="K190" s="21" t="n">
        <x:f>'情景参数模板'!$D$31</x:f>
        <x:v>1.2</x:v>
      </x:c>
      <x:c r="L190" s="21" t="n">
        <x:f>J190*K190</x:f>
        <x:v>255.76122145140755</x:v>
      </x:c>
    </x:row>
    <x:row r="191">
      <x:c r="A191" s="17" t="str">
        <x:v>GD05</x:v>
      </x:c>
      <x:c r="B191" s="17" t="str">
        <x:v>佛山</x:v>
      </x:c>
      <x:c r="C191" s="24" t="n">
        <x:v>113.1159558</x:v>
      </x:c>
      <x:c r="D191" s="24" t="n">
        <x:v>23.0239788</x:v>
      </x:c>
      <x:c r="E191" s="17" t="str">
        <x:v>C07</x:v>
      </x:c>
      <x:c r="F191" s="17" t="str">
        <x:v>河源虚拟回收/检测中心</x:v>
      </x:c>
      <x:c r="G191" s="17" t="str">
        <x:v>回收中心候选</x:v>
      </x:c>
      <x:c r="H191" s="24" t="n">
        <x:v>115.0577538</x:v>
      </x:c>
      <x:c r="I191" s="24" t="n">
        <x:v>24.1014769</x:v>
      </x:c>
      <x:c r="J191" s="21" t="n">
        <x:f>6371*ACOS(MIN(1,COS(D191*PI()/180)*COS(I191*PI()/180)*COS((H191-C191)*PI()/180)+SIN(D191*PI()/180)*SIN(I191*PI()/180)))</x:f>
        <x:v>231.3506353661428</x:v>
      </x:c>
      <x:c r="K191" s="21" t="n">
        <x:f>'情景参数模板'!$D$31</x:f>
        <x:v>1.2</x:v>
      </x:c>
      <x:c r="L191" s="21" t="n">
        <x:f>J191*K191</x:f>
        <x:v>277.62076243937133</x:v>
      </x:c>
    </x:row>
    <x:row r="192">
      <x:c r="A192" s="17" t="str">
        <x:v>GD05</x:v>
      </x:c>
      <x:c r="B192" s="17" t="str">
        <x:v>佛山</x:v>
      </x:c>
      <x:c r="C192" s="24" t="n">
        <x:v>113.1159558</x:v>
      </x:c>
      <x:c r="D192" s="24" t="n">
        <x:v>23.0239788</x:v>
      </x:c>
      <x:c r="E192" s="17" t="str">
        <x:v>C08</x:v>
      </x:c>
      <x:c r="F192" s="17" t="str">
        <x:v>梅州虚拟回收/检测中心</x:v>
      </x:c>
      <x:c r="G192" s="17" t="str">
        <x:v>回收中心候选</x:v>
      </x:c>
      <x:c r="H192" s="24" t="n">
        <x:v>116.1171428</x:v>
      </x:c>
      <x:c r="I192" s="24" t="n">
        <x:v>24.2918414</x:v>
      </x:c>
      <x:c r="J192" s="21" t="n">
        <x:f>6371*ACOS(MIN(1,COS(D192*PI()/180)*COS(I192*PI()/180)*COS((H192-C192)*PI()/180)+SIN(D192*PI()/180)*SIN(I192*PI()/180)))</x:f>
        <x:v>336.6010751478147</x:v>
      </x:c>
      <x:c r="K192" s="21" t="n">
        <x:f>'情景参数模板'!$D$31</x:f>
        <x:v>1.2</x:v>
      </x:c>
      <x:c r="L192" s="21" t="n">
        <x:f>J192*K192</x:f>
        <x:v>403.9212901773776</x:v>
      </x:c>
    </x:row>
    <x:row r="193">
      <x:c r="A193" s="17" t="str">
        <x:v>GD05</x:v>
      </x:c>
      <x:c r="B193" s="17" t="str">
        <x:v>佛山</x:v>
      </x:c>
      <x:c r="C193" s="24" t="n">
        <x:v>113.1159558</x:v>
      </x:c>
      <x:c r="D193" s="24" t="n">
        <x:v>23.0239788</x:v>
      </x:c>
      <x:c r="E193" s="17" t="str">
        <x:v>C09</x:v>
      </x:c>
      <x:c r="F193" s="17" t="str">
        <x:v>惠州虚拟回收/检测中心</x:v>
      </x:c>
      <x:c r="G193" s="17" t="str">
        <x:v>回收中心候选</x:v>
      </x:c>
      <x:c r="H193" s="24" t="n">
        <x:v>114.4127007</x:v>
      </x:c>
      <x:c r="I193" s="24" t="n">
        <x:v>23.1125153</x:v>
      </x:c>
      <x:c r="J193" s="21" t="n">
        <x:f>6371*ACOS(MIN(1,COS(D193*PI()/180)*COS(I193*PI()/180)*COS((H193-C193)*PI()/180)+SIN(D193*PI()/180)*SIN(I193*PI()/180)))</x:f>
        <x:v>133.0260660496842</x:v>
      </x:c>
      <x:c r="K193" s="21" t="n">
        <x:f>'情景参数模板'!$D$31</x:f>
        <x:v>1.2</x:v>
      </x:c>
      <x:c r="L193" s="21" t="n">
        <x:f>J193*K193</x:f>
        <x:v>159.63127925962104</x:v>
      </x:c>
    </x:row>
    <x:row r="194">
      <x:c r="A194" s="17" t="str">
        <x:v>GD05</x:v>
      </x:c>
      <x:c r="B194" s="17" t="str">
        <x:v>佛山</x:v>
      </x:c>
      <x:c r="C194" s="24" t="n">
        <x:v>113.1159558</x:v>
      </x:c>
      <x:c r="D194" s="24" t="n">
        <x:v>23.0239788</x:v>
      </x:c>
      <x:c r="E194" s="17" t="str">
        <x:v>C10</x:v>
      </x:c>
      <x:c r="F194" s="17" t="str">
        <x:v>汕尾虚拟回收/检测中心</x:v>
      </x:c>
      <x:c r="G194" s="17" t="str">
        <x:v>回收中心候选</x:v>
      </x:c>
      <x:c r="H194" s="24" t="n">
        <x:v>115.5099937</x:v>
      </x:c>
      <x:c r="I194" s="24" t="n">
        <x:v>23.0123639</x:v>
      </x:c>
      <x:c r="J194" s="21" t="n">
        <x:f>6371*ACOS(MIN(1,COS(D194*PI()/180)*COS(I194*PI()/180)*COS((H194-C194)*PI()/180)+SIN(D194*PI()/180)*SIN(I194*PI()/180)))</x:f>
        <x:v>245.01055089313536</x:v>
      </x:c>
      <x:c r="K194" s="21" t="n">
        <x:f>'情景参数模板'!$D$31</x:f>
        <x:v>1.2</x:v>
      </x:c>
      <x:c r="L194" s="21" t="n">
        <x:f>J194*K194</x:f>
        <x:v>294.0126610717624</x:v>
      </x:c>
    </x:row>
    <x:row r="195">
      <x:c r="A195" s="17" t="str">
        <x:v>GD05</x:v>
      </x:c>
      <x:c r="B195" s="17" t="str">
        <x:v>佛山</x:v>
      </x:c>
      <x:c r="C195" s="24" t="n">
        <x:v>113.1159558</x:v>
      </x:c>
      <x:c r="D195" s="24" t="n">
        <x:v>23.0239788</x:v>
      </x:c>
      <x:c r="E195" s="17" t="str">
        <x:v>C11</x:v>
      </x:c>
      <x:c r="F195" s="17" t="str">
        <x:v>东莞虚拟回收/检测中心</x:v>
      </x:c>
      <x:c r="G195" s="17" t="str">
        <x:v>回收中心候选</x:v>
      </x:c>
      <x:c r="H195" s="24" t="n">
        <x:v>113.7452332</x:v>
      </x:c>
      <x:c r="I195" s="24" t="n">
        <x:v>23.0183568</x:v>
      </x:c>
      <x:c r="J195" s="21" t="n">
        <x:f>6371*ACOS(MIN(1,COS(D195*PI()/180)*COS(I195*PI()/180)*COS((H195-C195)*PI()/180)+SIN(D195*PI()/180)*SIN(I195*PI()/180)))</x:f>
        <x:v>64.40286310353615</x:v>
      </x:c>
      <x:c r="K195" s="21" t="n">
        <x:f>'情景参数模板'!$D$31</x:f>
        <x:v>1.2</x:v>
      </x:c>
      <x:c r="L195" s="21" t="n">
        <x:f>J195*K195</x:f>
        <x:v>77.28343572424338</x:v>
      </x:c>
    </x:row>
    <x:row r="196">
      <x:c r="A196" s="17" t="str">
        <x:v>GD05</x:v>
      </x:c>
      <x:c r="B196" s="17" t="str">
        <x:v>佛山</x:v>
      </x:c>
      <x:c r="C196" s="24" t="n">
        <x:v>113.1159558</x:v>
      </x:c>
      <x:c r="D196" s="24" t="n">
        <x:v>23.0239788</x:v>
      </x:c>
      <x:c r="E196" s="17" t="str">
        <x:v>C12</x:v>
      </x:c>
      <x:c r="F196" s="17" t="str">
        <x:v>中山虚拟回收/检测中心</x:v>
      </x:c>
      <x:c r="G196" s="17" t="str">
        <x:v>回收中心候选</x:v>
      </x:c>
      <x:c r="H196" s="24" t="n">
        <x:v>113.3872302</x:v>
      </x:c>
      <x:c r="I196" s="24" t="n">
        <x:v>22.5197073</x:v>
      </x:c>
      <x:c r="J196" s="21" t="n">
        <x:f>6371*ACOS(MIN(1,COS(D196*PI()/180)*COS(I196*PI()/180)*COS((H196-C196)*PI()/180)+SIN(D196*PI()/180)*SIN(I196*PI()/180)))</x:f>
        <x:v>62.59137427718621</x:v>
      </x:c>
      <x:c r="K196" s="21" t="n">
        <x:f>'情景参数模板'!$D$31</x:f>
        <x:v>1.2</x:v>
      </x:c>
      <x:c r="L196" s="21" t="n">
        <x:f>J196*K196</x:f>
        <x:v>75.10964913262345</x:v>
      </x:c>
    </x:row>
    <x:row r="197">
      <x:c r="A197" s="17" t="str">
        <x:v>GD05</x:v>
      </x:c>
      <x:c r="B197" s="17" t="str">
        <x:v>佛山</x:v>
      </x:c>
      <x:c r="C197" s="24" t="n">
        <x:v>113.1159558</x:v>
      </x:c>
      <x:c r="D197" s="24" t="n">
        <x:v>23.0239788</x:v>
      </x:c>
      <x:c r="E197" s="17" t="str">
        <x:v>C13</x:v>
      </x:c>
      <x:c r="F197" s="17" t="str">
        <x:v>江门虚拟回收/检测中心</x:v>
      </x:c>
      <x:c r="G197" s="17" t="str">
        <x:v>回收中心候选</x:v>
      </x:c>
      <x:c r="H197" s="24" t="n">
        <x:v>113.0761073</x:v>
      </x:c>
      <x:c r="I197" s="24" t="n">
        <x:v>22.5816619</x:v>
      </x:c>
      <x:c r="J197" s="21" t="n">
        <x:f>6371*ACOS(MIN(1,COS(D197*PI()/180)*COS(I197*PI()/180)*COS((H197-C197)*PI()/180)+SIN(D197*PI()/180)*SIN(I197*PI()/180)))</x:f>
        <x:v>49.35271597324547</x:v>
      </x:c>
      <x:c r="K197" s="21" t="n">
        <x:f>'情景参数模板'!$D$31</x:f>
        <x:v>1.2</x:v>
      </x:c>
      <x:c r="L197" s="21" t="n">
        <x:f>J197*K197</x:f>
        <x:v>59.22325916789457</x:v>
      </x:c>
    </x:row>
    <x:row r="198">
      <x:c r="A198" s="17" t="str">
        <x:v>GD05</x:v>
      </x:c>
      <x:c r="B198" s="17" t="str">
        <x:v>佛山</x:v>
      </x:c>
      <x:c r="C198" s="24" t="n">
        <x:v>113.1159558</x:v>
      </x:c>
      <x:c r="D198" s="24" t="n">
        <x:v>23.0239788</x:v>
      </x:c>
      <x:c r="E198" s="17" t="str">
        <x:v>C14</x:v>
      </x:c>
      <x:c r="F198" s="17" t="str">
        <x:v>阳江虚拟回收/检测中心</x:v>
      </x:c>
      <x:c r="G198" s="17" t="str">
        <x:v>回收中心候选</x:v>
      </x:c>
      <x:c r="H198" s="24" t="n">
        <x:v>111.7831393</x:v>
      </x:c>
      <x:c r="I198" s="24" t="n">
        <x:v>22.0958223</x:v>
      </x:c>
      <x:c r="J198" s="21" t="n">
        <x:f>6371*ACOS(MIN(1,COS(D198*PI()/180)*COS(I198*PI()/180)*COS((H198-C198)*PI()/180)+SIN(D198*PI()/180)*SIN(I198*PI()/180)))</x:f>
        <x:v>171.41164681318705</x:v>
      </x:c>
      <x:c r="K198" s="21" t="n">
        <x:f>'情景参数模板'!$D$31</x:f>
        <x:v>1.2</x:v>
      </x:c>
      <x:c r="L198" s="21" t="n">
        <x:f>J198*K198</x:f>
        <x:v>205.69397617582445</x:v>
      </x:c>
    </x:row>
    <x:row r="199">
      <x:c r="A199" s="17" t="str">
        <x:v>GD05</x:v>
      </x:c>
      <x:c r="B199" s="17" t="str">
        <x:v>佛山</x:v>
      </x:c>
      <x:c r="C199" s="24" t="n">
        <x:v>113.1159558</x:v>
      </x:c>
      <x:c r="D199" s="24" t="n">
        <x:v>23.0239788</x:v>
      </x:c>
      <x:c r="E199" s="17" t="str">
        <x:v>C15</x:v>
      </x:c>
      <x:c r="F199" s="17" t="str">
        <x:v>湛江虚拟回收/检测中心</x:v>
      </x:c>
      <x:c r="G199" s="17" t="str">
        <x:v>回收中心候选</x:v>
      </x:c>
      <x:c r="H199" s="24" t="n">
        <x:v>110.3548318</x:v>
      </x:c>
      <x:c r="I199" s="24" t="n">
        <x:v>21.2737079</x:v>
      </x:c>
      <x:c r="J199" s="21" t="n">
        <x:f>6371*ACOS(MIN(1,COS(D199*PI()/180)*COS(I199*PI()/180)*COS((H199-C199)*PI()/180)+SIN(D199*PI()/180)*SIN(I199*PI()/180)))</x:f>
        <x:v>344.5727569641422</x:v>
      </x:c>
      <x:c r="K199" s="21" t="n">
        <x:f>'情景参数模板'!$D$31</x:f>
        <x:v>1.2</x:v>
      </x:c>
      <x:c r="L199" s="21" t="n">
        <x:f>J199*K199</x:f>
        <x:v>413.4873083569706</x:v>
      </x:c>
    </x:row>
    <x:row r="200">
      <x:c r="A200" s="17" t="str">
        <x:v>GD05</x:v>
      </x:c>
      <x:c r="B200" s="17" t="str">
        <x:v>佛山</x:v>
      </x:c>
      <x:c r="C200" s="24" t="n">
        <x:v>113.1159558</x:v>
      </x:c>
      <x:c r="D200" s="24" t="n">
        <x:v>23.0239788</x:v>
      </x:c>
      <x:c r="E200" s="17" t="str">
        <x:v>C16</x:v>
      </x:c>
      <x:c r="F200" s="17" t="str">
        <x:v>茂名虚拟回收/检测中心</x:v>
      </x:c>
      <x:c r="G200" s="17" t="str">
        <x:v>回收中心候选</x:v>
      </x:c>
      <x:c r="H200" s="24" t="n">
        <x:v>110.9209511</x:v>
      </x:c>
      <x:c r="I200" s="24" t="n">
        <x:v>21.6656961</x:v>
      </x:c>
      <x:c r="J200" s="21" t="n">
        <x:f>6371*ACOS(MIN(1,COS(D200*PI()/180)*COS(I200*PI()/180)*COS((H200-C200)*PI()/180)+SIN(D200*PI()/180)*SIN(I200*PI()/180)))</x:f>
        <x:v>271.60321814176973</x:v>
      </x:c>
      <x:c r="K200" s="21" t="n">
        <x:f>'情景参数模板'!$D$31</x:f>
        <x:v>1.2</x:v>
      </x:c>
      <x:c r="L200" s="21" t="n">
        <x:f>J200*K200</x:f>
        <x:v>325.92386177012366</x:v>
      </x:c>
    </x:row>
    <x:row r="201">
      <x:c r="A201" s="17" t="str">
        <x:v>GD05</x:v>
      </x:c>
      <x:c r="B201" s="17" t="str">
        <x:v>佛山</x:v>
      </x:c>
      <x:c r="C201" s="24" t="n">
        <x:v>113.1159558</x:v>
      </x:c>
      <x:c r="D201" s="24" t="n">
        <x:v>23.0239788</x:v>
      </x:c>
      <x:c r="E201" s="17" t="str">
        <x:v>C17</x:v>
      </x:c>
      <x:c r="F201" s="17" t="str">
        <x:v>肇庆虚拟回收/检测中心</x:v>
      </x:c>
      <x:c r="G201" s="17" t="str">
        <x:v>回收中心候选</x:v>
      </x:c>
      <x:c r="H201" s="24" t="n">
        <x:v>112.4603629</x:v>
      </x:c>
      <x:c r="I201" s="24" t="n">
        <x:v>23.0501661</x:v>
      </x:c>
      <x:c r="J201" s="21" t="n">
        <x:f>6371*ACOS(MIN(1,COS(D201*PI()/180)*COS(I201*PI()/180)*COS((H201-C201)*PI()/180)+SIN(D201*PI()/180)*SIN(I201*PI()/180)))</x:f>
        <x:v>67.14818534262002</x:v>
      </x:c>
      <x:c r="K201" s="21" t="n">
        <x:f>'情景参数模板'!$D$31</x:f>
        <x:v>1.2</x:v>
      </x:c>
      <x:c r="L201" s="21" t="n">
        <x:f>J201*K201</x:f>
        <x:v>80.57782241114403</x:v>
      </x:c>
    </x:row>
    <x:row r="202">
      <x:c r="A202" s="17" t="str">
        <x:v>GD05</x:v>
      </x:c>
      <x:c r="B202" s="17" t="str">
        <x:v>佛山</x:v>
      </x:c>
      <x:c r="C202" s="24" t="n">
        <x:v>113.1159558</x:v>
      </x:c>
      <x:c r="D202" s="24" t="n">
        <x:v>23.0239788</x:v>
      </x:c>
      <x:c r="E202" s="17" t="str">
        <x:v>C18</x:v>
      </x:c>
      <x:c r="F202" s="17" t="str">
        <x:v>清远虚拟回收/检测中心</x:v>
      </x:c>
      <x:c r="G202" s="17" t="str">
        <x:v>回收中心候选</x:v>
      </x:c>
      <x:c r="H202" s="24" t="n">
        <x:v>113.0505994</x:v>
      </x:c>
      <x:c r="I202" s="24" t="n">
        <x:v>23.6832984</x:v>
      </x:c>
      <x:c r="J202" s="21" t="n">
        <x:f>6371*ACOS(MIN(1,COS(D202*PI()/180)*COS(I202*PI()/180)*COS((H202-C202)*PI()/180)+SIN(D202*PI()/180)*SIN(I202*PI()/180)))</x:f>
        <x:v>73.61595665399058</x:v>
      </x:c>
      <x:c r="K202" s="21" t="n">
        <x:f>'情景参数模板'!$D$31</x:f>
        <x:v>1.2</x:v>
      </x:c>
      <x:c r="L202" s="21" t="n">
        <x:f>J202*K202</x:f>
        <x:v>88.3391479847887</x:v>
      </x:c>
    </x:row>
    <x:row r="203">
      <x:c r="A203" s="17" t="str">
        <x:v>GD05</x:v>
      </x:c>
      <x:c r="B203" s="17" t="str">
        <x:v>佛山</x:v>
      </x:c>
      <x:c r="C203" s="24" t="n">
        <x:v>113.1159558</x:v>
      </x:c>
      <x:c r="D203" s="24" t="n">
        <x:v>23.0239788</x:v>
      </x:c>
      <x:c r="E203" s="17" t="str">
        <x:v>C19</x:v>
      </x:c>
      <x:c r="F203" s="17" t="str">
        <x:v>潮州虚拟回收/检测中心</x:v>
      </x:c>
      <x:c r="G203" s="17" t="str">
        <x:v>回收中心候选</x:v>
      </x:c>
      <x:c r="H203" s="24" t="n">
        <x:v>116.6204223</x:v>
      </x:c>
      <x:c r="I203" s="24" t="n">
        <x:v>23.656593</x:v>
      </x:c>
      <x:c r="J203" s="21" t="n">
        <x:f>6371*ACOS(MIN(1,COS(D203*PI()/180)*COS(I203*PI()/180)*COS((H203-C203)*PI()/180)+SIN(D203*PI()/180)*SIN(I203*PI()/180)))</x:f>
        <x:v>364.62871927074957</x:v>
      </x:c>
      <x:c r="K203" s="21" t="n">
        <x:f>'情景参数模板'!$D$31</x:f>
        <x:v>1.2</x:v>
      </x:c>
      <x:c r="L203" s="21" t="n">
        <x:f>J203*K203</x:f>
        <x:v>437.5544631248995</x:v>
      </x:c>
    </x:row>
    <x:row r="204">
      <x:c r="A204" s="17" t="str">
        <x:v>GD05</x:v>
      </x:c>
      <x:c r="B204" s="17" t="str">
        <x:v>佛山</x:v>
      </x:c>
      <x:c r="C204" s="24" t="n">
        <x:v>113.1159558</x:v>
      </x:c>
      <x:c r="D204" s="24" t="n">
        <x:v>23.0239788</x:v>
      </x:c>
      <x:c r="E204" s="17" t="str">
        <x:v>C20</x:v>
      </x:c>
      <x:c r="F204" s="17" t="str">
        <x:v>揭阳虚拟回收/检测中心</x:v>
      </x:c>
      <x:c r="G204" s="17" t="str">
        <x:v>回收中心候选</x:v>
      </x:c>
      <x:c r="H204" s="24" t="n">
        <x:v>116.3680354</x:v>
      </x:c>
      <x:c r="I204" s="24" t="n">
        <x:v>23.553156</x:v>
      </x:c>
      <x:c r="J204" s="21" t="n">
        <x:f>6371*ACOS(MIN(1,COS(D204*PI()/180)*COS(I204*PI()/180)*COS((H204-C204)*PI()/180)+SIN(D204*PI()/180)*SIN(I204*PI()/180)))</x:f>
        <x:v>337.31536533239324</x:v>
      </x:c>
      <x:c r="K204" s="21" t="n">
        <x:f>'情景参数模板'!$D$31</x:f>
        <x:v>1.2</x:v>
      </x:c>
      <x:c r="L204" s="21" t="n">
        <x:f>J204*K204</x:f>
        <x:v>404.77843839887186</x:v>
      </x:c>
    </x:row>
    <x:row r="205">
      <x:c r="A205" s="17" t="str">
        <x:v>GD05</x:v>
      </x:c>
      <x:c r="B205" s="17" t="str">
        <x:v>佛山</x:v>
      </x:c>
      <x:c r="C205" s="24" t="n">
        <x:v>113.1159558</x:v>
      </x:c>
      <x:c r="D205" s="24" t="n">
        <x:v>23.0239788</x:v>
      </x:c>
      <x:c r="E205" s="17" t="str">
        <x:v>C21</x:v>
      </x:c>
      <x:c r="F205" s="17" t="str">
        <x:v>云浮虚拟回收/检测中心</x:v>
      </x:c>
      <x:c r="G205" s="17" t="str">
        <x:v>回收中心候选</x:v>
      </x:c>
      <x:c r="H205" s="24" t="n">
        <x:v>111.8078586</x:v>
      </x:c>
      <x:c r="I205" s="24" t="n">
        <x:v>22.8546663</x:v>
      </x:c>
      <x:c r="J205" s="21" t="n">
        <x:f>6371*ACOS(MIN(1,COS(D205*PI()/180)*COS(I205*PI()/180)*COS((H205-C205)*PI()/180)+SIN(D205*PI()/180)*SIN(I205*PI()/180)))</x:f>
        <x:v>135.2670709074438</x:v>
      </x:c>
      <x:c r="K205" s="21" t="n">
        <x:f>'情景参数模板'!$D$31</x:f>
        <x:v>1.2</x:v>
      </x:c>
      <x:c r="L205" s="21" t="n">
        <x:f>J205*K205</x:f>
        <x:v>162.32048508893257</x:v>
      </x:c>
    </x:row>
    <x:row r="206">
      <x:c r="A206" s="17" t="str">
        <x:v>GD05</x:v>
      </x:c>
      <x:c r="B206" s="17" t="str">
        <x:v>佛山</x:v>
      </x:c>
      <x:c r="C206" s="24" t="n">
        <x:v>113.1159558</x:v>
      </x:c>
      <x:c r="D206" s="24" t="n">
        <x:v>23.0239788</x:v>
      </x:c>
      <x:c r="E206" s="17" t="str">
        <x:v>P01</x:v>
      </x:c>
      <x:c r="F206" s="17" t="str">
        <x:v>汕尾比亚迪废旧动力电池回收项目</x:v>
      </x:c>
      <x:c r="G206" s="17" t="str">
        <x:v>再生利用</x:v>
      </x:c>
      <x:c r="H206" s="24" t="n">
        <x:v>115.3492668</x:v>
      </x:c>
      <x:c r="I206" s="24" t="n">
        <x:v>22.838065</x:v>
      </x:c>
      <x:c r="J206" s="21" t="n">
        <x:f>6371*ACOS(MIN(1,COS(D206*PI()/180)*COS(I206*PI()/180)*COS((H206-C206)*PI()/180)+SIN(D206*PI()/180)*SIN(I206*PI()/180)))</x:f>
        <x:v>229.6382920834076</x:v>
      </x:c>
      <x:c r="K206" s="21" t="n">
        <x:f>'情景参数模板'!$D$31</x:f>
        <x:v>1.2</x:v>
      </x:c>
      <x:c r="L206" s="21" t="n">
        <x:f>J206*K206</x:f>
        <x:v>275.5659505000891</x:v>
      </x:c>
    </x:row>
    <x:row r="207">
      <x:c r="A207" s="17" t="str">
        <x:v>GD05</x:v>
      </x:c>
      <x:c r="B207" s="17" t="str">
        <x:v>佛山</x:v>
      </x:c>
      <x:c r="C207" s="24" t="n">
        <x:v>113.1159558</x:v>
      </x:c>
      <x:c r="D207" s="24" t="n">
        <x:v>23.0239788</x:v>
      </x:c>
      <x:c r="E207" s="17" t="str">
        <x:v>P02E</x:v>
      </x:c>
      <x:c r="F207" s="17" t="str">
        <x:v>广东光华科技股份有限公司（梯次功能）</x:v>
      </x:c>
      <x:c r="G207" s="17" t="str">
        <x:v>梯次利用</x:v>
      </x:c>
      <x:c r="H207" s="24" t="n">
        <x:v>116.6775856</x:v>
      </x:c>
      <x:c r="I207" s="24" t="n">
        <x:v>23.3563921</x:v>
      </x:c>
      <x:c r="J207" s="21" t="n">
        <x:f>6371*ACOS(MIN(1,COS(D207*PI()/180)*COS(I207*PI()/180)*COS((H207-C207)*PI()/180)+SIN(D207*PI()/180)*SIN(I207*PI()/180)))</x:f>
        <x:v>365.8985033160558</x:v>
      </x:c>
      <x:c r="K207" s="21" t="n">
        <x:f>'情景参数模板'!$D$31</x:f>
        <x:v>1.2</x:v>
      </x:c>
      <x:c r="L207" s="21" t="n">
        <x:f>J207*K207</x:f>
        <x:v>439.0782039792669</x:v>
      </x:c>
    </x:row>
    <x:row r="208">
      <x:c r="A208" s="17" t="str">
        <x:v>GD05</x:v>
      </x:c>
      <x:c r="B208" s="17" t="str">
        <x:v>佛山</x:v>
      </x:c>
      <x:c r="C208" s="24" t="n">
        <x:v>113.1159558</x:v>
      </x:c>
      <x:c r="D208" s="24" t="n">
        <x:v>23.0239788</x:v>
      </x:c>
      <x:c r="E208" s="17" t="str">
        <x:v>P02R</x:v>
      </x:c>
      <x:c r="F208" s="17" t="str">
        <x:v>广东光华科技股份有限公司（再生功能）</x:v>
      </x:c>
      <x:c r="G208" s="17" t="str">
        <x:v>再生利用</x:v>
      </x:c>
      <x:c r="H208" s="24" t="n">
        <x:v>116.6775856</x:v>
      </x:c>
      <x:c r="I208" s="24" t="n">
        <x:v>23.3563921</x:v>
      </x:c>
      <x:c r="J208" s="21" t="n">
        <x:f>6371*ACOS(MIN(1,COS(D208*PI()/180)*COS(I208*PI()/180)*COS((H208-C208)*PI()/180)+SIN(D208*PI()/180)*SIN(I208*PI()/180)))</x:f>
        <x:v>365.8985033160558</x:v>
      </x:c>
      <x:c r="K208" s="21" t="n">
        <x:f>'情景参数模板'!$D$31</x:f>
        <x:v>1.2</x:v>
      </x:c>
      <x:c r="L208" s="21" t="n">
        <x:f>J208*K208</x:f>
        <x:v>439.0782039792669</x:v>
      </x:c>
    </x:row>
    <x:row r="209">
      <x:c r="A209" s="17" t="str">
        <x:v>GD05</x:v>
      </x:c>
      <x:c r="B209" s="17" t="str">
        <x:v>佛山</x:v>
      </x:c>
      <x:c r="C209" s="24" t="n">
        <x:v>113.1159558</x:v>
      </x:c>
      <x:c r="D209" s="24" t="n">
        <x:v>23.0239788</x:v>
      </x:c>
      <x:c r="E209" s="17" t="str">
        <x:v>P03</x:v>
      </x:c>
      <x:c r="F209" s="17" t="str">
        <x:v>深圳深汕特别合作区乾泰技术有限公司</x:v>
      </x:c>
      <x:c r="G209" s="17" t="str">
        <x:v>梯次利用</x:v>
      </x:c>
      <x:c r="H209" s="24" t="n">
        <x:v>115.5099937</x:v>
      </x:c>
      <x:c r="I209" s="24" t="n">
        <x:v>23.0123639</x:v>
      </x:c>
      <x:c r="J209" s="21" t="n">
        <x:f>6371*ACOS(MIN(1,COS(D209*PI()/180)*COS(I209*PI()/180)*COS((H209-C209)*PI()/180)+SIN(D209*PI()/180)*SIN(I209*PI()/180)))</x:f>
        <x:v>245.01055089313536</x:v>
      </x:c>
      <x:c r="K209" s="21" t="n">
        <x:f>'情景参数模板'!$D$31</x:f>
        <x:v>1.2</x:v>
      </x:c>
      <x:c r="L209" s="21" t="n">
        <x:f>J209*K209</x:f>
        <x:v>294.0126610717624</x:v>
      </x:c>
    </x:row>
    <x:row r="210">
      <x:c r="A210" s="17" t="str">
        <x:v>GD05</x:v>
      </x:c>
      <x:c r="B210" s="17" t="str">
        <x:v>佛山</x:v>
      </x:c>
      <x:c r="C210" s="24" t="n">
        <x:v>113.1159558</x:v>
      </x:c>
      <x:c r="D210" s="24" t="n">
        <x:v>23.0239788</x:v>
      </x:c>
      <x:c r="E210" s="17" t="str">
        <x:v>P04</x:v>
      </x:c>
      <x:c r="F210" s="17" t="str">
        <x:v>珠海中力新能源科技有限公司</x:v>
      </x:c>
      <x:c r="G210" s="17" t="str">
        <x:v>梯次利用</x:v>
      </x:c>
      <x:c r="H210" s="24" t="n">
        <x:v>113.5721327</x:v>
      </x:c>
      <x:c r="I210" s="24" t="n">
        <x:v>22.273734</x:v>
      </x:c>
      <x:c r="J210" s="21" t="n">
        <x:f>6371*ACOS(MIN(1,COS(D210*PI()/180)*COS(I210*PI()/180)*COS((H210-C210)*PI()/180)+SIN(D210*PI()/180)*SIN(I210*PI()/180)))</x:f>
        <x:v>95.6600972197494</x:v>
      </x:c>
      <x:c r="K210" s="21" t="n">
        <x:f>'情景参数模板'!$D$31</x:f>
        <x:v>1.2</x:v>
      </x:c>
      <x:c r="L210" s="21" t="n">
        <x:f>J210*K210</x:f>
        <x:v>114.79211666369928</x:v>
      </x:c>
    </x:row>
    <x:row r="211">
      <x:c r="A211" s="17" t="str">
        <x:v>GD05</x:v>
      </x:c>
      <x:c r="B211" s="17" t="str">
        <x:v>佛山</x:v>
      </x:c>
      <x:c r="C211" s="24" t="n">
        <x:v>113.1159558</x:v>
      </x:c>
      <x:c r="D211" s="24" t="n">
        <x:v>23.0239788</x:v>
      </x:c>
      <x:c r="E211" s="17" t="str">
        <x:v>P05</x:v>
      </x:c>
      <x:c r="F211" s="17" t="str">
        <x:v>惠州市恒创睿能环保科技有限公司</x:v>
      </x:c>
      <x:c r="G211" s="17" t="str">
        <x:v>梯次利用</x:v>
      </x:c>
      <x:c r="H211" s="24" t="n">
        <x:v>114.4127007</x:v>
      </x:c>
      <x:c r="I211" s="24" t="n">
        <x:v>23.1125153</x:v>
      </x:c>
      <x:c r="J211" s="21" t="n">
        <x:f>6371*ACOS(MIN(1,COS(D211*PI()/180)*COS(I211*PI()/180)*COS((H211-C211)*PI()/180)+SIN(D211*PI()/180)*SIN(I211*PI()/180)))</x:f>
        <x:v>133.0260660496842</x:v>
      </x:c>
      <x:c r="K211" s="21" t="n">
        <x:f>'情景参数模板'!$D$31</x:f>
        <x:v>1.2</x:v>
      </x:c>
      <x:c r="L211" s="21" t="n">
        <x:f>J211*K211</x:f>
        <x:v>159.63127925962104</x:v>
      </x:c>
    </x:row>
    <x:row r="212">
      <x:c r="A212" s="17" t="str">
        <x:v>GD05</x:v>
      </x:c>
      <x:c r="B212" s="17" t="str">
        <x:v>佛山</x:v>
      </x:c>
      <x:c r="C212" s="24" t="n">
        <x:v>113.1159558</x:v>
      </x:c>
      <x:c r="D212" s="24" t="n">
        <x:v>23.0239788</x:v>
      </x:c>
      <x:c r="E212" s="17" t="str">
        <x:v>P06</x:v>
      </x:c>
      <x:c r="F212" s="17" t="str">
        <x:v>江门市朗达锂电池有限公司</x:v>
      </x:c>
      <x:c r="G212" s="17" t="str">
        <x:v>梯次利用</x:v>
      </x:c>
      <x:c r="H212" s="24" t="n">
        <x:v>113.0761073</x:v>
      </x:c>
      <x:c r="I212" s="24" t="n">
        <x:v>22.5816619</x:v>
      </x:c>
      <x:c r="J212" s="21" t="n">
        <x:f>6371*ACOS(MIN(1,COS(D212*PI()/180)*COS(I212*PI()/180)*COS((H212-C212)*PI()/180)+SIN(D212*PI()/180)*SIN(I212*PI()/180)))</x:f>
        <x:v>49.35271597324547</x:v>
      </x:c>
      <x:c r="K212" s="21" t="n">
        <x:f>'情景参数模板'!$D$31</x:f>
        <x:v>1.2</x:v>
      </x:c>
      <x:c r="L212" s="21" t="n">
        <x:f>J212*K212</x:f>
        <x:v>59.22325916789457</x:v>
      </x:c>
    </x:row>
    <x:row r="213">
      <x:c r="A213" s="17" t="str">
        <x:v>GD05</x:v>
      </x:c>
      <x:c r="B213" s="17" t="str">
        <x:v>佛山</x:v>
      </x:c>
      <x:c r="C213" s="24" t="n">
        <x:v>113.1159558</x:v>
      </x:c>
      <x:c r="D213" s="24" t="n">
        <x:v>23.0239788</x:v>
      </x:c>
      <x:c r="E213" s="17" t="str">
        <x:v>P07</x:v>
      </x:c>
      <x:c r="F213" s="17" t="str">
        <x:v>广东迪度新能源有限公司</x:v>
      </x:c>
      <x:c r="G213" s="17" t="str">
        <x:v>梯次利用</x:v>
      </x:c>
      <x:c r="H213" s="24" t="n">
        <x:v>113.7452332</x:v>
      </x:c>
      <x:c r="I213" s="24" t="n">
        <x:v>23.0183568</x:v>
      </x:c>
      <x:c r="J213" s="21" t="n">
        <x:f>6371*ACOS(MIN(1,COS(D213*PI()/180)*COS(I213*PI()/180)*COS((H213-C213)*PI()/180)+SIN(D213*PI()/180)*SIN(I213*PI()/180)))</x:f>
        <x:v>64.40286310353615</x:v>
      </x:c>
      <x:c r="K213" s="21" t="n">
        <x:f>'情景参数模板'!$D$31</x:f>
        <x:v>1.2</x:v>
      </x:c>
      <x:c r="L213" s="21" t="n">
        <x:f>J213*K213</x:f>
        <x:v>77.28343572424338</x:v>
      </x:c>
    </x:row>
    <x:row r="214">
      <x:c r="A214" s="17" t="str">
        <x:v>GD05</x:v>
      </x:c>
      <x:c r="B214" s="17" t="str">
        <x:v>佛山</x:v>
      </x:c>
      <x:c r="C214" s="24" t="n">
        <x:v>113.1159558</x:v>
      </x:c>
      <x:c r="D214" s="24" t="n">
        <x:v>23.0239788</x:v>
      </x:c>
      <x:c r="E214" s="17" t="str">
        <x:v>P08</x:v>
      </x:c>
      <x:c r="F214" s="17" t="str">
        <x:v>东莞市博森新能源有限公司</x:v>
      </x:c>
      <x:c r="G214" s="17" t="str">
        <x:v>梯次利用</x:v>
      </x:c>
      <x:c r="H214" s="24" t="n">
        <x:v>113.7452332</x:v>
      </x:c>
      <x:c r="I214" s="24" t="n">
        <x:v>23.0183568</x:v>
      </x:c>
      <x:c r="J214" s="21" t="n">
        <x:f>6371*ACOS(MIN(1,COS(D214*PI()/180)*COS(I214*PI()/180)*COS((H214-C214)*PI()/180)+SIN(D214*PI()/180)*SIN(I214*PI()/180)))</x:f>
        <x:v>64.40286310353615</x:v>
      </x:c>
      <x:c r="K214" s="21" t="n">
        <x:f>'情景参数模板'!$D$31</x:f>
        <x:v>1.2</x:v>
      </x:c>
      <x:c r="L214" s="21" t="n">
        <x:f>J214*K214</x:f>
        <x:v>77.28343572424338</x:v>
      </x:c>
    </x:row>
    <x:row r="215">
      <x:c r="A215" s="17" t="str">
        <x:v>GD05</x:v>
      </x:c>
      <x:c r="B215" s="17" t="str">
        <x:v>佛山</x:v>
      </x:c>
      <x:c r="C215" s="24" t="n">
        <x:v>113.1159558</x:v>
      </x:c>
      <x:c r="D215" s="24" t="n">
        <x:v>23.0239788</x:v>
      </x:c>
      <x:c r="E215" s="17" t="str">
        <x:v>P09</x:v>
      </x:c>
      <x:c r="F215" s="17" t="str">
        <x:v>广东宇阳新能源有限公司</x:v>
      </x:c>
      <x:c r="G215" s="17" t="str">
        <x:v>梯次利用</x:v>
      </x:c>
      <x:c r="H215" s="24" t="n">
        <x:v>113.7452332</x:v>
      </x:c>
      <x:c r="I215" s="24" t="n">
        <x:v>23.0183568</x:v>
      </x:c>
      <x:c r="J215" s="21" t="n">
        <x:f>6371*ACOS(MIN(1,COS(D215*PI()/180)*COS(I215*PI()/180)*COS((H215-C215)*PI()/180)+SIN(D215*PI()/180)*SIN(I215*PI()/180)))</x:f>
        <x:v>64.40286310353615</x:v>
      </x:c>
      <x:c r="K215" s="21" t="n">
        <x:f>'情景参数模板'!$D$31</x:f>
        <x:v>1.2</x:v>
      </x:c>
      <x:c r="L215" s="21" t="n">
        <x:f>J215*K215</x:f>
        <x:v>77.28343572424338</x:v>
      </x:c>
    </x:row>
    <x:row r="216">
      <x:c r="A216" s="17" t="str">
        <x:v>GD05</x:v>
      </x:c>
      <x:c r="B216" s="17" t="str">
        <x:v>佛山</x:v>
      </x:c>
      <x:c r="C216" s="24" t="n">
        <x:v>113.1159558</x:v>
      </x:c>
      <x:c r="D216" s="24" t="n">
        <x:v>23.0239788</x:v>
      </x:c>
      <x:c r="E216" s="17" t="str">
        <x:v>P10</x:v>
      </x:c>
      <x:c r="F216" s="17" t="str">
        <x:v>广州广汽商贸再生资源有限公司</x:v>
      </x:c>
      <x:c r="G216" s="17" t="str">
        <x:v>梯次利用</x:v>
      </x:c>
      <x:c r="H216" s="24" t="n">
        <x:v>113.2589581</x:v>
      </x:c>
      <x:c r="I216" s="24" t="n">
        <x:v>23.1288429</x:v>
      </x:c>
      <x:c r="J216" s="21" t="n">
        <x:f>6371*ACOS(MIN(1,COS(D216*PI()/180)*COS(I216*PI()/180)*COS((H216-C216)*PI()/180)+SIN(D216*PI()/180)*SIN(I216*PI()/180)))</x:f>
        <x:v>18.707342512999915</x:v>
      </x:c>
      <x:c r="K216" s="21" t="n">
        <x:f>'情景参数模板'!$D$31</x:f>
        <x:v>1.2</x:v>
      </x:c>
      <x:c r="L216" s="21" t="n">
        <x:f>J216*K216</x:f>
        <x:v>22.448811015599897</x:v>
      </x:c>
    </x:row>
    <x:row r="217">
      <x:c r="A217" s="17" t="str">
        <x:v>GD05</x:v>
      </x:c>
      <x:c r="B217" s="17" t="str">
        <x:v>佛山</x:v>
      </x:c>
      <x:c r="C217" s="24" t="n">
        <x:v>113.1159558</x:v>
      </x:c>
      <x:c r="D217" s="24" t="n">
        <x:v>23.0239788</x:v>
      </x:c>
      <x:c r="E217" s="17" t="str">
        <x:v>P11</x:v>
      </x:c>
      <x:c r="F217" s="17" t="str">
        <x:v>深圳市杰成镍钴新能源科技有限公司</x:v>
      </x:c>
      <x:c r="G217" s="17" t="str">
        <x:v>梯次利用</x:v>
      </x:c>
      <x:c r="H217" s="24" t="n">
        <x:v>114.0545429</x:v>
      </x:c>
      <x:c r="I217" s="24" t="n">
        <x:v>22.5445741</x:v>
      </x:c>
      <x:c r="J217" s="21" t="n">
        <x:f>6371*ACOS(MIN(1,COS(D217*PI()/180)*COS(I217*PI()/180)*COS((H217-C217)*PI()/180)+SIN(D217*PI()/180)*SIN(I217*PI()/180)))</x:f>
        <x:v>110.00140131744698</x:v>
      </x:c>
      <x:c r="K217" s="21" t="n">
        <x:f>'情景参数模板'!$D$31</x:f>
        <x:v>1.2</x:v>
      </x:c>
      <x:c r="L217" s="21" t="n">
        <x:f>J217*K217</x:f>
        <x:v>132.00168158093638</x:v>
      </x:c>
    </x:row>
    <x:row r="218">
      <x:c r="A218" s="17" t="str">
        <x:v>GD05</x:v>
      </x:c>
      <x:c r="B218" s="17" t="str">
        <x:v>佛山</x:v>
      </x:c>
      <x:c r="C218" s="24" t="n">
        <x:v>113.1159558</x:v>
      </x:c>
      <x:c r="D218" s="24" t="n">
        <x:v>23.0239788</x:v>
      </x:c>
      <x:c r="E218" s="17" t="str">
        <x:v>P12</x:v>
      </x:c>
      <x:c r="F218" s="17" t="str">
        <x:v>江门市恒创睿能环保科技有限公司</x:v>
      </x:c>
      <x:c r="G218" s="17" t="str">
        <x:v>再生利用</x:v>
      </x:c>
      <x:c r="H218" s="24" t="n">
        <x:v>113.0761073</x:v>
      </x:c>
      <x:c r="I218" s="24" t="n">
        <x:v>22.5816619</x:v>
      </x:c>
      <x:c r="J218" s="21" t="n">
        <x:f>6371*ACOS(MIN(1,COS(D218*PI()/180)*COS(I218*PI()/180)*COS((H218-C218)*PI()/180)+SIN(D218*PI()/180)*SIN(I218*PI()/180)))</x:f>
        <x:v>49.35271597324547</x:v>
      </x:c>
      <x:c r="K218" s="21" t="n">
        <x:f>'情景参数模板'!$D$31</x:f>
        <x:v>1.2</x:v>
      </x:c>
      <x:c r="L218" s="21" t="n">
        <x:f>J218*K218</x:f>
        <x:v>59.22325916789457</x:v>
      </x:c>
    </x:row>
    <x:row r="219">
      <x:c r="A219" s="17" t="str">
        <x:v>GD05</x:v>
      </x:c>
      <x:c r="B219" s="17" t="str">
        <x:v>佛山</x:v>
      </x:c>
      <x:c r="C219" s="24" t="n">
        <x:v>113.1159558</x:v>
      </x:c>
      <x:c r="D219" s="24" t="n">
        <x:v>23.0239788</x:v>
      </x:c>
      <x:c r="E219" s="17" t="str">
        <x:v>P13</x:v>
      </x:c>
      <x:c r="F219" s="17" t="str">
        <x:v>广东佳纳能源科技有限公司</x:v>
      </x:c>
      <x:c r="G219" s="17" t="str">
        <x:v>再生利用</x:v>
      </x:c>
      <x:c r="H219" s="24" t="n">
        <x:v>113.0505994</x:v>
      </x:c>
      <x:c r="I219" s="24" t="n">
        <x:v>23.6832984</x:v>
      </x:c>
      <x:c r="J219" s="21" t="n">
        <x:f>6371*ACOS(MIN(1,COS(D219*PI()/180)*COS(I219*PI()/180)*COS((H219-C219)*PI()/180)+SIN(D219*PI()/180)*SIN(I219*PI()/180)))</x:f>
        <x:v>73.61595665399058</x:v>
      </x:c>
      <x:c r="K219" s="21" t="n">
        <x:f>'情景参数模板'!$D$31</x:f>
        <x:v>1.2</x:v>
      </x:c>
      <x:c r="L219" s="21" t="n">
        <x:f>J219*K219</x:f>
        <x:v>88.3391479847887</x:v>
      </x:c>
    </x:row>
    <x:row r="220">
      <x:c r="A220" s="17" t="str">
        <x:v>GD05</x:v>
      </x:c>
      <x:c r="B220" s="17" t="str">
        <x:v>佛山</x:v>
      </x:c>
      <x:c r="C220" s="24" t="n">
        <x:v>113.1159558</x:v>
      </x:c>
      <x:c r="D220" s="24" t="n">
        <x:v>23.0239788</x:v>
      </x:c>
      <x:c r="E220" s="17" t="str">
        <x:v>P14</x:v>
      </x:c>
      <x:c r="F220" s="17" t="str">
        <x:v>格林美（深圳）循环科技有限公司</x:v>
      </x:c>
      <x:c r="G220" s="17" t="str">
        <x:v>梯次利用</x:v>
      </x:c>
      <x:c r="H220" s="24" t="n">
        <x:v>114.0545429</x:v>
      </x:c>
      <x:c r="I220" s="24" t="n">
        <x:v>22.5445741</x:v>
      </x:c>
      <x:c r="J220" s="21" t="n">
        <x:f>6371*ACOS(MIN(1,COS(D220*PI()/180)*COS(I220*PI()/180)*COS((H220-C220)*PI()/180)+SIN(D220*PI()/180)*SIN(I220*PI()/180)))</x:f>
        <x:v>110.00140131744698</x:v>
      </x:c>
      <x:c r="K220" s="21" t="n">
        <x:f>'情景参数模板'!$D$31</x:f>
        <x:v>1.2</x:v>
      </x:c>
      <x:c r="L220" s="21" t="n">
        <x:f>J220*K220</x:f>
        <x:v>132.00168158093638</x:v>
      </x:c>
    </x:row>
    <x:row r="221">
      <x:c r="A221" s="17" t="str">
        <x:v>GD05</x:v>
      </x:c>
      <x:c r="B221" s="17" t="str">
        <x:v>佛山</x:v>
      </x:c>
      <x:c r="C221" s="24" t="n">
        <x:v>113.1159558</x:v>
      </x:c>
      <x:c r="D221" s="24" t="n">
        <x:v>23.0239788</x:v>
      </x:c>
      <x:c r="E221" s="17" t="str">
        <x:v>P15</x:v>
      </x:c>
      <x:c r="F221" s="17" t="str">
        <x:v>绿循新能源科技（佛山）有限责任公司</x:v>
      </x:c>
      <x:c r="G221" s="17" t="str">
        <x:v>梯次利用</x:v>
      </x:c>
      <x:c r="H221" s="24" t="n">
        <x:v>113.1159558</x:v>
      </x:c>
      <x:c r="I221" s="24" t="n">
        <x:v>23.0239788</x:v>
      </x:c>
      <x:c r="J221" s="21" t="n">
        <x:f>6371*ACOS(MIN(1,COS(D221*PI()/180)*COS(I221*PI()/180)*COS((H221-C221)*PI()/180)+SIN(D221*PI()/180)*SIN(I221*PI()/180)))</x:f>
        <x:v>0</x:v>
      </x:c>
      <x:c r="K221" s="21" t="n">
        <x:f>'情景参数模板'!$D$31</x:f>
        <x:v>1.2</x:v>
      </x:c>
      <x:c r="L221" s="21" t="n">
        <x:f>J221*K221</x:f>
        <x:v>0</x:v>
      </x:c>
    </x:row>
    <x:row r="222">
      <x:c r="A222" s="17" t="str">
        <x:v>GD05</x:v>
      </x:c>
      <x:c r="B222" s="17" t="str">
        <x:v>佛山</x:v>
      </x:c>
      <x:c r="C222" s="24" t="n">
        <x:v>113.1159558</x:v>
      </x:c>
      <x:c r="D222" s="24" t="n">
        <x:v>23.0239788</x:v>
      </x:c>
      <x:c r="E222" s="17" t="str">
        <x:v>P16</x:v>
      </x:c>
      <x:c r="F222" s="17" t="str">
        <x:v>深圳艾云动智慧科技有限公司</x:v>
      </x:c>
      <x:c r="G222" s="17" t="str">
        <x:v>梯次利用</x:v>
      </x:c>
      <x:c r="H222" s="24" t="n">
        <x:v>114.0545429</x:v>
      </x:c>
      <x:c r="I222" s="24" t="n">
        <x:v>22.5445741</x:v>
      </x:c>
      <x:c r="J222" s="21" t="n">
        <x:f>6371*ACOS(MIN(1,COS(D222*PI()/180)*COS(I222*PI()/180)*COS((H222-C222)*PI()/180)+SIN(D222*PI()/180)*SIN(I222*PI()/180)))</x:f>
        <x:v>110.00140131744698</x:v>
      </x:c>
      <x:c r="K222" s="21" t="n">
        <x:f>'情景参数模板'!$D$31</x:f>
        <x:v>1.2</x:v>
      </x:c>
      <x:c r="L222" s="21" t="n">
        <x:f>J222*K222</x:f>
        <x:v>132.00168158093638</x:v>
      </x:c>
    </x:row>
    <x:row r="223">
      <x:c r="A223" s="17" t="str">
        <x:v>GD05</x:v>
      </x:c>
      <x:c r="B223" s="17" t="str">
        <x:v>佛山</x:v>
      </x:c>
      <x:c r="C223" s="24" t="n">
        <x:v>113.1159558</x:v>
      </x:c>
      <x:c r="D223" s="24" t="n">
        <x:v>23.0239788</x:v>
      </x:c>
      <x:c r="E223" s="17" t="str">
        <x:v>P17</x:v>
      </x:c>
      <x:c r="F223" s="17" t="str">
        <x:v>深圳市荣高晟新能源科技有限公司</x:v>
      </x:c>
      <x:c r="G223" s="17" t="str">
        <x:v>梯次利用</x:v>
      </x:c>
      <x:c r="H223" s="24" t="n">
        <x:v>114.0545429</x:v>
      </x:c>
      <x:c r="I223" s="24" t="n">
        <x:v>22.5445741</x:v>
      </x:c>
      <x:c r="J223" s="21" t="n">
        <x:f>6371*ACOS(MIN(1,COS(D223*PI()/180)*COS(I223*PI()/180)*COS((H223-C223)*PI()/180)+SIN(D223*PI()/180)*SIN(I223*PI()/180)))</x:f>
        <x:v>110.00140131744698</x:v>
      </x:c>
      <x:c r="K223" s="21" t="n">
        <x:f>'情景参数模板'!$D$31</x:f>
        <x:v>1.2</x:v>
      </x:c>
      <x:c r="L223" s="21" t="n">
        <x:f>J223*K223</x:f>
        <x:v>132.00168158093638</x:v>
      </x:c>
    </x:row>
    <x:row r="224">
      <x:c r="A224" s="17" t="str">
        <x:v>GD05</x:v>
      </x:c>
      <x:c r="B224" s="17" t="str">
        <x:v>佛山</x:v>
      </x:c>
      <x:c r="C224" s="24" t="n">
        <x:v>113.1159558</x:v>
      </x:c>
      <x:c r="D224" s="24" t="n">
        <x:v>23.0239788</x:v>
      </x:c>
      <x:c r="E224" s="17" t="str">
        <x:v>P18</x:v>
      </x:c>
      <x:c r="F224" s="17" t="str">
        <x:v>中商锂新能源科技（惠州）有限公司</x:v>
      </x:c>
      <x:c r="G224" s="17" t="str">
        <x:v>梯次利用</x:v>
      </x:c>
      <x:c r="H224" s="24" t="n">
        <x:v>114.4127007</x:v>
      </x:c>
      <x:c r="I224" s="24" t="n">
        <x:v>23.1125153</x:v>
      </x:c>
      <x:c r="J224" s="21" t="n">
        <x:f>6371*ACOS(MIN(1,COS(D224*PI()/180)*COS(I224*PI()/180)*COS((H224-C224)*PI()/180)+SIN(D224*PI()/180)*SIN(I224*PI()/180)))</x:f>
        <x:v>133.0260660496842</x:v>
      </x:c>
      <x:c r="K224" s="21" t="n">
        <x:f>'情景参数模板'!$D$31</x:f>
        <x:v>1.2</x:v>
      </x:c>
      <x:c r="L224" s="21" t="n">
        <x:f>J224*K224</x:f>
        <x:v>159.63127925962104</x:v>
      </x:c>
    </x:row>
    <x:row r="225">
      <x:c r="A225" s="17" t="str">
        <x:v>GD05</x:v>
      </x:c>
      <x:c r="B225" s="17" t="str">
        <x:v>佛山</x:v>
      </x:c>
      <x:c r="C225" s="24" t="n">
        <x:v>113.1159558</x:v>
      </x:c>
      <x:c r="D225" s="24" t="n">
        <x:v>23.0239788</x:v>
      </x:c>
      <x:c r="E225" s="17" t="str">
        <x:v>P19</x:v>
      </x:c>
      <x:c r="F225" s="17" t="str">
        <x:v>广东盛祥新材料科技有限公司</x:v>
      </x:c>
      <x:c r="G225" s="17" t="str">
        <x:v>再生利用</x:v>
      </x:c>
      <x:c r="H225" s="24" t="n">
        <x:v>113.8155263</x:v>
      </x:c>
      <x:c r="I225" s="24" t="n">
        <x:v>24.8309489</x:v>
      </x:c>
      <x:c r="J225" s="21" t="n">
        <x:f>6371*ACOS(MIN(1,COS(D225*PI()/180)*COS(I225*PI()/180)*COS((H225-C225)*PI()/180)+SIN(D225*PI()/180)*SIN(I225*PI()/180)))</x:f>
        <x:v>213.1343512095063</x:v>
      </x:c>
      <x:c r="K225" s="21" t="n">
        <x:f>'情景参数模板'!$D$31</x:f>
        <x:v>1.2</x:v>
      </x:c>
      <x:c r="L225" s="21" t="n">
        <x:f>J225*K225</x:f>
        <x:v>255.76122145140755</x:v>
      </x:c>
    </x:row>
    <x:row r="226">
      <x:c r="A226" s="17" t="str">
        <x:v>GD05</x:v>
      </x:c>
      <x:c r="B226" s="17" t="str">
        <x:v>佛山</x:v>
      </x:c>
      <x:c r="C226" s="24" t="n">
        <x:v>113.1159558</x:v>
      </x:c>
      <x:c r="D226" s="24" t="n">
        <x:v>23.0239788</x:v>
      </x:c>
      <x:c r="E226" s="17" t="str">
        <x:v>P20E</x:v>
      </x:c>
      <x:c r="F226" s="17" t="str">
        <x:v>广东金晟新能源股份有限公司（梯次功能）</x:v>
      </x:c>
      <x:c r="G226" s="17" t="str">
        <x:v>梯次利用</x:v>
      </x:c>
      <x:c r="H226" s="24" t="n">
        <x:v>112.4603629</x:v>
      </x:c>
      <x:c r="I226" s="24" t="n">
        <x:v>23.0501661</x:v>
      </x:c>
      <x:c r="J226" s="21" t="n">
        <x:f>6371*ACOS(MIN(1,COS(D226*PI()/180)*COS(I226*PI()/180)*COS((H226-C226)*PI()/180)+SIN(D226*PI()/180)*SIN(I226*PI()/180)))</x:f>
        <x:v>67.14818534262002</x:v>
      </x:c>
      <x:c r="K226" s="21" t="n">
        <x:f>'情景参数模板'!$D$31</x:f>
        <x:v>1.2</x:v>
      </x:c>
      <x:c r="L226" s="21" t="n">
        <x:f>J226*K226</x:f>
        <x:v>80.57782241114403</x:v>
      </x:c>
    </x:row>
    <x:row r="227">
      <x:c r="A227" s="17" t="str">
        <x:v>GD05</x:v>
      </x:c>
      <x:c r="B227" s="17" t="str">
        <x:v>佛山</x:v>
      </x:c>
      <x:c r="C227" s="24" t="n">
        <x:v>113.1159558</x:v>
      </x:c>
      <x:c r="D227" s="24" t="n">
        <x:v>23.0239788</x:v>
      </x:c>
      <x:c r="E227" s="17" t="str">
        <x:v>P20R</x:v>
      </x:c>
      <x:c r="F227" s="17" t="str">
        <x:v>广东金晟新能源股份有限公司（再生功能）</x:v>
      </x:c>
      <x:c r="G227" s="17" t="str">
        <x:v>再生利用</x:v>
      </x:c>
      <x:c r="H227" s="24" t="n">
        <x:v>112.4603629</x:v>
      </x:c>
      <x:c r="I227" s="24" t="n">
        <x:v>23.0501661</x:v>
      </x:c>
      <x:c r="J227" s="21" t="n">
        <x:f>6371*ACOS(MIN(1,COS(D227*PI()/180)*COS(I227*PI()/180)*COS((H227-C227)*PI()/180)+SIN(D227*PI()/180)*SIN(I227*PI()/180)))</x:f>
        <x:v>67.14818534262002</x:v>
      </x:c>
      <x:c r="K227" s="21" t="n">
        <x:f>'情景参数模板'!$D$31</x:f>
        <x:v>1.2</x:v>
      </x:c>
      <x:c r="L227" s="21" t="n">
        <x:f>J227*K227</x:f>
        <x:v>80.57782241114403</x:v>
      </x:c>
    </x:row>
    <x:row r="228">
      <x:c r="A228" s="17" t="str">
        <x:v>GD05</x:v>
      </x:c>
      <x:c r="B228" s="17" t="str">
        <x:v>佛山</x:v>
      </x:c>
      <x:c r="C228" s="24" t="n">
        <x:v>113.1159558</x:v>
      </x:c>
      <x:c r="D228" s="24" t="n">
        <x:v>23.0239788</x:v>
      </x:c>
      <x:c r="E228" s="17" t="str">
        <x:v>P21E</x:v>
      </x:c>
      <x:c r="F228" s="17" t="str">
        <x:v>广东瑞科美电源技术有限公司（梯次功能）</x:v>
      </x:c>
      <x:c r="G228" s="17" t="str">
        <x:v>梯次利用</x:v>
      </x:c>
      <x:c r="H228" s="24" t="n">
        <x:v>113.1159558</x:v>
      </x:c>
      <x:c r="I228" s="24" t="n">
        <x:v>23.0239788</x:v>
      </x:c>
      <x:c r="J228" s="21" t="n">
        <x:f>6371*ACOS(MIN(1,COS(D228*PI()/180)*COS(I228*PI()/180)*COS((H228-C228)*PI()/180)+SIN(D228*PI()/180)*SIN(I228*PI()/180)))</x:f>
        <x:v>0</x:v>
      </x:c>
      <x:c r="K228" s="21" t="n">
        <x:f>'情景参数模板'!$D$31</x:f>
        <x:v>1.2</x:v>
      </x:c>
      <x:c r="L228" s="21" t="n">
        <x:f>J228*K228</x:f>
        <x:v>0</x:v>
      </x:c>
    </x:row>
    <x:row r="229">
      <x:c r="A229" s="17" t="str">
        <x:v>GD05</x:v>
      </x:c>
      <x:c r="B229" s="17" t="str">
        <x:v>佛山</x:v>
      </x:c>
      <x:c r="C229" s="24" t="n">
        <x:v>113.1159558</x:v>
      </x:c>
      <x:c r="D229" s="24" t="n">
        <x:v>23.0239788</x:v>
      </x:c>
      <x:c r="E229" s="17" t="str">
        <x:v>P21R</x:v>
      </x:c>
      <x:c r="F229" s="17" t="str">
        <x:v>广东瑞科美电源技术有限公司（再生功能）</x:v>
      </x:c>
      <x:c r="G229" s="17" t="str">
        <x:v>再生利用</x:v>
      </x:c>
      <x:c r="H229" s="24" t="n">
        <x:v>113.1159558</x:v>
      </x:c>
      <x:c r="I229" s="24" t="n">
        <x:v>23.0239788</x:v>
      </x:c>
      <x:c r="J229" s="21" t="n">
        <x:f>6371*ACOS(MIN(1,COS(D229*PI()/180)*COS(I229*PI()/180)*COS((H229-C229)*PI()/180)+SIN(D229*PI()/180)*SIN(I229*PI()/180)))</x:f>
        <x:v>0</x:v>
      </x:c>
      <x:c r="K229" s="21" t="n">
        <x:f>'情景参数模板'!$D$31</x:f>
        <x:v>1.2</x:v>
      </x:c>
      <x:c r="L229" s="21" t="n">
        <x:f>J229*K229</x:f>
        <x:v>0</x:v>
      </x:c>
    </x:row>
    <x:row r="230">
      <x:c r="A230" s="17" t="str">
        <x:v>GD06</x:v>
      </x:c>
      <x:c r="B230" s="17" t="str">
        <x:v>韶关</x:v>
      </x:c>
      <x:c r="C230" s="24" t="n">
        <x:v>113.8155263</x:v>
      </x:c>
      <x:c r="D230" s="24" t="n">
        <x:v>24.8309489</x:v>
      </x:c>
      <x:c r="E230" s="17" t="str">
        <x:v>C01</x:v>
      </x:c>
      <x:c r="F230" s="17" t="str">
        <x:v>广州虚拟回收/检测中心</x:v>
      </x:c>
      <x:c r="G230" s="17" t="str">
        <x:v>回收中心候选</x:v>
      </x:c>
      <x:c r="H230" s="24" t="n">
        <x:v>113.2589581</x:v>
      </x:c>
      <x:c r="I230" s="24" t="n">
        <x:v>23.1288429</x:v>
      </x:c>
      <x:c r="J230" s="21" t="n">
        <x:f>6371*ACOS(MIN(1,COS(D230*PI()/180)*COS(I230*PI()/180)*COS((H230-C230)*PI()/180)+SIN(D230*PI()/180)*SIN(I230*PI()/180)))</x:f>
        <x:v>197.53104116353575</x:v>
      </x:c>
      <x:c r="K230" s="21" t="n">
        <x:f>'情景参数模板'!$D$31</x:f>
        <x:v>1.2</x:v>
      </x:c>
      <x:c r="L230" s="21" t="n">
        <x:f>J230*K230</x:f>
        <x:v>237.03724939624288</x:v>
      </x:c>
    </x:row>
    <x:row r="231">
      <x:c r="A231" s="17" t="str">
        <x:v>GD06</x:v>
      </x:c>
      <x:c r="B231" s="17" t="str">
        <x:v>韶关</x:v>
      </x:c>
      <x:c r="C231" s="24" t="n">
        <x:v>113.8155263</x:v>
      </x:c>
      <x:c r="D231" s="24" t="n">
        <x:v>24.8309489</x:v>
      </x:c>
      <x:c r="E231" s="17" t="str">
        <x:v>C02</x:v>
      </x:c>
      <x:c r="F231" s="17" t="str">
        <x:v>深圳虚拟回收/检测中心</x:v>
      </x:c>
      <x:c r="G231" s="17" t="str">
        <x:v>回收中心候选</x:v>
      </x:c>
      <x:c r="H231" s="24" t="n">
        <x:v>114.0545429</x:v>
      </x:c>
      <x:c r="I231" s="24" t="n">
        <x:v>22.5445741</x:v>
      </x:c>
      <x:c r="J231" s="21" t="n">
        <x:f>6371*ACOS(MIN(1,COS(D231*PI()/180)*COS(I231*PI()/180)*COS((H231-C231)*PI()/180)+SIN(D231*PI()/180)*SIN(I231*PI()/180)))</x:f>
        <x:v>255.39535166591816</x:v>
      </x:c>
      <x:c r="K231" s="21" t="n">
        <x:f>'情景参数模板'!$D$31</x:f>
        <x:v>1.2</x:v>
      </x:c>
      <x:c r="L231" s="21" t="n">
        <x:f>J231*K231</x:f>
        <x:v>306.47442199910176</x:v>
      </x:c>
    </x:row>
    <x:row r="232">
      <x:c r="A232" s="17" t="str">
        <x:v>GD06</x:v>
      </x:c>
      <x:c r="B232" s="17" t="str">
        <x:v>韶关</x:v>
      </x:c>
      <x:c r="C232" s="24" t="n">
        <x:v>113.8155263</x:v>
      </x:c>
      <x:c r="D232" s="24" t="n">
        <x:v>24.8309489</x:v>
      </x:c>
      <x:c r="E232" s="17" t="str">
        <x:v>C03</x:v>
      </x:c>
      <x:c r="F232" s="17" t="str">
        <x:v>珠海虚拟回收/检测中心</x:v>
      </x:c>
      <x:c r="G232" s="17" t="str">
        <x:v>回收中心候选</x:v>
      </x:c>
      <x:c r="H232" s="24" t="n">
        <x:v>113.5721327</x:v>
      </x:c>
      <x:c r="I232" s="24" t="n">
        <x:v>22.273734</x:v>
      </x:c>
      <x:c r="J232" s="21" t="n">
        <x:f>6371*ACOS(MIN(1,COS(D232*PI()/180)*COS(I232*PI()/180)*COS((H232-C232)*PI()/180)+SIN(D232*PI()/180)*SIN(I232*PI()/180)))</x:f>
        <x:v>285.4293111538577</x:v>
      </x:c>
      <x:c r="K232" s="21" t="n">
        <x:f>'情景参数模板'!$D$31</x:f>
        <x:v>1.2</x:v>
      </x:c>
      <x:c r="L232" s="21" t="n">
        <x:f>J232*K232</x:f>
        <x:v>342.51517338462924</x:v>
      </x:c>
    </x:row>
    <x:row r="233">
      <x:c r="A233" s="17" t="str">
        <x:v>GD06</x:v>
      </x:c>
      <x:c r="B233" s="17" t="str">
        <x:v>韶关</x:v>
      </x:c>
      <x:c r="C233" s="24" t="n">
        <x:v>113.8155263</x:v>
      </x:c>
      <x:c r="D233" s="24" t="n">
        <x:v>24.8309489</x:v>
      </x:c>
      <x:c r="E233" s="17" t="str">
        <x:v>C04</x:v>
      </x:c>
      <x:c r="F233" s="17" t="str">
        <x:v>汕头虚拟回收/检测中心</x:v>
      </x:c>
      <x:c r="G233" s="17" t="str">
        <x:v>回收中心候选</x:v>
      </x:c>
      <x:c r="H233" s="24" t="n">
        <x:v>116.6775856</x:v>
      </x:c>
      <x:c r="I233" s="24" t="n">
        <x:v>23.3563921</x:v>
      </x:c>
      <x:c r="J233" s="21" t="n">
        <x:f>6371*ACOS(MIN(1,COS(D233*PI()/180)*COS(I233*PI()/180)*COS((H233-C233)*PI()/180)+SIN(D233*PI()/180)*SIN(I233*PI()/180)))</x:f>
        <x:v>333.5802590119702</x:v>
      </x:c>
      <x:c r="K233" s="21" t="n">
        <x:f>'情景参数模板'!$D$31</x:f>
        <x:v>1.2</x:v>
      </x:c>
      <x:c r="L233" s="21" t="n">
        <x:f>J233*K233</x:f>
        <x:v>400.29631081436423</x:v>
      </x:c>
    </x:row>
    <x:row r="234">
      <x:c r="A234" s="17" t="str">
        <x:v>GD06</x:v>
      </x:c>
      <x:c r="B234" s="17" t="str">
        <x:v>韶关</x:v>
      </x:c>
      <x:c r="C234" s="24" t="n">
        <x:v>113.8155263</x:v>
      </x:c>
      <x:c r="D234" s="24" t="n">
        <x:v>24.8309489</x:v>
      </x:c>
      <x:c r="E234" s="17" t="str">
        <x:v>C05</x:v>
      </x:c>
      <x:c r="F234" s="17" t="str">
        <x:v>佛山虚拟回收/检测中心</x:v>
      </x:c>
      <x:c r="G234" s="17" t="str">
        <x:v>回收中心候选</x:v>
      </x:c>
      <x:c r="H234" s="24" t="n">
        <x:v>113.1159558</x:v>
      </x:c>
      <x:c r="I234" s="24" t="n">
        <x:v>23.0239788</x:v>
      </x:c>
      <x:c r="J234" s="21" t="n">
        <x:f>6371*ACOS(MIN(1,COS(D234*PI()/180)*COS(I234*PI()/180)*COS((H234-C234)*PI()/180)+SIN(D234*PI()/180)*SIN(I234*PI()/180)))</x:f>
        <x:v>213.1343512095063</x:v>
      </x:c>
      <x:c r="K234" s="21" t="n">
        <x:f>'情景参数模板'!$D$31</x:f>
        <x:v>1.2</x:v>
      </x:c>
      <x:c r="L234" s="21" t="n">
        <x:f>J234*K234</x:f>
        <x:v>255.76122145140755</x:v>
      </x:c>
    </x:row>
    <x:row r="235">
      <x:c r="A235" s="17" t="str">
        <x:v>GD06</x:v>
      </x:c>
      <x:c r="B235" s="17" t="str">
        <x:v>韶关</x:v>
      </x:c>
      <x:c r="C235" s="24" t="n">
        <x:v>113.8155263</x:v>
      </x:c>
      <x:c r="D235" s="24" t="n">
        <x:v>24.8309489</x:v>
      </x:c>
      <x:c r="E235" s="17" t="str">
        <x:v>C06</x:v>
      </x:c>
      <x:c r="F235" s="17" t="str">
        <x:v>韶关虚拟回收/检测中心</x:v>
      </x:c>
      <x:c r="G235" s="17" t="str">
        <x:v>回收中心候选</x:v>
      </x:c>
      <x:c r="H235" s="24" t="n">
        <x:v>113.8155263</x:v>
      </x:c>
      <x:c r="I235" s="24" t="n">
        <x:v>24.8309489</x:v>
      </x:c>
      <x:c r="J235" s="21" t="n">
        <x:f>6371*ACOS(MIN(1,COS(D235*PI()/180)*COS(I235*PI()/180)*COS((H235-C235)*PI()/180)+SIN(D235*PI()/180)*SIN(I235*PI()/180)))</x:f>
        <x:v>0</x:v>
      </x:c>
      <x:c r="K235" s="21" t="n">
        <x:f>'情景参数模板'!$D$31</x:f>
        <x:v>1.2</x:v>
      </x:c>
      <x:c r="L235" s="21" t="n">
        <x:f>J235*K235</x:f>
        <x:v>0</x:v>
      </x:c>
    </x:row>
    <x:row r="236">
      <x:c r="A236" s="17" t="str">
        <x:v>GD06</x:v>
      </x:c>
      <x:c r="B236" s="17" t="str">
        <x:v>韶关</x:v>
      </x:c>
      <x:c r="C236" s="24" t="n">
        <x:v>113.8155263</x:v>
      </x:c>
      <x:c r="D236" s="24" t="n">
        <x:v>24.8309489</x:v>
      </x:c>
      <x:c r="E236" s="17" t="str">
        <x:v>C07</x:v>
      </x:c>
      <x:c r="F236" s="17" t="str">
        <x:v>河源虚拟回收/检测中心</x:v>
      </x:c>
      <x:c r="G236" s="17" t="str">
        <x:v>回收中心候选</x:v>
      </x:c>
      <x:c r="H236" s="24" t="n">
        <x:v>115.0577538</x:v>
      </x:c>
      <x:c r="I236" s="24" t="n">
        <x:v>24.1014769</x:v>
      </x:c>
      <x:c r="J236" s="21" t="n">
        <x:f>6371*ACOS(MIN(1,COS(D236*PI()/180)*COS(I236*PI()/180)*COS((H236-C236)*PI()/180)+SIN(D236*PI()/180)*SIN(I236*PI()/180)))</x:f>
        <x:v>149.6196110292933</x:v>
      </x:c>
      <x:c r="K236" s="21" t="n">
        <x:f>'情景参数模板'!$D$31</x:f>
        <x:v>1.2</x:v>
      </x:c>
      <x:c r="L236" s="21" t="n">
        <x:f>J236*K236</x:f>
        <x:v>179.54353323515195</x:v>
      </x:c>
    </x:row>
    <x:row r="237">
      <x:c r="A237" s="17" t="str">
        <x:v>GD06</x:v>
      </x:c>
      <x:c r="B237" s="17" t="str">
        <x:v>韶关</x:v>
      </x:c>
      <x:c r="C237" s="24" t="n">
        <x:v>113.8155263</x:v>
      </x:c>
      <x:c r="D237" s="24" t="n">
        <x:v>24.8309489</x:v>
      </x:c>
      <x:c r="E237" s="17" t="str">
        <x:v>C08</x:v>
      </x:c>
      <x:c r="F237" s="17" t="str">
        <x:v>梅州虚拟回收/检测中心</x:v>
      </x:c>
      <x:c r="G237" s="17" t="str">
        <x:v>回收中心候选</x:v>
      </x:c>
      <x:c r="H237" s="24" t="n">
        <x:v>116.1171428</x:v>
      </x:c>
      <x:c r="I237" s="24" t="n">
        <x:v>24.2918414</x:v>
      </x:c>
      <x:c r="J237" s="21" t="n">
        <x:f>6371*ACOS(MIN(1,COS(D237*PI()/180)*COS(I237*PI()/180)*COS((H237-C237)*PI()/180)+SIN(D237*PI()/180)*SIN(I237*PI()/180)))</x:f>
        <x:v>240.36191880067403</x:v>
      </x:c>
      <x:c r="K237" s="21" t="n">
        <x:f>'情景参数模板'!$D$31</x:f>
        <x:v>1.2</x:v>
      </x:c>
      <x:c r="L237" s="21" t="n">
        <x:f>J237*K237</x:f>
        <x:v>288.4343025608088</x:v>
      </x:c>
    </x:row>
    <x:row r="238">
      <x:c r="A238" s="17" t="str">
        <x:v>GD06</x:v>
      </x:c>
      <x:c r="B238" s="17" t="str">
        <x:v>韶关</x:v>
      </x:c>
      <x:c r="C238" s="24" t="n">
        <x:v>113.8155263</x:v>
      </x:c>
      <x:c r="D238" s="24" t="n">
        <x:v>24.8309489</x:v>
      </x:c>
      <x:c r="E238" s="17" t="str">
        <x:v>C09</x:v>
      </x:c>
      <x:c r="F238" s="17" t="str">
        <x:v>惠州虚拟回收/检测中心</x:v>
      </x:c>
      <x:c r="G238" s="17" t="str">
        <x:v>回收中心候选</x:v>
      </x:c>
      <x:c r="H238" s="24" t="n">
        <x:v>114.4127007</x:v>
      </x:c>
      <x:c r="I238" s="24" t="n">
        <x:v>23.1125153</x:v>
      </x:c>
      <x:c r="J238" s="21" t="n">
        <x:f>6371*ACOS(MIN(1,COS(D238*PI()/180)*COS(I238*PI()/180)*COS((H238-C238)*PI()/180)+SIN(D238*PI()/180)*SIN(I238*PI()/180)))</x:f>
        <x:v>200.4819895915133</x:v>
      </x:c>
      <x:c r="K238" s="21" t="n">
        <x:f>'情景参数模板'!$D$31</x:f>
        <x:v>1.2</x:v>
      </x:c>
      <x:c r="L238" s="21" t="n">
        <x:f>J238*K238</x:f>
        <x:v>240.57838750981594</x:v>
      </x:c>
    </x:row>
    <x:row r="239">
      <x:c r="A239" s="17" t="str">
        <x:v>GD06</x:v>
      </x:c>
      <x:c r="B239" s="17" t="str">
        <x:v>韶关</x:v>
      </x:c>
      <x:c r="C239" s="24" t="n">
        <x:v>113.8155263</x:v>
      </x:c>
      <x:c r="D239" s="24" t="n">
        <x:v>24.8309489</x:v>
      </x:c>
      <x:c r="E239" s="17" t="str">
        <x:v>C10</x:v>
      </x:c>
      <x:c r="F239" s="17" t="str">
        <x:v>汕尾虚拟回收/检测中心</x:v>
      </x:c>
      <x:c r="G239" s="17" t="str">
        <x:v>回收中心候选</x:v>
      </x:c>
      <x:c r="H239" s="24" t="n">
        <x:v>115.5099937</x:v>
      </x:c>
      <x:c r="I239" s="24" t="n">
        <x:v>23.0123639</x:v>
      </x:c>
      <x:c r="J239" s="21" t="n">
        <x:f>6371*ACOS(MIN(1,COS(D239*PI()/180)*COS(I239*PI()/180)*COS((H239-C239)*PI()/180)+SIN(D239*PI()/180)*SIN(I239*PI()/180)))</x:f>
        <x:v>265.61478907353063</x:v>
      </x:c>
      <x:c r="K239" s="21" t="n">
        <x:f>'情景参数模板'!$D$31</x:f>
        <x:v>1.2</x:v>
      </x:c>
      <x:c r="L239" s="21" t="n">
        <x:f>J239*K239</x:f>
        <x:v>318.73774688823676</x:v>
      </x:c>
    </x:row>
    <x:row r="240">
      <x:c r="A240" s="17" t="str">
        <x:v>GD06</x:v>
      </x:c>
      <x:c r="B240" s="17" t="str">
        <x:v>韶关</x:v>
      </x:c>
      <x:c r="C240" s="24" t="n">
        <x:v>113.8155263</x:v>
      </x:c>
      <x:c r="D240" s="24" t="n">
        <x:v>24.8309489</x:v>
      </x:c>
      <x:c r="E240" s="17" t="str">
        <x:v>C11</x:v>
      </x:c>
      <x:c r="F240" s="17" t="str">
        <x:v>东莞虚拟回收/检测中心</x:v>
      </x:c>
      <x:c r="G240" s="17" t="str">
        <x:v>回收中心候选</x:v>
      </x:c>
      <x:c r="H240" s="24" t="n">
        <x:v>113.7452332</x:v>
      </x:c>
      <x:c r="I240" s="24" t="n">
        <x:v>23.0183568</x:v>
      </x:c>
      <x:c r="J240" s="21" t="n">
        <x:f>6371*ACOS(MIN(1,COS(D240*PI()/180)*COS(I240*PI()/180)*COS((H240-C240)*PI()/180)+SIN(D240*PI()/180)*SIN(I240*PI()/180)))</x:f>
        <x:v>201.67762245027922</x:v>
      </x:c>
      <x:c r="K240" s="21" t="n">
        <x:f>'情景参数模板'!$D$31</x:f>
        <x:v>1.2</x:v>
      </x:c>
      <x:c r="L240" s="21" t="n">
        <x:f>J240*K240</x:f>
        <x:v>242.01314694033505</x:v>
      </x:c>
    </x:row>
    <x:row r="241">
      <x:c r="A241" s="17" t="str">
        <x:v>GD06</x:v>
      </x:c>
      <x:c r="B241" s="17" t="str">
        <x:v>韶关</x:v>
      </x:c>
      <x:c r="C241" s="24" t="n">
        <x:v>113.8155263</x:v>
      </x:c>
      <x:c r="D241" s="24" t="n">
        <x:v>24.8309489</x:v>
      </x:c>
      <x:c r="E241" s="17" t="str">
        <x:v>C12</x:v>
      </x:c>
      <x:c r="F241" s="17" t="str">
        <x:v>中山虚拟回收/检测中心</x:v>
      </x:c>
      <x:c r="G241" s="17" t="str">
        <x:v>回收中心候选</x:v>
      </x:c>
      <x:c r="H241" s="24" t="n">
        <x:v>113.3872302</x:v>
      </x:c>
      <x:c r="I241" s="24" t="n">
        <x:v>22.5197073</x:v>
      </x:c>
      <x:c r="J241" s="21" t="n">
        <x:f>6371*ACOS(MIN(1,COS(D241*PI()/180)*COS(I241*PI()/180)*COS((H241-C241)*PI()/180)+SIN(D241*PI()/180)*SIN(I241*PI()/180)))</x:f>
        <x:v>260.67240148858207</x:v>
      </x:c>
      <x:c r="K241" s="21" t="n">
        <x:f>'情景参数模板'!$D$31</x:f>
        <x:v>1.2</x:v>
      </x:c>
      <x:c r="L241" s="21" t="n">
        <x:f>J241*K241</x:f>
        <x:v>312.80688178629845</x:v>
      </x:c>
    </x:row>
    <x:row r="242">
      <x:c r="A242" s="17" t="str">
        <x:v>GD06</x:v>
      </x:c>
      <x:c r="B242" s="17" t="str">
        <x:v>韶关</x:v>
      </x:c>
      <x:c r="C242" s="24" t="n">
        <x:v>113.8155263</x:v>
      </x:c>
      <x:c r="D242" s="24" t="n">
        <x:v>24.8309489</x:v>
      </x:c>
      <x:c r="E242" s="17" t="str">
        <x:v>C13</x:v>
      </x:c>
      <x:c r="F242" s="17" t="str">
        <x:v>江门虚拟回收/检测中心</x:v>
      </x:c>
      <x:c r="G242" s="17" t="str">
        <x:v>回收中心候选</x:v>
      </x:c>
      <x:c r="H242" s="24" t="n">
        <x:v>113.0761073</x:v>
      </x:c>
      <x:c r="I242" s="24" t="n">
        <x:v>22.5816619</x:v>
      </x:c>
      <x:c r="J242" s="21" t="n">
        <x:f>6371*ACOS(MIN(1,COS(D242*PI()/180)*COS(I242*PI()/180)*COS((H242-C242)*PI()/180)+SIN(D242*PI()/180)*SIN(I242*PI()/180)))</x:f>
        <x:v>261.1912194278549</x:v>
      </x:c>
      <x:c r="K242" s="21" t="n">
        <x:f>'情景参数模板'!$D$31</x:f>
        <x:v>1.2</x:v>
      </x:c>
      <x:c r="L242" s="21" t="n">
        <x:f>J242*K242</x:f>
        <x:v>313.42946331342586</x:v>
      </x:c>
    </x:row>
    <x:row r="243">
      <x:c r="A243" s="17" t="str">
        <x:v>GD06</x:v>
      </x:c>
      <x:c r="B243" s="17" t="str">
        <x:v>韶关</x:v>
      </x:c>
      <x:c r="C243" s="24" t="n">
        <x:v>113.8155263</x:v>
      </x:c>
      <x:c r="D243" s="24" t="n">
        <x:v>24.8309489</x:v>
      </x:c>
      <x:c r="E243" s="17" t="str">
        <x:v>C14</x:v>
      </x:c>
      <x:c r="F243" s="17" t="str">
        <x:v>阳江虚拟回收/检测中心</x:v>
      </x:c>
      <x:c r="G243" s="17" t="str">
        <x:v>回收中心候选</x:v>
      </x:c>
      <x:c r="H243" s="24" t="n">
        <x:v>111.7831393</x:v>
      </x:c>
      <x:c r="I243" s="24" t="n">
        <x:v>22.0958223</x:v>
      </x:c>
      <x:c r="J243" s="21" t="n">
        <x:f>6371*ACOS(MIN(1,COS(D243*PI()/180)*COS(I243*PI()/180)*COS((H243-C243)*PI()/180)+SIN(D243*PI()/180)*SIN(I243*PI()/180)))</x:f>
        <x:v>368.04654773255174</x:v>
      </x:c>
      <x:c r="K243" s="21" t="n">
        <x:f>'情景参数模板'!$D$31</x:f>
        <x:v>1.2</x:v>
      </x:c>
      <x:c r="L243" s="21" t="n">
        <x:f>J243*K243</x:f>
        <x:v>441.6558572790621</x:v>
      </x:c>
    </x:row>
    <x:row r="244">
      <x:c r="A244" s="17" t="str">
        <x:v>GD06</x:v>
      </x:c>
      <x:c r="B244" s="17" t="str">
        <x:v>韶关</x:v>
      </x:c>
      <x:c r="C244" s="24" t="n">
        <x:v>113.8155263</x:v>
      </x:c>
      <x:c r="D244" s="24" t="n">
        <x:v>24.8309489</x:v>
      </x:c>
      <x:c r="E244" s="17" t="str">
        <x:v>C15</x:v>
      </x:c>
      <x:c r="F244" s="17" t="str">
        <x:v>湛江虚拟回收/检测中心</x:v>
      </x:c>
      <x:c r="G244" s="17" t="str">
        <x:v>回收中心候选</x:v>
      </x:c>
      <x:c r="H244" s="24" t="n">
        <x:v>110.3548318</x:v>
      </x:c>
      <x:c r="I244" s="24" t="n">
        <x:v>21.2737079</x:v>
      </x:c>
      <x:c r="J244" s="21" t="n">
        <x:f>6371*ACOS(MIN(1,COS(D244*PI()/180)*COS(I244*PI()/180)*COS((H244-C244)*PI()/180)+SIN(D244*PI()/180)*SIN(I244*PI()/180)))</x:f>
        <x:v>530.815118988391</x:v>
      </x:c>
      <x:c r="K244" s="21" t="n">
        <x:f>'情景参数模板'!$D$31</x:f>
        <x:v>1.2</x:v>
      </x:c>
      <x:c r="L244" s="21" t="n">
        <x:f>J244*K244</x:f>
        <x:v>636.9781427860692</x:v>
      </x:c>
    </x:row>
    <x:row r="245">
      <x:c r="A245" s="17" t="str">
        <x:v>GD06</x:v>
      </x:c>
      <x:c r="B245" s="17" t="str">
        <x:v>韶关</x:v>
      </x:c>
      <x:c r="C245" s="24" t="n">
        <x:v>113.8155263</x:v>
      </x:c>
      <x:c r="D245" s="24" t="n">
        <x:v>24.8309489</x:v>
      </x:c>
      <x:c r="E245" s="17" t="str">
        <x:v>C16</x:v>
      </x:c>
      <x:c r="F245" s="17" t="str">
        <x:v>茂名虚拟回收/检测中心</x:v>
      </x:c>
      <x:c r="G245" s="17" t="str">
        <x:v>回收中心候选</x:v>
      </x:c>
      <x:c r="H245" s="24" t="n">
        <x:v>110.9209511</x:v>
      </x:c>
      <x:c r="I245" s="24" t="n">
        <x:v>21.6656961</x:v>
      </x:c>
      <x:c r="J245" s="21" t="n">
        <x:f>6371*ACOS(MIN(1,COS(D245*PI()/180)*COS(I245*PI()/180)*COS((H245-C245)*PI()/180)+SIN(D245*PI()/180)*SIN(I245*PI()/180)))</x:f>
        <x:v>459.66654172601613</x:v>
      </x:c>
      <x:c r="K245" s="21" t="n">
        <x:f>'情景参数模板'!$D$31</x:f>
        <x:v>1.2</x:v>
      </x:c>
      <x:c r="L245" s="21" t="n">
        <x:f>J245*K245</x:f>
        <x:v>551.5998500712193</x:v>
      </x:c>
    </x:row>
    <x:row r="246">
      <x:c r="A246" s="17" t="str">
        <x:v>GD06</x:v>
      </x:c>
      <x:c r="B246" s="17" t="str">
        <x:v>韶关</x:v>
      </x:c>
      <x:c r="C246" s="24" t="n">
        <x:v>113.8155263</x:v>
      </x:c>
      <x:c r="D246" s="24" t="n">
        <x:v>24.8309489</x:v>
      </x:c>
      <x:c r="E246" s="17" t="str">
        <x:v>C17</x:v>
      </x:c>
      <x:c r="F246" s="17" t="str">
        <x:v>肇庆虚拟回收/检测中心</x:v>
      </x:c>
      <x:c r="G246" s="17" t="str">
        <x:v>回收中心候选</x:v>
      </x:c>
      <x:c r="H246" s="24" t="n">
        <x:v>112.4603629</x:v>
      </x:c>
      <x:c r="I246" s="24" t="n">
        <x:v>23.0501661</x:v>
      </x:c>
      <x:c r="J246" s="21" t="n">
        <x:f>6371*ACOS(MIN(1,COS(D246*PI()/180)*COS(I246*PI()/180)*COS((H246-C246)*PI()/180)+SIN(D246*PI()/180)*SIN(I246*PI()/180)))</x:f>
        <x:v>241.1942270561686</x:v>
      </x:c>
      <x:c r="K246" s="21" t="n">
        <x:f>'情景参数模板'!$D$31</x:f>
        <x:v>1.2</x:v>
      </x:c>
      <x:c r="L246" s="21" t="n">
        <x:f>J246*K246</x:f>
        <x:v>289.43307246740227</x:v>
      </x:c>
    </x:row>
    <x:row r="247">
      <x:c r="A247" s="17" t="str">
        <x:v>GD06</x:v>
      </x:c>
      <x:c r="B247" s="17" t="str">
        <x:v>韶关</x:v>
      </x:c>
      <x:c r="C247" s="24" t="n">
        <x:v>113.8155263</x:v>
      </x:c>
      <x:c r="D247" s="24" t="n">
        <x:v>24.8309489</x:v>
      </x:c>
      <x:c r="E247" s="17" t="str">
        <x:v>C18</x:v>
      </x:c>
      <x:c r="F247" s="17" t="str">
        <x:v>清远虚拟回收/检测中心</x:v>
      </x:c>
      <x:c r="G247" s="17" t="str">
        <x:v>回收中心候选</x:v>
      </x:c>
      <x:c r="H247" s="24" t="n">
        <x:v>113.0505994</x:v>
      </x:c>
      <x:c r="I247" s="24" t="n">
        <x:v>23.6832984</x:v>
      </x:c>
      <x:c r="J247" s="21" t="n">
        <x:f>6371*ACOS(MIN(1,COS(D247*PI()/180)*COS(I247*PI()/180)*COS((H247-C247)*PI()/180)+SIN(D247*PI()/180)*SIN(I247*PI()/180)))</x:f>
        <x:v>149.32572957361296</x:v>
      </x:c>
      <x:c r="K247" s="21" t="n">
        <x:f>'情景参数模板'!$D$31</x:f>
        <x:v>1.2</x:v>
      </x:c>
      <x:c r="L247" s="21" t="n">
        <x:f>J247*K247</x:f>
        <x:v>179.19087548833554</x:v>
      </x:c>
    </x:row>
    <x:row r="248">
      <x:c r="A248" s="17" t="str">
        <x:v>GD06</x:v>
      </x:c>
      <x:c r="B248" s="17" t="str">
        <x:v>韶关</x:v>
      </x:c>
      <x:c r="C248" s="24" t="n">
        <x:v>113.8155263</x:v>
      </x:c>
      <x:c r="D248" s="24" t="n">
        <x:v>24.8309489</x:v>
      </x:c>
      <x:c r="E248" s="17" t="str">
        <x:v>C19</x:v>
      </x:c>
      <x:c r="F248" s="17" t="str">
        <x:v>潮州虚拟回收/检测中心</x:v>
      </x:c>
      <x:c r="G248" s="17" t="str">
        <x:v>回收中心候选</x:v>
      </x:c>
      <x:c r="H248" s="24" t="n">
        <x:v>116.6204223</x:v>
      </x:c>
      <x:c r="I248" s="24" t="n">
        <x:v>23.656593</x:v>
      </x:c>
      <x:c r="J248" s="21" t="n">
        <x:f>6371*ACOS(MIN(1,COS(D248*PI()/180)*COS(I248*PI()/180)*COS((H248-C248)*PI()/180)+SIN(D248*PI()/180)*SIN(I248*PI()/180)))</x:f>
        <x:v>312.91933151179103</x:v>
      </x:c>
      <x:c r="K248" s="21" t="n">
        <x:f>'情景参数模板'!$D$31</x:f>
        <x:v>1.2</x:v>
      </x:c>
      <x:c r="L248" s="21" t="n">
        <x:f>J248*K248</x:f>
        <x:v>375.50319781414925</x:v>
      </x:c>
    </x:row>
    <x:row r="249">
      <x:c r="A249" s="17" t="str">
        <x:v>GD06</x:v>
      </x:c>
      <x:c r="B249" s="17" t="str">
        <x:v>韶关</x:v>
      </x:c>
      <x:c r="C249" s="24" t="n">
        <x:v>113.8155263</x:v>
      </x:c>
      <x:c r="D249" s="24" t="n">
        <x:v>24.8309489</x:v>
      </x:c>
      <x:c r="E249" s="17" t="str">
        <x:v>C20</x:v>
      </x:c>
      <x:c r="F249" s="17" t="str">
        <x:v>揭阳虚拟回收/检测中心</x:v>
      </x:c>
      <x:c r="G249" s="17" t="str">
        <x:v>回收中心候选</x:v>
      </x:c>
      <x:c r="H249" s="24" t="n">
        <x:v>116.3680354</x:v>
      </x:c>
      <x:c r="I249" s="24" t="n">
        <x:v>23.553156</x:v>
      </x:c>
      <x:c r="J249" s="21" t="n">
        <x:f>6371*ACOS(MIN(1,COS(D249*PI()/180)*COS(I249*PI()/180)*COS((H249-C249)*PI()/180)+SIN(D249*PI()/180)*SIN(I249*PI()/180)))</x:f>
        <x:v>295.3143523759985</x:v>
      </x:c>
      <x:c r="K249" s="21" t="n">
        <x:f>'情景参数模板'!$D$31</x:f>
        <x:v>1.2</x:v>
      </x:c>
      <x:c r="L249" s="21" t="n">
        <x:f>J249*K249</x:f>
        <x:v>354.3772228511982</x:v>
      </x:c>
    </x:row>
    <x:row r="250">
      <x:c r="A250" s="17" t="str">
        <x:v>GD06</x:v>
      </x:c>
      <x:c r="B250" s="17" t="str">
        <x:v>韶关</x:v>
      </x:c>
      <x:c r="C250" s="24" t="n">
        <x:v>113.8155263</x:v>
      </x:c>
      <x:c r="D250" s="24" t="n">
        <x:v>24.8309489</x:v>
      </x:c>
      <x:c r="E250" s="17" t="str">
        <x:v>C21</x:v>
      </x:c>
      <x:c r="F250" s="17" t="str">
        <x:v>云浮虚拟回收/检测中心</x:v>
      </x:c>
      <x:c r="G250" s="17" t="str">
        <x:v>回收中心候选</x:v>
      </x:c>
      <x:c r="H250" s="24" t="n">
        <x:v>111.8078586</x:v>
      </x:c>
      <x:c r="I250" s="24" t="n">
        <x:v>22.8546663</x:v>
      </x:c>
      <x:c r="J250" s="21" t="n">
        <x:f>6371*ACOS(MIN(1,COS(D250*PI()/180)*COS(I250*PI()/180)*COS((H250-C250)*PI()/180)+SIN(D250*PI()/180)*SIN(I250*PI()/180)))</x:f>
        <x:v>299.9628394143898</x:v>
      </x:c>
      <x:c r="K250" s="21" t="n">
        <x:f>'情景参数模板'!$D$31</x:f>
        <x:v>1.2</x:v>
      </x:c>
      <x:c r="L250" s="21" t="n">
        <x:f>J250*K250</x:f>
        <x:v>359.95540729726775</x:v>
      </x:c>
    </x:row>
    <x:row r="251">
      <x:c r="A251" s="17" t="str">
        <x:v>GD06</x:v>
      </x:c>
      <x:c r="B251" s="17" t="str">
        <x:v>韶关</x:v>
      </x:c>
      <x:c r="C251" s="24" t="n">
        <x:v>113.8155263</x:v>
      </x:c>
      <x:c r="D251" s="24" t="n">
        <x:v>24.8309489</x:v>
      </x:c>
      <x:c r="E251" s="17" t="str">
        <x:v>P01</x:v>
      </x:c>
      <x:c r="F251" s="17" t="str">
        <x:v>汕尾比亚迪废旧动力电池回收项目</x:v>
      </x:c>
      <x:c r="G251" s="17" t="str">
        <x:v>再生利用</x:v>
      </x:c>
      <x:c r="H251" s="24" t="n">
        <x:v>115.3492668</x:v>
      </x:c>
      <x:c r="I251" s="24" t="n">
        <x:v>22.838065</x:v>
      </x:c>
      <x:c r="J251" s="21" t="n">
        <x:f>6371*ACOS(MIN(1,COS(D251*PI()/180)*COS(I251*PI()/180)*COS((H251-C251)*PI()/180)+SIN(D251*PI()/180)*SIN(I251*PI()/180)))</x:f>
        <x:v>270.99384353051636</x:v>
      </x:c>
      <x:c r="K251" s="21" t="n">
        <x:f>'情景参数模板'!$D$31</x:f>
        <x:v>1.2</x:v>
      </x:c>
      <x:c r="L251" s="21" t="n">
        <x:f>J251*K251</x:f>
        <x:v>325.1926122366196</x:v>
      </x:c>
    </x:row>
    <x:row r="252">
      <x:c r="A252" s="17" t="str">
        <x:v>GD06</x:v>
      </x:c>
      <x:c r="B252" s="17" t="str">
        <x:v>韶关</x:v>
      </x:c>
      <x:c r="C252" s="24" t="n">
        <x:v>113.8155263</x:v>
      </x:c>
      <x:c r="D252" s="24" t="n">
        <x:v>24.8309489</x:v>
      </x:c>
      <x:c r="E252" s="17" t="str">
        <x:v>P02E</x:v>
      </x:c>
      <x:c r="F252" s="17" t="str">
        <x:v>广东光华科技股份有限公司（梯次功能）</x:v>
      </x:c>
      <x:c r="G252" s="17" t="str">
        <x:v>梯次利用</x:v>
      </x:c>
      <x:c r="H252" s="24" t="n">
        <x:v>116.6775856</x:v>
      </x:c>
      <x:c r="I252" s="24" t="n">
        <x:v>23.3563921</x:v>
      </x:c>
      <x:c r="J252" s="21" t="n">
        <x:f>6371*ACOS(MIN(1,COS(D252*PI()/180)*COS(I252*PI()/180)*COS((H252-C252)*PI()/180)+SIN(D252*PI()/180)*SIN(I252*PI()/180)))</x:f>
        <x:v>333.5802590119702</x:v>
      </x:c>
      <x:c r="K252" s="21" t="n">
        <x:f>'情景参数模板'!$D$31</x:f>
        <x:v>1.2</x:v>
      </x:c>
      <x:c r="L252" s="21" t="n">
        <x:f>J252*K252</x:f>
        <x:v>400.29631081436423</x:v>
      </x:c>
    </x:row>
    <x:row r="253">
      <x:c r="A253" s="17" t="str">
        <x:v>GD06</x:v>
      </x:c>
      <x:c r="B253" s="17" t="str">
        <x:v>韶关</x:v>
      </x:c>
      <x:c r="C253" s="24" t="n">
        <x:v>113.8155263</x:v>
      </x:c>
      <x:c r="D253" s="24" t="n">
        <x:v>24.8309489</x:v>
      </x:c>
      <x:c r="E253" s="17" t="str">
        <x:v>P02R</x:v>
      </x:c>
      <x:c r="F253" s="17" t="str">
        <x:v>广东光华科技股份有限公司（再生功能）</x:v>
      </x:c>
      <x:c r="G253" s="17" t="str">
        <x:v>再生利用</x:v>
      </x:c>
      <x:c r="H253" s="24" t="n">
        <x:v>116.6775856</x:v>
      </x:c>
      <x:c r="I253" s="24" t="n">
        <x:v>23.3563921</x:v>
      </x:c>
      <x:c r="J253" s="21" t="n">
        <x:f>6371*ACOS(MIN(1,COS(D253*PI()/180)*COS(I253*PI()/180)*COS((H253-C253)*PI()/180)+SIN(D253*PI()/180)*SIN(I253*PI()/180)))</x:f>
        <x:v>333.5802590119702</x:v>
      </x:c>
      <x:c r="K253" s="21" t="n">
        <x:f>'情景参数模板'!$D$31</x:f>
        <x:v>1.2</x:v>
      </x:c>
      <x:c r="L253" s="21" t="n">
        <x:f>J253*K253</x:f>
        <x:v>400.29631081436423</x:v>
      </x:c>
    </x:row>
    <x:row r="254">
      <x:c r="A254" s="17" t="str">
        <x:v>GD06</x:v>
      </x:c>
      <x:c r="B254" s="17" t="str">
        <x:v>韶关</x:v>
      </x:c>
      <x:c r="C254" s="24" t="n">
        <x:v>113.8155263</x:v>
      </x:c>
      <x:c r="D254" s="24" t="n">
        <x:v>24.8309489</x:v>
      </x:c>
      <x:c r="E254" s="17" t="str">
        <x:v>P03</x:v>
      </x:c>
      <x:c r="F254" s="17" t="str">
        <x:v>深圳深汕特别合作区乾泰技术有限公司</x:v>
      </x:c>
      <x:c r="G254" s="17" t="str">
        <x:v>梯次利用</x:v>
      </x:c>
      <x:c r="H254" s="24" t="n">
        <x:v>115.5099937</x:v>
      </x:c>
      <x:c r="I254" s="24" t="n">
        <x:v>23.0123639</x:v>
      </x:c>
      <x:c r="J254" s="21" t="n">
        <x:f>6371*ACOS(MIN(1,COS(D254*PI()/180)*COS(I254*PI()/180)*COS((H254-C254)*PI()/180)+SIN(D254*PI()/180)*SIN(I254*PI()/180)))</x:f>
        <x:v>265.61478907353063</x:v>
      </x:c>
      <x:c r="K254" s="21" t="n">
        <x:f>'情景参数模板'!$D$31</x:f>
        <x:v>1.2</x:v>
      </x:c>
      <x:c r="L254" s="21" t="n">
        <x:f>J254*K254</x:f>
        <x:v>318.73774688823676</x:v>
      </x:c>
    </x:row>
    <x:row r="255">
      <x:c r="A255" s="17" t="str">
        <x:v>GD06</x:v>
      </x:c>
      <x:c r="B255" s="17" t="str">
        <x:v>韶关</x:v>
      </x:c>
      <x:c r="C255" s="24" t="n">
        <x:v>113.8155263</x:v>
      </x:c>
      <x:c r="D255" s="24" t="n">
        <x:v>24.8309489</x:v>
      </x:c>
      <x:c r="E255" s="17" t="str">
        <x:v>P04</x:v>
      </x:c>
      <x:c r="F255" s="17" t="str">
        <x:v>珠海中力新能源科技有限公司</x:v>
      </x:c>
      <x:c r="G255" s="17" t="str">
        <x:v>梯次利用</x:v>
      </x:c>
      <x:c r="H255" s="24" t="n">
        <x:v>113.5721327</x:v>
      </x:c>
      <x:c r="I255" s="24" t="n">
        <x:v>22.273734</x:v>
      </x:c>
      <x:c r="J255" s="21" t="n">
        <x:f>6371*ACOS(MIN(1,COS(D255*PI()/180)*COS(I255*PI()/180)*COS((H255-C255)*PI()/180)+SIN(D255*PI()/180)*SIN(I255*PI()/180)))</x:f>
        <x:v>285.4293111538577</x:v>
      </x:c>
      <x:c r="K255" s="21" t="n">
        <x:f>'情景参数模板'!$D$31</x:f>
        <x:v>1.2</x:v>
      </x:c>
      <x:c r="L255" s="21" t="n">
        <x:f>J255*K255</x:f>
        <x:v>342.51517338462924</x:v>
      </x:c>
    </x:row>
    <x:row r="256">
      <x:c r="A256" s="17" t="str">
        <x:v>GD06</x:v>
      </x:c>
      <x:c r="B256" s="17" t="str">
        <x:v>韶关</x:v>
      </x:c>
      <x:c r="C256" s="24" t="n">
        <x:v>113.8155263</x:v>
      </x:c>
      <x:c r="D256" s="24" t="n">
        <x:v>24.8309489</x:v>
      </x:c>
      <x:c r="E256" s="17" t="str">
        <x:v>P05</x:v>
      </x:c>
      <x:c r="F256" s="17" t="str">
        <x:v>惠州市恒创睿能环保科技有限公司</x:v>
      </x:c>
      <x:c r="G256" s="17" t="str">
        <x:v>梯次利用</x:v>
      </x:c>
      <x:c r="H256" s="24" t="n">
        <x:v>114.4127007</x:v>
      </x:c>
      <x:c r="I256" s="24" t="n">
        <x:v>23.1125153</x:v>
      </x:c>
      <x:c r="J256" s="21" t="n">
        <x:f>6371*ACOS(MIN(1,COS(D256*PI()/180)*COS(I256*PI()/180)*COS((H256-C256)*PI()/180)+SIN(D256*PI()/180)*SIN(I256*PI()/180)))</x:f>
        <x:v>200.4819895915133</x:v>
      </x:c>
      <x:c r="K256" s="21" t="n">
        <x:f>'情景参数模板'!$D$31</x:f>
        <x:v>1.2</x:v>
      </x:c>
      <x:c r="L256" s="21" t="n">
        <x:f>J256*K256</x:f>
        <x:v>240.57838750981594</x:v>
      </x:c>
    </x:row>
    <x:row r="257">
      <x:c r="A257" s="17" t="str">
        <x:v>GD06</x:v>
      </x:c>
      <x:c r="B257" s="17" t="str">
        <x:v>韶关</x:v>
      </x:c>
      <x:c r="C257" s="24" t="n">
        <x:v>113.8155263</x:v>
      </x:c>
      <x:c r="D257" s="24" t="n">
        <x:v>24.8309489</x:v>
      </x:c>
      <x:c r="E257" s="17" t="str">
        <x:v>P06</x:v>
      </x:c>
      <x:c r="F257" s="17" t="str">
        <x:v>江门市朗达锂电池有限公司</x:v>
      </x:c>
      <x:c r="G257" s="17" t="str">
        <x:v>梯次利用</x:v>
      </x:c>
      <x:c r="H257" s="24" t="n">
        <x:v>113.0761073</x:v>
      </x:c>
      <x:c r="I257" s="24" t="n">
        <x:v>22.5816619</x:v>
      </x:c>
      <x:c r="J257" s="21" t="n">
        <x:f>6371*ACOS(MIN(1,COS(D257*PI()/180)*COS(I257*PI()/180)*COS((H257-C257)*PI()/180)+SIN(D257*PI()/180)*SIN(I257*PI()/180)))</x:f>
        <x:v>261.1912194278549</x:v>
      </x:c>
      <x:c r="K257" s="21" t="n">
        <x:f>'情景参数模板'!$D$31</x:f>
        <x:v>1.2</x:v>
      </x:c>
      <x:c r="L257" s="21" t="n">
        <x:f>J257*K257</x:f>
        <x:v>313.42946331342586</x:v>
      </x:c>
    </x:row>
    <x:row r="258">
      <x:c r="A258" s="17" t="str">
        <x:v>GD06</x:v>
      </x:c>
      <x:c r="B258" s="17" t="str">
        <x:v>韶关</x:v>
      </x:c>
      <x:c r="C258" s="24" t="n">
        <x:v>113.8155263</x:v>
      </x:c>
      <x:c r="D258" s="24" t="n">
        <x:v>24.8309489</x:v>
      </x:c>
      <x:c r="E258" s="17" t="str">
        <x:v>P07</x:v>
      </x:c>
      <x:c r="F258" s="17" t="str">
        <x:v>广东迪度新能源有限公司</x:v>
      </x:c>
      <x:c r="G258" s="17" t="str">
        <x:v>梯次利用</x:v>
      </x:c>
      <x:c r="H258" s="24" t="n">
        <x:v>113.7452332</x:v>
      </x:c>
      <x:c r="I258" s="24" t="n">
        <x:v>23.0183568</x:v>
      </x:c>
      <x:c r="J258" s="21" t="n">
        <x:f>6371*ACOS(MIN(1,COS(D258*PI()/180)*COS(I258*PI()/180)*COS((H258-C258)*PI()/180)+SIN(D258*PI()/180)*SIN(I258*PI()/180)))</x:f>
        <x:v>201.67762245027922</x:v>
      </x:c>
      <x:c r="K258" s="21" t="n">
        <x:f>'情景参数模板'!$D$31</x:f>
        <x:v>1.2</x:v>
      </x:c>
      <x:c r="L258" s="21" t="n">
        <x:f>J258*K258</x:f>
        <x:v>242.01314694033505</x:v>
      </x:c>
    </x:row>
    <x:row r="259">
      <x:c r="A259" s="17" t="str">
        <x:v>GD06</x:v>
      </x:c>
      <x:c r="B259" s="17" t="str">
        <x:v>韶关</x:v>
      </x:c>
      <x:c r="C259" s="24" t="n">
        <x:v>113.8155263</x:v>
      </x:c>
      <x:c r="D259" s="24" t="n">
        <x:v>24.8309489</x:v>
      </x:c>
      <x:c r="E259" s="17" t="str">
        <x:v>P08</x:v>
      </x:c>
      <x:c r="F259" s="17" t="str">
        <x:v>东莞市博森新能源有限公司</x:v>
      </x:c>
      <x:c r="G259" s="17" t="str">
        <x:v>梯次利用</x:v>
      </x:c>
      <x:c r="H259" s="24" t="n">
        <x:v>113.7452332</x:v>
      </x:c>
      <x:c r="I259" s="24" t="n">
        <x:v>23.0183568</x:v>
      </x:c>
      <x:c r="J259" s="21" t="n">
        <x:f>6371*ACOS(MIN(1,COS(D259*PI()/180)*COS(I259*PI()/180)*COS((H259-C259)*PI()/180)+SIN(D259*PI()/180)*SIN(I259*PI()/180)))</x:f>
        <x:v>201.67762245027922</x:v>
      </x:c>
      <x:c r="K259" s="21" t="n">
        <x:f>'情景参数模板'!$D$31</x:f>
        <x:v>1.2</x:v>
      </x:c>
      <x:c r="L259" s="21" t="n">
        <x:f>J259*K259</x:f>
        <x:v>242.01314694033505</x:v>
      </x:c>
    </x:row>
    <x:row r="260">
      <x:c r="A260" s="17" t="str">
        <x:v>GD06</x:v>
      </x:c>
      <x:c r="B260" s="17" t="str">
        <x:v>韶关</x:v>
      </x:c>
      <x:c r="C260" s="24" t="n">
        <x:v>113.8155263</x:v>
      </x:c>
      <x:c r="D260" s="24" t="n">
        <x:v>24.8309489</x:v>
      </x:c>
      <x:c r="E260" s="17" t="str">
        <x:v>P09</x:v>
      </x:c>
      <x:c r="F260" s="17" t="str">
        <x:v>广东宇阳新能源有限公司</x:v>
      </x:c>
      <x:c r="G260" s="17" t="str">
        <x:v>梯次利用</x:v>
      </x:c>
      <x:c r="H260" s="24" t="n">
        <x:v>113.7452332</x:v>
      </x:c>
      <x:c r="I260" s="24" t="n">
        <x:v>23.0183568</x:v>
      </x:c>
      <x:c r="J260" s="21" t="n">
        <x:f>6371*ACOS(MIN(1,COS(D260*PI()/180)*COS(I260*PI()/180)*COS((H260-C260)*PI()/180)+SIN(D260*PI()/180)*SIN(I260*PI()/180)))</x:f>
        <x:v>201.67762245027922</x:v>
      </x:c>
      <x:c r="K260" s="21" t="n">
        <x:f>'情景参数模板'!$D$31</x:f>
        <x:v>1.2</x:v>
      </x:c>
      <x:c r="L260" s="21" t="n">
        <x:f>J260*K260</x:f>
        <x:v>242.01314694033505</x:v>
      </x:c>
    </x:row>
    <x:row r="261">
      <x:c r="A261" s="17" t="str">
        <x:v>GD06</x:v>
      </x:c>
      <x:c r="B261" s="17" t="str">
        <x:v>韶关</x:v>
      </x:c>
      <x:c r="C261" s="24" t="n">
        <x:v>113.8155263</x:v>
      </x:c>
      <x:c r="D261" s="24" t="n">
        <x:v>24.8309489</x:v>
      </x:c>
      <x:c r="E261" s="17" t="str">
        <x:v>P10</x:v>
      </x:c>
      <x:c r="F261" s="17" t="str">
        <x:v>广州广汽商贸再生资源有限公司</x:v>
      </x:c>
      <x:c r="G261" s="17" t="str">
        <x:v>梯次利用</x:v>
      </x:c>
      <x:c r="H261" s="24" t="n">
        <x:v>113.2589581</x:v>
      </x:c>
      <x:c r="I261" s="24" t="n">
        <x:v>23.1288429</x:v>
      </x:c>
      <x:c r="J261" s="21" t="n">
        <x:f>6371*ACOS(MIN(1,COS(D261*PI()/180)*COS(I261*PI()/180)*COS((H261-C261)*PI()/180)+SIN(D261*PI()/180)*SIN(I261*PI()/180)))</x:f>
        <x:v>197.53104116353575</x:v>
      </x:c>
      <x:c r="K261" s="21" t="n">
        <x:f>'情景参数模板'!$D$31</x:f>
        <x:v>1.2</x:v>
      </x:c>
      <x:c r="L261" s="21" t="n">
        <x:f>J261*K261</x:f>
        <x:v>237.03724939624288</x:v>
      </x:c>
    </x:row>
    <x:row r="262">
      <x:c r="A262" s="17" t="str">
        <x:v>GD06</x:v>
      </x:c>
      <x:c r="B262" s="17" t="str">
        <x:v>韶关</x:v>
      </x:c>
      <x:c r="C262" s="24" t="n">
        <x:v>113.8155263</x:v>
      </x:c>
      <x:c r="D262" s="24" t="n">
        <x:v>24.8309489</x:v>
      </x:c>
      <x:c r="E262" s="17" t="str">
        <x:v>P11</x:v>
      </x:c>
      <x:c r="F262" s="17" t="str">
        <x:v>深圳市杰成镍钴新能源科技有限公司</x:v>
      </x:c>
      <x:c r="G262" s="17" t="str">
        <x:v>梯次利用</x:v>
      </x:c>
      <x:c r="H262" s="24" t="n">
        <x:v>114.0545429</x:v>
      </x:c>
      <x:c r="I262" s="24" t="n">
        <x:v>22.5445741</x:v>
      </x:c>
      <x:c r="J262" s="21" t="n">
        <x:f>6371*ACOS(MIN(1,COS(D262*PI()/180)*COS(I262*PI()/180)*COS((H262-C262)*PI()/180)+SIN(D262*PI()/180)*SIN(I262*PI()/180)))</x:f>
        <x:v>255.39535166591816</x:v>
      </x:c>
      <x:c r="K262" s="21" t="n">
        <x:f>'情景参数模板'!$D$31</x:f>
        <x:v>1.2</x:v>
      </x:c>
      <x:c r="L262" s="21" t="n">
        <x:f>J262*K262</x:f>
        <x:v>306.47442199910176</x:v>
      </x:c>
    </x:row>
    <x:row r="263">
      <x:c r="A263" s="17" t="str">
        <x:v>GD06</x:v>
      </x:c>
      <x:c r="B263" s="17" t="str">
        <x:v>韶关</x:v>
      </x:c>
      <x:c r="C263" s="24" t="n">
        <x:v>113.8155263</x:v>
      </x:c>
      <x:c r="D263" s="24" t="n">
        <x:v>24.8309489</x:v>
      </x:c>
      <x:c r="E263" s="17" t="str">
        <x:v>P12</x:v>
      </x:c>
      <x:c r="F263" s="17" t="str">
        <x:v>江门市恒创睿能环保科技有限公司</x:v>
      </x:c>
      <x:c r="G263" s="17" t="str">
        <x:v>再生利用</x:v>
      </x:c>
      <x:c r="H263" s="24" t="n">
        <x:v>113.0761073</x:v>
      </x:c>
      <x:c r="I263" s="24" t="n">
        <x:v>22.5816619</x:v>
      </x:c>
      <x:c r="J263" s="21" t="n">
        <x:f>6371*ACOS(MIN(1,COS(D263*PI()/180)*COS(I263*PI()/180)*COS((H263-C263)*PI()/180)+SIN(D263*PI()/180)*SIN(I263*PI()/180)))</x:f>
        <x:v>261.1912194278549</x:v>
      </x:c>
      <x:c r="K263" s="21" t="n">
        <x:f>'情景参数模板'!$D$31</x:f>
        <x:v>1.2</x:v>
      </x:c>
      <x:c r="L263" s="21" t="n">
        <x:f>J263*K263</x:f>
        <x:v>313.42946331342586</x:v>
      </x:c>
    </x:row>
    <x:row r="264">
      <x:c r="A264" s="17" t="str">
        <x:v>GD06</x:v>
      </x:c>
      <x:c r="B264" s="17" t="str">
        <x:v>韶关</x:v>
      </x:c>
      <x:c r="C264" s="24" t="n">
        <x:v>113.8155263</x:v>
      </x:c>
      <x:c r="D264" s="24" t="n">
        <x:v>24.8309489</x:v>
      </x:c>
      <x:c r="E264" s="17" t="str">
        <x:v>P13</x:v>
      </x:c>
      <x:c r="F264" s="17" t="str">
        <x:v>广东佳纳能源科技有限公司</x:v>
      </x:c>
      <x:c r="G264" s="17" t="str">
        <x:v>再生利用</x:v>
      </x:c>
      <x:c r="H264" s="24" t="n">
        <x:v>113.0505994</x:v>
      </x:c>
      <x:c r="I264" s="24" t="n">
        <x:v>23.6832984</x:v>
      </x:c>
      <x:c r="J264" s="21" t="n">
        <x:f>6371*ACOS(MIN(1,COS(D264*PI()/180)*COS(I264*PI()/180)*COS((H264-C264)*PI()/180)+SIN(D264*PI()/180)*SIN(I264*PI()/180)))</x:f>
        <x:v>149.32572957361296</x:v>
      </x:c>
      <x:c r="K264" s="21" t="n">
        <x:f>'情景参数模板'!$D$31</x:f>
        <x:v>1.2</x:v>
      </x:c>
      <x:c r="L264" s="21" t="n">
        <x:f>J264*K264</x:f>
        <x:v>179.19087548833554</x:v>
      </x:c>
    </x:row>
    <x:row r="265">
      <x:c r="A265" s="17" t="str">
        <x:v>GD06</x:v>
      </x:c>
      <x:c r="B265" s="17" t="str">
        <x:v>韶关</x:v>
      </x:c>
      <x:c r="C265" s="24" t="n">
        <x:v>113.8155263</x:v>
      </x:c>
      <x:c r="D265" s="24" t="n">
        <x:v>24.8309489</x:v>
      </x:c>
      <x:c r="E265" s="17" t="str">
        <x:v>P14</x:v>
      </x:c>
      <x:c r="F265" s="17" t="str">
        <x:v>格林美（深圳）循环科技有限公司</x:v>
      </x:c>
      <x:c r="G265" s="17" t="str">
        <x:v>梯次利用</x:v>
      </x:c>
      <x:c r="H265" s="24" t="n">
        <x:v>114.0545429</x:v>
      </x:c>
      <x:c r="I265" s="24" t="n">
        <x:v>22.5445741</x:v>
      </x:c>
      <x:c r="J265" s="21" t="n">
        <x:f>6371*ACOS(MIN(1,COS(D265*PI()/180)*COS(I265*PI()/180)*COS((H265-C265)*PI()/180)+SIN(D265*PI()/180)*SIN(I265*PI()/180)))</x:f>
        <x:v>255.39535166591816</x:v>
      </x:c>
      <x:c r="K265" s="21" t="n">
        <x:f>'情景参数模板'!$D$31</x:f>
        <x:v>1.2</x:v>
      </x:c>
      <x:c r="L265" s="21" t="n">
        <x:f>J265*K265</x:f>
        <x:v>306.47442199910176</x:v>
      </x:c>
    </x:row>
    <x:row r="266">
      <x:c r="A266" s="17" t="str">
        <x:v>GD06</x:v>
      </x:c>
      <x:c r="B266" s="17" t="str">
        <x:v>韶关</x:v>
      </x:c>
      <x:c r="C266" s="24" t="n">
        <x:v>113.8155263</x:v>
      </x:c>
      <x:c r="D266" s="24" t="n">
        <x:v>24.8309489</x:v>
      </x:c>
      <x:c r="E266" s="17" t="str">
        <x:v>P15</x:v>
      </x:c>
      <x:c r="F266" s="17" t="str">
        <x:v>绿循新能源科技（佛山）有限责任公司</x:v>
      </x:c>
      <x:c r="G266" s="17" t="str">
        <x:v>梯次利用</x:v>
      </x:c>
      <x:c r="H266" s="24" t="n">
        <x:v>113.1159558</x:v>
      </x:c>
      <x:c r="I266" s="24" t="n">
        <x:v>23.0239788</x:v>
      </x:c>
      <x:c r="J266" s="21" t="n">
        <x:f>6371*ACOS(MIN(1,COS(D266*PI()/180)*COS(I266*PI()/180)*COS((H266-C266)*PI()/180)+SIN(D266*PI()/180)*SIN(I266*PI()/180)))</x:f>
        <x:v>213.1343512095063</x:v>
      </x:c>
      <x:c r="K266" s="21" t="n">
        <x:f>'情景参数模板'!$D$31</x:f>
        <x:v>1.2</x:v>
      </x:c>
      <x:c r="L266" s="21" t="n">
        <x:f>J266*K266</x:f>
        <x:v>255.76122145140755</x:v>
      </x:c>
    </x:row>
    <x:row r="267">
      <x:c r="A267" s="17" t="str">
        <x:v>GD06</x:v>
      </x:c>
      <x:c r="B267" s="17" t="str">
        <x:v>韶关</x:v>
      </x:c>
      <x:c r="C267" s="24" t="n">
        <x:v>113.8155263</x:v>
      </x:c>
      <x:c r="D267" s="24" t="n">
        <x:v>24.8309489</x:v>
      </x:c>
      <x:c r="E267" s="17" t="str">
        <x:v>P16</x:v>
      </x:c>
      <x:c r="F267" s="17" t="str">
        <x:v>深圳艾云动智慧科技有限公司</x:v>
      </x:c>
      <x:c r="G267" s="17" t="str">
        <x:v>梯次利用</x:v>
      </x:c>
      <x:c r="H267" s="24" t="n">
        <x:v>114.0545429</x:v>
      </x:c>
      <x:c r="I267" s="24" t="n">
        <x:v>22.5445741</x:v>
      </x:c>
      <x:c r="J267" s="21" t="n">
        <x:f>6371*ACOS(MIN(1,COS(D267*PI()/180)*COS(I267*PI()/180)*COS((H267-C267)*PI()/180)+SIN(D267*PI()/180)*SIN(I267*PI()/180)))</x:f>
        <x:v>255.39535166591816</x:v>
      </x:c>
      <x:c r="K267" s="21" t="n">
        <x:f>'情景参数模板'!$D$31</x:f>
        <x:v>1.2</x:v>
      </x:c>
      <x:c r="L267" s="21" t="n">
        <x:f>J267*K267</x:f>
        <x:v>306.47442199910176</x:v>
      </x:c>
    </x:row>
    <x:row r="268">
      <x:c r="A268" s="17" t="str">
        <x:v>GD06</x:v>
      </x:c>
      <x:c r="B268" s="17" t="str">
        <x:v>韶关</x:v>
      </x:c>
      <x:c r="C268" s="24" t="n">
        <x:v>113.8155263</x:v>
      </x:c>
      <x:c r="D268" s="24" t="n">
        <x:v>24.8309489</x:v>
      </x:c>
      <x:c r="E268" s="17" t="str">
        <x:v>P17</x:v>
      </x:c>
      <x:c r="F268" s="17" t="str">
        <x:v>深圳市荣高晟新能源科技有限公司</x:v>
      </x:c>
      <x:c r="G268" s="17" t="str">
        <x:v>梯次利用</x:v>
      </x:c>
      <x:c r="H268" s="24" t="n">
        <x:v>114.0545429</x:v>
      </x:c>
      <x:c r="I268" s="24" t="n">
        <x:v>22.5445741</x:v>
      </x:c>
      <x:c r="J268" s="21" t="n">
        <x:f>6371*ACOS(MIN(1,COS(D268*PI()/180)*COS(I268*PI()/180)*COS((H268-C268)*PI()/180)+SIN(D268*PI()/180)*SIN(I268*PI()/180)))</x:f>
        <x:v>255.39535166591816</x:v>
      </x:c>
      <x:c r="K268" s="21" t="n">
        <x:f>'情景参数模板'!$D$31</x:f>
        <x:v>1.2</x:v>
      </x:c>
      <x:c r="L268" s="21" t="n">
        <x:f>J268*K268</x:f>
        <x:v>306.47442199910176</x:v>
      </x:c>
    </x:row>
    <x:row r="269">
      <x:c r="A269" s="17" t="str">
        <x:v>GD06</x:v>
      </x:c>
      <x:c r="B269" s="17" t="str">
        <x:v>韶关</x:v>
      </x:c>
      <x:c r="C269" s="24" t="n">
        <x:v>113.8155263</x:v>
      </x:c>
      <x:c r="D269" s="24" t="n">
        <x:v>24.8309489</x:v>
      </x:c>
      <x:c r="E269" s="17" t="str">
        <x:v>P18</x:v>
      </x:c>
      <x:c r="F269" s="17" t="str">
        <x:v>中商锂新能源科技（惠州）有限公司</x:v>
      </x:c>
      <x:c r="G269" s="17" t="str">
        <x:v>梯次利用</x:v>
      </x:c>
      <x:c r="H269" s="24" t="n">
        <x:v>114.4127007</x:v>
      </x:c>
      <x:c r="I269" s="24" t="n">
        <x:v>23.1125153</x:v>
      </x:c>
      <x:c r="J269" s="21" t="n">
        <x:f>6371*ACOS(MIN(1,COS(D269*PI()/180)*COS(I269*PI()/180)*COS((H269-C269)*PI()/180)+SIN(D269*PI()/180)*SIN(I269*PI()/180)))</x:f>
        <x:v>200.4819895915133</x:v>
      </x:c>
      <x:c r="K269" s="21" t="n">
        <x:f>'情景参数模板'!$D$31</x:f>
        <x:v>1.2</x:v>
      </x:c>
      <x:c r="L269" s="21" t="n">
        <x:f>J269*K269</x:f>
        <x:v>240.57838750981594</x:v>
      </x:c>
    </x:row>
    <x:row r="270">
      <x:c r="A270" s="17" t="str">
        <x:v>GD06</x:v>
      </x:c>
      <x:c r="B270" s="17" t="str">
        <x:v>韶关</x:v>
      </x:c>
      <x:c r="C270" s="24" t="n">
        <x:v>113.8155263</x:v>
      </x:c>
      <x:c r="D270" s="24" t="n">
        <x:v>24.8309489</x:v>
      </x:c>
      <x:c r="E270" s="17" t="str">
        <x:v>P19</x:v>
      </x:c>
      <x:c r="F270" s="17" t="str">
        <x:v>广东盛祥新材料科技有限公司</x:v>
      </x:c>
      <x:c r="G270" s="17" t="str">
        <x:v>再生利用</x:v>
      </x:c>
      <x:c r="H270" s="24" t="n">
        <x:v>113.8155263</x:v>
      </x:c>
      <x:c r="I270" s="24" t="n">
        <x:v>24.8309489</x:v>
      </x:c>
      <x:c r="J270" s="21" t="n">
        <x:f>6371*ACOS(MIN(1,COS(D270*PI()/180)*COS(I270*PI()/180)*COS((H270-C270)*PI()/180)+SIN(D270*PI()/180)*SIN(I270*PI()/180)))</x:f>
        <x:v>0</x:v>
      </x:c>
      <x:c r="K270" s="21" t="n">
        <x:f>'情景参数模板'!$D$31</x:f>
        <x:v>1.2</x:v>
      </x:c>
      <x:c r="L270" s="21" t="n">
        <x:f>J270*K270</x:f>
        <x:v>0</x:v>
      </x:c>
    </x:row>
    <x:row r="271">
      <x:c r="A271" s="17" t="str">
        <x:v>GD06</x:v>
      </x:c>
      <x:c r="B271" s="17" t="str">
        <x:v>韶关</x:v>
      </x:c>
      <x:c r="C271" s="24" t="n">
        <x:v>113.8155263</x:v>
      </x:c>
      <x:c r="D271" s="24" t="n">
        <x:v>24.8309489</x:v>
      </x:c>
      <x:c r="E271" s="17" t="str">
        <x:v>P20E</x:v>
      </x:c>
      <x:c r="F271" s="17" t="str">
        <x:v>广东金晟新能源股份有限公司（梯次功能）</x:v>
      </x:c>
      <x:c r="G271" s="17" t="str">
        <x:v>梯次利用</x:v>
      </x:c>
      <x:c r="H271" s="24" t="n">
        <x:v>112.4603629</x:v>
      </x:c>
      <x:c r="I271" s="24" t="n">
        <x:v>23.0501661</x:v>
      </x:c>
      <x:c r="J271" s="21" t="n">
        <x:f>6371*ACOS(MIN(1,COS(D271*PI()/180)*COS(I271*PI()/180)*COS((H271-C271)*PI()/180)+SIN(D271*PI()/180)*SIN(I271*PI()/180)))</x:f>
        <x:v>241.1942270561686</x:v>
      </x:c>
      <x:c r="K271" s="21" t="n">
        <x:f>'情景参数模板'!$D$31</x:f>
        <x:v>1.2</x:v>
      </x:c>
      <x:c r="L271" s="21" t="n">
        <x:f>J271*K271</x:f>
        <x:v>289.43307246740227</x:v>
      </x:c>
    </x:row>
    <x:row r="272">
      <x:c r="A272" s="17" t="str">
        <x:v>GD06</x:v>
      </x:c>
      <x:c r="B272" s="17" t="str">
        <x:v>韶关</x:v>
      </x:c>
      <x:c r="C272" s="24" t="n">
        <x:v>113.8155263</x:v>
      </x:c>
      <x:c r="D272" s="24" t="n">
        <x:v>24.8309489</x:v>
      </x:c>
      <x:c r="E272" s="17" t="str">
        <x:v>P20R</x:v>
      </x:c>
      <x:c r="F272" s="17" t="str">
        <x:v>广东金晟新能源股份有限公司（再生功能）</x:v>
      </x:c>
      <x:c r="G272" s="17" t="str">
        <x:v>再生利用</x:v>
      </x:c>
      <x:c r="H272" s="24" t="n">
        <x:v>112.4603629</x:v>
      </x:c>
      <x:c r="I272" s="24" t="n">
        <x:v>23.0501661</x:v>
      </x:c>
      <x:c r="J272" s="21" t="n">
        <x:f>6371*ACOS(MIN(1,COS(D272*PI()/180)*COS(I272*PI()/180)*COS((H272-C272)*PI()/180)+SIN(D272*PI()/180)*SIN(I272*PI()/180)))</x:f>
        <x:v>241.1942270561686</x:v>
      </x:c>
      <x:c r="K272" s="21" t="n">
        <x:f>'情景参数模板'!$D$31</x:f>
        <x:v>1.2</x:v>
      </x:c>
      <x:c r="L272" s="21" t="n">
        <x:f>J272*K272</x:f>
        <x:v>289.43307246740227</x:v>
      </x:c>
    </x:row>
    <x:row r="273">
      <x:c r="A273" s="17" t="str">
        <x:v>GD06</x:v>
      </x:c>
      <x:c r="B273" s="17" t="str">
        <x:v>韶关</x:v>
      </x:c>
      <x:c r="C273" s="24" t="n">
        <x:v>113.8155263</x:v>
      </x:c>
      <x:c r="D273" s="24" t="n">
        <x:v>24.8309489</x:v>
      </x:c>
      <x:c r="E273" s="17" t="str">
        <x:v>P21E</x:v>
      </x:c>
      <x:c r="F273" s="17" t="str">
        <x:v>广东瑞科美电源技术有限公司（梯次功能）</x:v>
      </x:c>
      <x:c r="G273" s="17" t="str">
        <x:v>梯次利用</x:v>
      </x:c>
      <x:c r="H273" s="24" t="n">
        <x:v>113.1159558</x:v>
      </x:c>
      <x:c r="I273" s="24" t="n">
        <x:v>23.0239788</x:v>
      </x:c>
      <x:c r="J273" s="21" t="n">
        <x:f>6371*ACOS(MIN(1,COS(D273*PI()/180)*COS(I273*PI()/180)*COS((H273-C273)*PI()/180)+SIN(D273*PI()/180)*SIN(I273*PI()/180)))</x:f>
        <x:v>213.1343512095063</x:v>
      </x:c>
      <x:c r="K273" s="21" t="n">
        <x:f>'情景参数模板'!$D$31</x:f>
        <x:v>1.2</x:v>
      </x:c>
      <x:c r="L273" s="21" t="n">
        <x:f>J273*K273</x:f>
        <x:v>255.76122145140755</x:v>
      </x:c>
    </x:row>
    <x:row r="274">
      <x:c r="A274" s="17" t="str">
        <x:v>GD06</x:v>
      </x:c>
      <x:c r="B274" s="17" t="str">
        <x:v>韶关</x:v>
      </x:c>
      <x:c r="C274" s="24" t="n">
        <x:v>113.8155263</x:v>
      </x:c>
      <x:c r="D274" s="24" t="n">
        <x:v>24.8309489</x:v>
      </x:c>
      <x:c r="E274" s="17" t="str">
        <x:v>P21R</x:v>
      </x:c>
      <x:c r="F274" s="17" t="str">
        <x:v>广东瑞科美电源技术有限公司（再生功能）</x:v>
      </x:c>
      <x:c r="G274" s="17" t="str">
        <x:v>再生利用</x:v>
      </x:c>
      <x:c r="H274" s="24" t="n">
        <x:v>113.1159558</x:v>
      </x:c>
      <x:c r="I274" s="24" t="n">
        <x:v>23.0239788</x:v>
      </x:c>
      <x:c r="J274" s="21" t="n">
        <x:f>6371*ACOS(MIN(1,COS(D274*PI()/180)*COS(I274*PI()/180)*COS((H274-C274)*PI()/180)+SIN(D274*PI()/180)*SIN(I274*PI()/180)))</x:f>
        <x:v>213.1343512095063</x:v>
      </x:c>
      <x:c r="K274" s="21" t="n">
        <x:f>'情景参数模板'!$D$31</x:f>
        <x:v>1.2</x:v>
      </x:c>
      <x:c r="L274" s="21" t="n">
        <x:f>J274*K274</x:f>
        <x:v>255.76122145140755</x:v>
      </x:c>
    </x:row>
    <x:row r="275">
      <x:c r="A275" s="17" t="str">
        <x:v>GD07</x:v>
      </x:c>
      <x:c r="B275" s="17" t="str">
        <x:v>河源</x:v>
      </x:c>
      <x:c r="C275" s="24" t="n">
        <x:v>115.0577538</x:v>
      </x:c>
      <x:c r="D275" s="24" t="n">
        <x:v>24.1014769</x:v>
      </x:c>
      <x:c r="E275" s="17" t="str">
        <x:v>C01</x:v>
      </x:c>
      <x:c r="F275" s="17" t="str">
        <x:v>广州虚拟回收/检测中心</x:v>
      </x:c>
      <x:c r="G275" s="17" t="str">
        <x:v>回收中心候选</x:v>
      </x:c>
      <x:c r="H275" s="24" t="n">
        <x:v>113.2589581</x:v>
      </x:c>
      <x:c r="I275" s="24" t="n">
        <x:v>23.1288429</x:v>
      </x:c>
      <x:c r="J275" s="21" t="n">
        <x:f>6371*ACOS(MIN(1,COS(D275*PI()/180)*COS(I275*PI()/180)*COS((H275-C275)*PI()/180)+SIN(D275*PI()/180)*SIN(I275*PI()/180)))</x:f>
        <x:v>212.7954154557559</x:v>
      </x:c>
      <x:c r="K275" s="21" t="n">
        <x:f>'情景参数模板'!$D$31</x:f>
        <x:v>1.2</x:v>
      </x:c>
      <x:c r="L275" s="21" t="n">
        <x:f>J275*K275</x:f>
        <x:v>255.35449854690705</x:v>
      </x:c>
    </x:row>
    <x:row r="276">
      <x:c r="A276" s="17" t="str">
        <x:v>GD07</x:v>
      </x:c>
      <x:c r="B276" s="17" t="str">
        <x:v>河源</x:v>
      </x:c>
      <x:c r="C276" s="24" t="n">
        <x:v>115.0577538</x:v>
      </x:c>
      <x:c r="D276" s="24" t="n">
        <x:v>24.1014769</x:v>
      </x:c>
      <x:c r="E276" s="17" t="str">
        <x:v>C02</x:v>
      </x:c>
      <x:c r="F276" s="17" t="str">
        <x:v>深圳虚拟回收/检测中心</x:v>
      </x:c>
      <x:c r="G276" s="17" t="str">
        <x:v>回收中心候选</x:v>
      </x:c>
      <x:c r="H276" s="24" t="n">
        <x:v>114.0545429</x:v>
      </x:c>
      <x:c r="I276" s="24" t="n">
        <x:v>22.5445741</x:v>
      </x:c>
      <x:c r="J276" s="21" t="n">
        <x:f>6371*ACOS(MIN(1,COS(D276*PI()/180)*COS(I276*PI()/180)*COS((H276-C276)*PI()/180)+SIN(D276*PI()/180)*SIN(I276*PI()/180)))</x:f>
        <x:v>201.1533473364422</x:v>
      </x:c>
      <x:c r="K276" s="21" t="n">
        <x:f>'情景参数模板'!$D$31</x:f>
        <x:v>1.2</x:v>
      </x:c>
      <x:c r="L276" s="21" t="n">
        <x:f>J276*K276</x:f>
        <x:v>241.38401680373065</x:v>
      </x:c>
    </x:row>
    <x:row r="277">
      <x:c r="A277" s="17" t="str">
        <x:v>GD07</x:v>
      </x:c>
      <x:c r="B277" s="17" t="str">
        <x:v>河源</x:v>
      </x:c>
      <x:c r="C277" s="24" t="n">
        <x:v>115.0577538</x:v>
      </x:c>
      <x:c r="D277" s="24" t="n">
        <x:v>24.1014769</x:v>
      </x:c>
      <x:c r="E277" s="17" t="str">
        <x:v>C03</x:v>
      </x:c>
      <x:c r="F277" s="17" t="str">
        <x:v>珠海虚拟回收/检测中心</x:v>
      </x:c>
      <x:c r="G277" s="17" t="str">
        <x:v>回收中心候选</x:v>
      </x:c>
      <x:c r="H277" s="24" t="n">
        <x:v>113.5721327</x:v>
      </x:c>
      <x:c r="I277" s="24" t="n">
        <x:v>22.273734</x:v>
      </x:c>
      <x:c r="J277" s="21" t="n">
        <x:f>6371*ACOS(MIN(1,COS(D277*PI()/180)*COS(I277*PI()/180)*COS((H277-C277)*PI()/180)+SIN(D277*PI()/180)*SIN(I277*PI()/180)))</x:f>
        <x:v>253.69221156809851</x:v>
      </x:c>
      <x:c r="K277" s="21" t="n">
        <x:f>'情景参数模板'!$D$31</x:f>
        <x:v>1.2</x:v>
      </x:c>
      <x:c r="L277" s="21" t="n">
        <x:f>J277*K277</x:f>
        <x:v>304.43065388171823</x:v>
      </x:c>
    </x:row>
    <x:row r="278">
      <x:c r="A278" s="17" t="str">
        <x:v>GD07</x:v>
      </x:c>
      <x:c r="B278" s="17" t="str">
        <x:v>河源</x:v>
      </x:c>
      <x:c r="C278" s="24" t="n">
        <x:v>115.0577538</x:v>
      </x:c>
      <x:c r="D278" s="24" t="n">
        <x:v>24.1014769</x:v>
      </x:c>
      <x:c r="E278" s="17" t="str">
        <x:v>C04</x:v>
      </x:c>
      <x:c r="F278" s="17" t="str">
        <x:v>汕头虚拟回收/检测中心</x:v>
      </x:c>
      <x:c r="G278" s="17" t="str">
        <x:v>回收中心候选</x:v>
      </x:c>
      <x:c r="H278" s="24" t="n">
        <x:v>116.6775856</x:v>
      </x:c>
      <x:c r="I278" s="24" t="n">
        <x:v>23.3563921</x:v>
      </x:c>
      <x:c r="J278" s="21" t="n">
        <x:f>6371*ACOS(MIN(1,COS(D278*PI()/180)*COS(I278*PI()/180)*COS((H278-C278)*PI()/180)+SIN(D278*PI()/180)*SIN(I278*PI()/180)))</x:f>
        <x:v>184.53141025973926</x:v>
      </x:c>
      <x:c r="K278" s="21" t="n">
        <x:f>'情景参数模板'!$D$31</x:f>
        <x:v>1.2</x:v>
      </x:c>
      <x:c r="L278" s="21" t="n">
        <x:f>J278*K278</x:f>
        <x:v>221.4376923116871</x:v>
      </x:c>
    </x:row>
    <x:row r="279">
      <x:c r="A279" s="17" t="str">
        <x:v>GD07</x:v>
      </x:c>
      <x:c r="B279" s="17" t="str">
        <x:v>河源</x:v>
      </x:c>
      <x:c r="C279" s="24" t="n">
        <x:v>115.0577538</x:v>
      </x:c>
      <x:c r="D279" s="24" t="n">
        <x:v>24.1014769</x:v>
      </x:c>
      <x:c r="E279" s="17" t="str">
        <x:v>C05</x:v>
      </x:c>
      <x:c r="F279" s="17" t="str">
        <x:v>佛山虚拟回收/检测中心</x:v>
      </x:c>
      <x:c r="G279" s="17" t="str">
        <x:v>回收中心候选</x:v>
      </x:c>
      <x:c r="H279" s="24" t="n">
        <x:v>113.1159558</x:v>
      </x:c>
      <x:c r="I279" s="24" t="n">
        <x:v>23.0239788</x:v>
      </x:c>
      <x:c r="J279" s="21" t="n">
        <x:f>6371*ACOS(MIN(1,COS(D279*PI()/180)*COS(I279*PI()/180)*COS((H279-C279)*PI()/180)+SIN(D279*PI()/180)*SIN(I279*PI()/180)))</x:f>
        <x:v>231.3506353661428</x:v>
      </x:c>
      <x:c r="K279" s="21" t="n">
        <x:f>'情景参数模板'!$D$31</x:f>
        <x:v>1.2</x:v>
      </x:c>
      <x:c r="L279" s="21" t="n">
        <x:f>J279*K279</x:f>
        <x:v>277.62076243937133</x:v>
      </x:c>
    </x:row>
    <x:row r="280">
      <x:c r="A280" s="17" t="str">
        <x:v>GD07</x:v>
      </x:c>
      <x:c r="B280" s="17" t="str">
        <x:v>河源</x:v>
      </x:c>
      <x:c r="C280" s="24" t="n">
        <x:v>115.0577538</x:v>
      </x:c>
      <x:c r="D280" s="24" t="n">
        <x:v>24.1014769</x:v>
      </x:c>
      <x:c r="E280" s="17" t="str">
        <x:v>C06</x:v>
      </x:c>
      <x:c r="F280" s="17" t="str">
        <x:v>韶关虚拟回收/检测中心</x:v>
      </x:c>
      <x:c r="G280" s="17" t="str">
        <x:v>回收中心候选</x:v>
      </x:c>
      <x:c r="H280" s="24" t="n">
        <x:v>113.8155263</x:v>
      </x:c>
      <x:c r="I280" s="24" t="n">
        <x:v>24.8309489</x:v>
      </x:c>
      <x:c r="J280" s="21" t="n">
        <x:f>6371*ACOS(MIN(1,COS(D280*PI()/180)*COS(I280*PI()/180)*COS((H280-C280)*PI()/180)+SIN(D280*PI()/180)*SIN(I280*PI()/180)))</x:f>
        <x:v>149.6196110292933</x:v>
      </x:c>
      <x:c r="K280" s="21" t="n">
        <x:f>'情景参数模板'!$D$31</x:f>
        <x:v>1.2</x:v>
      </x:c>
      <x:c r="L280" s="21" t="n">
        <x:f>J280*K280</x:f>
        <x:v>179.54353323515195</x:v>
      </x:c>
    </x:row>
    <x:row r="281">
      <x:c r="A281" s="17" t="str">
        <x:v>GD07</x:v>
      </x:c>
      <x:c r="B281" s="17" t="str">
        <x:v>河源</x:v>
      </x:c>
      <x:c r="C281" s="24" t="n">
        <x:v>115.0577538</x:v>
      </x:c>
      <x:c r="D281" s="24" t="n">
        <x:v>24.1014769</x:v>
      </x:c>
      <x:c r="E281" s="17" t="str">
        <x:v>C07</x:v>
      </x:c>
      <x:c r="F281" s="17" t="str">
        <x:v>河源虚拟回收/检测中心</x:v>
      </x:c>
      <x:c r="G281" s="17" t="str">
        <x:v>回收中心候选</x:v>
      </x:c>
      <x:c r="H281" s="24" t="n">
        <x:v>115.0577538</x:v>
      </x:c>
      <x:c r="I281" s="24" t="n">
        <x:v>24.1014769</x:v>
      </x:c>
      <x:c r="J281" s="21" t="n">
        <x:f>6371*ACOS(MIN(1,COS(D281*PI()/180)*COS(I281*PI()/180)*COS((H281-C281)*PI()/180)+SIN(D281*PI()/180)*SIN(I281*PI()/180)))</x:f>
        <x:v>0.00009493529796600342</x:v>
      </x:c>
      <x:c r="K281" s="21" t="n">
        <x:f>'情景参数模板'!$D$31</x:f>
        <x:v>1.2</x:v>
      </x:c>
      <x:c r="L281" s="21" t="n">
        <x:f>J281*K281</x:f>
        <x:v>0.0001139223575592041</x:v>
      </x:c>
    </x:row>
    <x:row r="282">
      <x:c r="A282" s="17" t="str">
        <x:v>GD07</x:v>
      </x:c>
      <x:c r="B282" s="17" t="str">
        <x:v>河源</x:v>
      </x:c>
      <x:c r="C282" s="24" t="n">
        <x:v>115.0577538</x:v>
      </x:c>
      <x:c r="D282" s="24" t="n">
        <x:v>24.1014769</x:v>
      </x:c>
      <x:c r="E282" s="17" t="str">
        <x:v>C08</x:v>
      </x:c>
      <x:c r="F282" s="17" t="str">
        <x:v>梅州虚拟回收/检测中心</x:v>
      </x:c>
      <x:c r="G282" s="17" t="str">
        <x:v>回收中心候选</x:v>
      </x:c>
      <x:c r="H282" s="24" t="n">
        <x:v>116.1171428</x:v>
      </x:c>
      <x:c r="I282" s="24" t="n">
        <x:v>24.2918414</x:v>
      </x:c>
      <x:c r="J282" s="21" t="n">
        <x:f>6371*ACOS(MIN(1,COS(D282*PI()/180)*COS(I282*PI()/180)*COS((H282-C282)*PI()/180)+SIN(D282*PI()/180)*SIN(I282*PI()/180)))</x:f>
        <x:v>109.51419631408221</x:v>
      </x:c>
      <x:c r="K282" s="21" t="n">
        <x:f>'情景参数模板'!$D$31</x:f>
        <x:v>1.2</x:v>
      </x:c>
      <x:c r="L282" s="21" t="n">
        <x:f>J282*K282</x:f>
        <x:v>131.41703557689866</x:v>
      </x:c>
    </x:row>
    <x:row r="283">
      <x:c r="A283" s="17" t="str">
        <x:v>GD07</x:v>
      </x:c>
      <x:c r="B283" s="17" t="str">
        <x:v>河源</x:v>
      </x:c>
      <x:c r="C283" s="24" t="n">
        <x:v>115.0577538</x:v>
      </x:c>
      <x:c r="D283" s="24" t="n">
        <x:v>24.1014769</x:v>
      </x:c>
      <x:c r="E283" s="17" t="str">
        <x:v>C09</x:v>
      </x:c>
      <x:c r="F283" s="17" t="str">
        <x:v>惠州虚拟回收/检测中心</x:v>
      </x:c>
      <x:c r="G283" s="17" t="str">
        <x:v>回收中心候选</x:v>
      </x:c>
      <x:c r="H283" s="24" t="n">
        <x:v>114.4127007</x:v>
      </x:c>
      <x:c r="I283" s="24" t="n">
        <x:v>23.1125153</x:v>
      </x:c>
      <x:c r="J283" s="21" t="n">
        <x:f>6371*ACOS(MIN(1,COS(D283*PI()/180)*COS(I283*PI()/180)*COS((H283-C283)*PI()/180)+SIN(D283*PI()/180)*SIN(I283*PI()/180)))</x:f>
        <x:v>128.11063912816488</x:v>
      </x:c>
      <x:c r="K283" s="21" t="n">
        <x:f>'情景参数模板'!$D$31</x:f>
        <x:v>1.2</x:v>
      </x:c>
      <x:c r="L283" s="21" t="n">
        <x:f>J283*K283</x:f>
        <x:v>153.73276695379784</x:v>
      </x:c>
    </x:row>
    <x:row r="284">
      <x:c r="A284" s="17" t="str">
        <x:v>GD07</x:v>
      </x:c>
      <x:c r="B284" s="17" t="str">
        <x:v>河源</x:v>
      </x:c>
      <x:c r="C284" s="24" t="n">
        <x:v>115.0577538</x:v>
      </x:c>
      <x:c r="D284" s="24" t="n">
        <x:v>24.1014769</x:v>
      </x:c>
      <x:c r="E284" s="17" t="str">
        <x:v>C10</x:v>
      </x:c>
      <x:c r="F284" s="17" t="str">
        <x:v>汕尾虚拟回收/检测中心</x:v>
      </x:c>
      <x:c r="G284" s="17" t="str">
        <x:v>回收中心候选</x:v>
      </x:c>
      <x:c r="H284" s="24" t="n">
        <x:v>115.5099937</x:v>
      </x:c>
      <x:c r="I284" s="24" t="n">
        <x:v>23.0123639</x:v>
      </x:c>
      <x:c r="J284" s="21" t="n">
        <x:f>6371*ACOS(MIN(1,COS(D284*PI()/180)*COS(I284*PI()/180)*COS((H284-C284)*PI()/180)+SIN(D284*PI()/180)*SIN(I284*PI()/180)))</x:f>
        <x:v>129.57964487920876</x:v>
      </x:c>
      <x:c r="K284" s="21" t="n">
        <x:f>'情景参数模板'!$D$31</x:f>
        <x:v>1.2</x:v>
      </x:c>
      <x:c r="L284" s="21" t="n">
        <x:f>J284*K284</x:f>
        <x:v>155.4955738550505</x:v>
      </x:c>
    </x:row>
    <x:row r="285">
      <x:c r="A285" s="17" t="str">
        <x:v>GD07</x:v>
      </x:c>
      <x:c r="B285" s="17" t="str">
        <x:v>河源</x:v>
      </x:c>
      <x:c r="C285" s="24" t="n">
        <x:v>115.0577538</x:v>
      </x:c>
      <x:c r="D285" s="24" t="n">
        <x:v>24.1014769</x:v>
      </x:c>
      <x:c r="E285" s="17" t="str">
        <x:v>C11</x:v>
      </x:c>
      <x:c r="F285" s="17" t="str">
        <x:v>东莞虚拟回收/检测中心</x:v>
      </x:c>
      <x:c r="G285" s="17" t="str">
        <x:v>回收中心候选</x:v>
      </x:c>
      <x:c r="H285" s="24" t="n">
        <x:v>113.7452332</x:v>
      </x:c>
      <x:c r="I285" s="24" t="n">
        <x:v>23.0183568</x:v>
      </x:c>
      <x:c r="J285" s="21" t="n">
        <x:f>6371*ACOS(MIN(1,COS(D285*PI()/180)*COS(I285*PI()/180)*COS((H285-C285)*PI()/180)+SIN(D285*PI()/180)*SIN(I285*PI()/180)))</x:f>
        <x:v>180.00361940870866</x:v>
      </x:c>
      <x:c r="K285" s="21" t="n">
        <x:f>'情景参数模板'!$D$31</x:f>
        <x:v>1.2</x:v>
      </x:c>
      <x:c r="L285" s="21" t="n">
        <x:f>J285*K285</x:f>
        <x:v>216.00434329045038</x:v>
      </x:c>
    </x:row>
    <x:row r="286">
      <x:c r="A286" s="17" t="str">
        <x:v>GD07</x:v>
      </x:c>
      <x:c r="B286" s="17" t="str">
        <x:v>河源</x:v>
      </x:c>
      <x:c r="C286" s="24" t="n">
        <x:v>115.0577538</x:v>
      </x:c>
      <x:c r="D286" s="24" t="n">
        <x:v>24.1014769</x:v>
      </x:c>
      <x:c r="E286" s="17" t="str">
        <x:v>C12</x:v>
      </x:c>
      <x:c r="F286" s="17" t="str">
        <x:v>中山虚拟回收/检测中心</x:v>
      </x:c>
      <x:c r="G286" s="17" t="str">
        <x:v>回收中心候选</x:v>
      </x:c>
      <x:c r="H286" s="24" t="n">
        <x:v>113.3872302</x:v>
      </x:c>
      <x:c r="I286" s="24" t="n">
        <x:v>22.5197073</x:v>
      </x:c>
      <x:c r="J286" s="21" t="n">
        <x:f>6371*ACOS(MIN(1,COS(D286*PI()/180)*COS(I286*PI()/180)*COS((H286-C286)*PI()/180)+SIN(D286*PI()/180)*SIN(I286*PI()/180)))</x:f>
        <x:v>245.0176086055503</x:v>
      </x:c>
      <x:c r="K286" s="21" t="n">
        <x:f>'情景参数模板'!$D$31</x:f>
        <x:v>1.2</x:v>
      </x:c>
      <x:c r="L286" s="21" t="n">
        <x:f>J286*K286</x:f>
        <x:v>294.02113032666034</x:v>
      </x:c>
    </x:row>
    <x:row r="287">
      <x:c r="A287" s="17" t="str">
        <x:v>GD07</x:v>
      </x:c>
      <x:c r="B287" s="17" t="str">
        <x:v>河源</x:v>
      </x:c>
      <x:c r="C287" s="24" t="n">
        <x:v>115.0577538</x:v>
      </x:c>
      <x:c r="D287" s="24" t="n">
        <x:v>24.1014769</x:v>
      </x:c>
      <x:c r="E287" s="17" t="str">
        <x:v>C13</x:v>
      </x:c>
      <x:c r="F287" s="17" t="str">
        <x:v>江门虚拟回收/检测中心</x:v>
      </x:c>
      <x:c r="G287" s="17" t="str">
        <x:v>回收中心候选</x:v>
      </x:c>
      <x:c r="H287" s="24" t="n">
        <x:v>113.0761073</x:v>
      </x:c>
      <x:c r="I287" s="24" t="n">
        <x:v>22.5816619</x:v>
      </x:c>
      <x:c r="J287" s="21" t="n">
        <x:f>6371*ACOS(MIN(1,COS(D287*PI()/180)*COS(I287*PI()/180)*COS((H287-C287)*PI()/180)+SIN(D287*PI()/180)*SIN(I287*PI()/180)))</x:f>
        <x:v>263.603352392746</x:v>
      </x:c>
      <x:c r="K287" s="21" t="n">
        <x:f>'情景参数模板'!$D$31</x:f>
        <x:v>1.2</x:v>
      </x:c>
      <x:c r="L287" s="21" t="n">
        <x:f>J287*K287</x:f>
        <x:v>316.3240228712952</x:v>
      </x:c>
    </x:row>
    <x:row r="288">
      <x:c r="A288" s="17" t="str">
        <x:v>GD07</x:v>
      </x:c>
      <x:c r="B288" s="17" t="str">
        <x:v>河源</x:v>
      </x:c>
      <x:c r="C288" s="24" t="n">
        <x:v>115.0577538</x:v>
      </x:c>
      <x:c r="D288" s="24" t="n">
        <x:v>24.1014769</x:v>
      </x:c>
      <x:c r="E288" s="17" t="str">
        <x:v>C14</x:v>
      </x:c>
      <x:c r="F288" s="17" t="str">
        <x:v>阳江虚拟回收/检测中心</x:v>
      </x:c>
      <x:c r="G288" s="17" t="str">
        <x:v>回收中心候选</x:v>
      </x:c>
      <x:c r="H288" s="24" t="n">
        <x:v>111.7831393</x:v>
      </x:c>
      <x:c r="I288" s="24" t="n">
        <x:v>22.0958223</x:v>
      </x:c>
      <x:c r="J288" s="21" t="n">
        <x:f>6371*ACOS(MIN(1,COS(D288*PI()/180)*COS(I288*PI()/180)*COS((H288-C288)*PI()/180)+SIN(D288*PI()/180)*SIN(I288*PI()/180)))</x:f>
        <x:v>402.3586647546197</x:v>
      </x:c>
      <x:c r="K288" s="21" t="n">
        <x:f>'情景参数模板'!$D$31</x:f>
        <x:v>1.2</x:v>
      </x:c>
      <x:c r="L288" s="21" t="n">
        <x:f>J288*K288</x:f>
        <x:v>482.83039770554365</x:v>
      </x:c>
    </x:row>
    <x:row r="289">
      <x:c r="A289" s="17" t="str">
        <x:v>GD07</x:v>
      </x:c>
      <x:c r="B289" s="17" t="str">
        <x:v>河源</x:v>
      </x:c>
      <x:c r="C289" s="24" t="n">
        <x:v>115.0577538</x:v>
      </x:c>
      <x:c r="D289" s="24" t="n">
        <x:v>24.1014769</x:v>
      </x:c>
      <x:c r="E289" s="17" t="str">
        <x:v>C15</x:v>
      </x:c>
      <x:c r="F289" s="17" t="str">
        <x:v>湛江虚拟回收/检测中心</x:v>
      </x:c>
      <x:c r="G289" s="17" t="str">
        <x:v>回收中心候选</x:v>
      </x:c>
      <x:c r="H289" s="24" t="n">
        <x:v>110.3548318</x:v>
      </x:c>
      <x:c r="I289" s="24" t="n">
        <x:v>21.2737079</x:v>
      </x:c>
      <x:c r="J289" s="21" t="n">
        <x:f>6371*ACOS(MIN(1,COS(D289*PI()/180)*COS(I289*PI()/180)*COS((H289-C289)*PI()/180)+SIN(D289*PI()/180)*SIN(I289*PI()/180)))</x:f>
        <x:v>575.8131454619048</x:v>
      </x:c>
      <x:c r="K289" s="21" t="n">
        <x:f>'情景参数模板'!$D$31</x:f>
        <x:v>1.2</x:v>
      </x:c>
      <x:c r="L289" s="21" t="n">
        <x:f>J289*K289</x:f>
        <x:v>690.9757745542857</x:v>
      </x:c>
    </x:row>
    <x:row r="290">
      <x:c r="A290" s="17" t="str">
        <x:v>GD07</x:v>
      </x:c>
      <x:c r="B290" s="17" t="str">
        <x:v>河源</x:v>
      </x:c>
      <x:c r="C290" s="24" t="n">
        <x:v>115.0577538</x:v>
      </x:c>
      <x:c r="D290" s="24" t="n">
        <x:v>24.1014769</x:v>
      </x:c>
      <x:c r="E290" s="17" t="str">
        <x:v>C16</x:v>
      </x:c>
      <x:c r="F290" s="17" t="str">
        <x:v>茂名虚拟回收/检测中心</x:v>
      </x:c>
      <x:c r="G290" s="17" t="str">
        <x:v>回收中心候选</x:v>
      </x:c>
      <x:c r="H290" s="24" t="n">
        <x:v>110.9209511</x:v>
      </x:c>
      <x:c r="I290" s="24" t="n">
        <x:v>21.6656961</x:v>
      </x:c>
      <x:c r="J290" s="21" t="n">
        <x:f>6371*ACOS(MIN(1,COS(D290*PI()/180)*COS(I290*PI()/180)*COS((H290-C290)*PI()/180)+SIN(D290*PI()/180)*SIN(I290*PI()/180)))</x:f>
        <x:v>502.8929784594784</x:v>
      </x:c>
      <x:c r="K290" s="21" t="n">
        <x:f>'情景参数模板'!$D$31</x:f>
        <x:v>1.2</x:v>
      </x:c>
      <x:c r="L290" s="21" t="n">
        <x:f>J290*K290</x:f>
        <x:v>603.471574151374</x:v>
      </x:c>
    </x:row>
    <x:row r="291">
      <x:c r="A291" s="17" t="str">
        <x:v>GD07</x:v>
      </x:c>
      <x:c r="B291" s="17" t="str">
        <x:v>河源</x:v>
      </x:c>
      <x:c r="C291" s="24" t="n">
        <x:v>115.0577538</x:v>
      </x:c>
      <x:c r="D291" s="24" t="n">
        <x:v>24.1014769</x:v>
      </x:c>
      <x:c r="E291" s="17" t="str">
        <x:v>C17</x:v>
      </x:c>
      <x:c r="F291" s="17" t="str">
        <x:v>肇庆虚拟回收/检测中心</x:v>
      </x:c>
      <x:c r="G291" s="17" t="str">
        <x:v>回收中心候选</x:v>
      </x:c>
      <x:c r="H291" s="24" t="n">
        <x:v>112.4603629</x:v>
      </x:c>
      <x:c r="I291" s="24" t="n">
        <x:v>23.0501661</x:v>
      </x:c>
      <x:c r="J291" s="21" t="n">
        <x:f>6371*ACOS(MIN(1,COS(D291*PI()/180)*COS(I291*PI()/180)*COS((H291-C291)*PI()/180)+SIN(D291*PI()/180)*SIN(I291*PI()/180)))</x:f>
        <x:v>289.36462181183225</x:v>
      </x:c>
      <x:c r="K291" s="21" t="n">
        <x:f>'情景参数模板'!$D$31</x:f>
        <x:v>1.2</x:v>
      </x:c>
      <x:c r="L291" s="21" t="n">
        <x:f>J291*K291</x:f>
        <x:v>347.2375461741987</x:v>
      </x:c>
    </x:row>
    <x:row r="292">
      <x:c r="A292" s="17" t="str">
        <x:v>GD07</x:v>
      </x:c>
      <x:c r="B292" s="17" t="str">
        <x:v>河源</x:v>
      </x:c>
      <x:c r="C292" s="24" t="n">
        <x:v>115.0577538</x:v>
      </x:c>
      <x:c r="D292" s="24" t="n">
        <x:v>24.1014769</x:v>
      </x:c>
      <x:c r="E292" s="17" t="str">
        <x:v>C18</x:v>
      </x:c>
      <x:c r="F292" s="17" t="str">
        <x:v>清远虚拟回收/检测中心</x:v>
      </x:c>
      <x:c r="G292" s="17" t="str">
        <x:v>回收中心候选</x:v>
      </x:c>
      <x:c r="H292" s="24" t="n">
        <x:v>113.0505994</x:v>
      </x:c>
      <x:c r="I292" s="24" t="n">
        <x:v>23.6832984</x:v>
      </x:c>
      <x:c r="J292" s="21" t="n">
        <x:f>6371*ACOS(MIN(1,COS(D292*PI()/180)*COS(I292*PI()/180)*COS((H292-C292)*PI()/180)+SIN(D292*PI()/180)*SIN(I292*PI()/180)))</x:f>
        <x:v>209.288636539523</x:v>
      </x:c>
      <x:c r="K292" s="21" t="n">
        <x:f>'情景参数模板'!$D$31</x:f>
        <x:v>1.2</x:v>
      </x:c>
      <x:c r="L292" s="21" t="n">
        <x:f>J292*K292</x:f>
        <x:v>251.14636384742758</x:v>
      </x:c>
    </x:row>
    <x:row r="293">
      <x:c r="A293" s="17" t="str">
        <x:v>GD07</x:v>
      </x:c>
      <x:c r="B293" s="17" t="str">
        <x:v>河源</x:v>
      </x:c>
      <x:c r="C293" s="24" t="n">
        <x:v>115.0577538</x:v>
      </x:c>
      <x:c r="D293" s="24" t="n">
        <x:v>24.1014769</x:v>
      </x:c>
      <x:c r="E293" s="17" t="str">
        <x:v>C19</x:v>
      </x:c>
      <x:c r="F293" s="17" t="str">
        <x:v>潮州虚拟回收/检测中心</x:v>
      </x:c>
      <x:c r="G293" s="17" t="str">
        <x:v>回收中心候选</x:v>
      </x:c>
      <x:c r="H293" s="24" t="n">
        <x:v>116.6204223</x:v>
      </x:c>
      <x:c r="I293" s="24" t="n">
        <x:v>23.656593</x:v>
      </x:c>
      <x:c r="J293" s="21" t="n">
        <x:f>6371*ACOS(MIN(1,COS(D293*PI()/180)*COS(I293*PI()/180)*COS((H293-C293)*PI()/180)+SIN(D293*PI()/180)*SIN(I293*PI()/180)))</x:f>
        <x:v>166.40873636630144</x:v>
      </x:c>
      <x:c r="K293" s="21" t="n">
        <x:f>'情景参数模板'!$D$31</x:f>
        <x:v>1.2</x:v>
      </x:c>
      <x:c r="L293" s="21" t="n">
        <x:f>J293*K293</x:f>
        <x:v>199.69048363956173</x:v>
      </x:c>
    </x:row>
    <x:row r="294">
      <x:c r="A294" s="17" t="str">
        <x:v>GD07</x:v>
      </x:c>
      <x:c r="B294" s="17" t="str">
        <x:v>河源</x:v>
      </x:c>
      <x:c r="C294" s="24" t="n">
        <x:v>115.0577538</x:v>
      </x:c>
      <x:c r="D294" s="24" t="n">
        <x:v>24.1014769</x:v>
      </x:c>
      <x:c r="E294" s="17" t="str">
        <x:v>C20</x:v>
      </x:c>
      <x:c r="F294" s="17" t="str">
        <x:v>揭阳虚拟回收/检测中心</x:v>
      </x:c>
      <x:c r="G294" s="17" t="str">
        <x:v>回收中心候选</x:v>
      </x:c>
      <x:c r="H294" s="24" t="n">
        <x:v>116.3680354</x:v>
      </x:c>
      <x:c r="I294" s="24" t="n">
        <x:v>23.553156</x:v>
      </x:c>
      <x:c r="J294" s="21" t="n">
        <x:f>6371*ACOS(MIN(1,COS(D294*PI()/180)*COS(I294*PI()/180)*COS((H294-C294)*PI()/180)+SIN(D294*PI()/180)*SIN(I294*PI()/180)))</x:f>
        <x:v>146.56134098131724</x:v>
      </x:c>
      <x:c r="K294" s="21" t="n">
        <x:f>'情景参数模板'!$D$31</x:f>
        <x:v>1.2</x:v>
      </x:c>
      <x:c r="L294" s="21" t="n">
        <x:f>J294*K294</x:f>
        <x:v>175.87360917758068</x:v>
      </x:c>
    </x:row>
    <x:row r="295">
      <x:c r="A295" s="17" t="str">
        <x:v>GD07</x:v>
      </x:c>
      <x:c r="B295" s="17" t="str">
        <x:v>河源</x:v>
      </x:c>
      <x:c r="C295" s="24" t="n">
        <x:v>115.0577538</x:v>
      </x:c>
      <x:c r="D295" s="24" t="n">
        <x:v>24.1014769</x:v>
      </x:c>
      <x:c r="E295" s="17" t="str">
        <x:v>C21</x:v>
      </x:c>
      <x:c r="F295" s="17" t="str">
        <x:v>云浮虚拟回收/检测中心</x:v>
      </x:c>
      <x:c r="G295" s="17" t="str">
        <x:v>回收中心候选</x:v>
      </x:c>
      <x:c r="H295" s="24" t="n">
        <x:v>111.8078586</x:v>
      </x:c>
      <x:c r="I295" s="24" t="n">
        <x:v>22.8546663</x:v>
      </x:c>
      <x:c r="J295" s="21" t="n">
        <x:f>6371*ACOS(MIN(1,COS(D295*PI()/180)*COS(I295*PI()/180)*COS((H295-C295)*PI()/180)+SIN(D295*PI()/180)*SIN(I295*PI()/180)))</x:f>
        <x:v>359.2653796423735</x:v>
      </x:c>
      <x:c r="K295" s="21" t="n">
        <x:f>'情景参数模板'!$D$31</x:f>
        <x:v>1.2</x:v>
      </x:c>
      <x:c r="L295" s="21" t="n">
        <x:f>J295*K295</x:f>
        <x:v>431.1184555708482</x:v>
      </x:c>
    </x:row>
    <x:row r="296">
      <x:c r="A296" s="17" t="str">
        <x:v>GD07</x:v>
      </x:c>
      <x:c r="B296" s="17" t="str">
        <x:v>河源</x:v>
      </x:c>
      <x:c r="C296" s="24" t="n">
        <x:v>115.0577538</x:v>
      </x:c>
      <x:c r="D296" s="24" t="n">
        <x:v>24.1014769</x:v>
      </x:c>
      <x:c r="E296" s="17" t="str">
        <x:v>P01</x:v>
      </x:c>
      <x:c r="F296" s="17" t="str">
        <x:v>汕尾比亚迪废旧动力电池回收项目</x:v>
      </x:c>
      <x:c r="G296" s="17" t="str">
        <x:v>再生利用</x:v>
      </x:c>
      <x:c r="H296" s="24" t="n">
        <x:v>115.3492668</x:v>
      </x:c>
      <x:c r="I296" s="24" t="n">
        <x:v>22.838065</x:v>
      </x:c>
      <x:c r="J296" s="21" t="n">
        <x:f>6371*ACOS(MIN(1,COS(D296*PI()/180)*COS(I296*PI()/180)*COS((H296-C296)*PI()/180)+SIN(D296*PI()/180)*SIN(I296*PI()/180)))</x:f>
        <x:v>143.596777378205</x:v>
      </x:c>
      <x:c r="K296" s="21" t="n">
        <x:f>'情景参数模板'!$D$31</x:f>
        <x:v>1.2</x:v>
      </x:c>
      <x:c r="L296" s="21" t="n">
        <x:f>J296*K296</x:f>
        <x:v>172.31613285384597</x:v>
      </x:c>
    </x:row>
    <x:row r="297">
      <x:c r="A297" s="17" t="str">
        <x:v>GD07</x:v>
      </x:c>
      <x:c r="B297" s="17" t="str">
        <x:v>河源</x:v>
      </x:c>
      <x:c r="C297" s="24" t="n">
        <x:v>115.0577538</x:v>
      </x:c>
      <x:c r="D297" s="24" t="n">
        <x:v>24.1014769</x:v>
      </x:c>
      <x:c r="E297" s="17" t="str">
        <x:v>P02E</x:v>
      </x:c>
      <x:c r="F297" s="17" t="str">
        <x:v>广东光华科技股份有限公司（梯次功能）</x:v>
      </x:c>
      <x:c r="G297" s="17" t="str">
        <x:v>梯次利用</x:v>
      </x:c>
      <x:c r="H297" s="24" t="n">
        <x:v>116.6775856</x:v>
      </x:c>
      <x:c r="I297" s="24" t="n">
        <x:v>23.3563921</x:v>
      </x:c>
      <x:c r="J297" s="21" t="n">
        <x:f>6371*ACOS(MIN(1,COS(D297*PI()/180)*COS(I297*PI()/180)*COS((H297-C297)*PI()/180)+SIN(D297*PI()/180)*SIN(I297*PI()/180)))</x:f>
        <x:v>184.53141025973926</x:v>
      </x:c>
      <x:c r="K297" s="21" t="n">
        <x:f>'情景参数模板'!$D$31</x:f>
        <x:v>1.2</x:v>
      </x:c>
      <x:c r="L297" s="21" t="n">
        <x:f>J297*K297</x:f>
        <x:v>221.4376923116871</x:v>
      </x:c>
    </x:row>
    <x:row r="298">
      <x:c r="A298" s="17" t="str">
        <x:v>GD07</x:v>
      </x:c>
      <x:c r="B298" s="17" t="str">
        <x:v>河源</x:v>
      </x:c>
      <x:c r="C298" s="24" t="n">
        <x:v>115.0577538</x:v>
      </x:c>
      <x:c r="D298" s="24" t="n">
        <x:v>24.1014769</x:v>
      </x:c>
      <x:c r="E298" s="17" t="str">
        <x:v>P02R</x:v>
      </x:c>
      <x:c r="F298" s="17" t="str">
        <x:v>广东光华科技股份有限公司（再生功能）</x:v>
      </x:c>
      <x:c r="G298" s="17" t="str">
        <x:v>再生利用</x:v>
      </x:c>
      <x:c r="H298" s="24" t="n">
        <x:v>116.6775856</x:v>
      </x:c>
      <x:c r="I298" s="24" t="n">
        <x:v>23.3563921</x:v>
      </x:c>
      <x:c r="J298" s="21" t="n">
        <x:f>6371*ACOS(MIN(1,COS(D298*PI()/180)*COS(I298*PI()/180)*COS((H298-C298)*PI()/180)+SIN(D298*PI()/180)*SIN(I298*PI()/180)))</x:f>
        <x:v>184.53141025973926</x:v>
      </x:c>
      <x:c r="K298" s="21" t="n">
        <x:f>'情景参数模板'!$D$31</x:f>
        <x:v>1.2</x:v>
      </x:c>
      <x:c r="L298" s="21" t="n">
        <x:f>J298*K298</x:f>
        <x:v>221.4376923116871</x:v>
      </x:c>
    </x:row>
    <x:row r="299">
      <x:c r="A299" s="17" t="str">
        <x:v>GD07</x:v>
      </x:c>
      <x:c r="B299" s="17" t="str">
        <x:v>河源</x:v>
      </x:c>
      <x:c r="C299" s="24" t="n">
        <x:v>115.0577538</x:v>
      </x:c>
      <x:c r="D299" s="24" t="n">
        <x:v>24.1014769</x:v>
      </x:c>
      <x:c r="E299" s="17" t="str">
        <x:v>P03</x:v>
      </x:c>
      <x:c r="F299" s="17" t="str">
        <x:v>深圳深汕特别合作区乾泰技术有限公司</x:v>
      </x:c>
      <x:c r="G299" s="17" t="str">
        <x:v>梯次利用</x:v>
      </x:c>
      <x:c r="H299" s="24" t="n">
        <x:v>115.5099937</x:v>
      </x:c>
      <x:c r="I299" s="24" t="n">
        <x:v>23.0123639</x:v>
      </x:c>
      <x:c r="J299" s="21" t="n">
        <x:f>6371*ACOS(MIN(1,COS(D299*PI()/180)*COS(I299*PI()/180)*COS((H299-C299)*PI()/180)+SIN(D299*PI()/180)*SIN(I299*PI()/180)))</x:f>
        <x:v>129.57964487920876</x:v>
      </x:c>
      <x:c r="K299" s="21" t="n">
        <x:f>'情景参数模板'!$D$31</x:f>
        <x:v>1.2</x:v>
      </x:c>
      <x:c r="L299" s="21" t="n">
        <x:f>J299*K299</x:f>
        <x:v>155.4955738550505</x:v>
      </x:c>
    </x:row>
    <x:row r="300">
      <x:c r="A300" s="17" t="str">
        <x:v>GD07</x:v>
      </x:c>
      <x:c r="B300" s="17" t="str">
        <x:v>河源</x:v>
      </x:c>
      <x:c r="C300" s="24" t="n">
        <x:v>115.0577538</x:v>
      </x:c>
      <x:c r="D300" s="24" t="n">
        <x:v>24.1014769</x:v>
      </x:c>
      <x:c r="E300" s="17" t="str">
        <x:v>P04</x:v>
      </x:c>
      <x:c r="F300" s="17" t="str">
        <x:v>珠海中力新能源科技有限公司</x:v>
      </x:c>
      <x:c r="G300" s="17" t="str">
        <x:v>梯次利用</x:v>
      </x:c>
      <x:c r="H300" s="24" t="n">
        <x:v>113.5721327</x:v>
      </x:c>
      <x:c r="I300" s="24" t="n">
        <x:v>22.273734</x:v>
      </x:c>
      <x:c r="J300" s="21" t="n">
        <x:f>6371*ACOS(MIN(1,COS(D300*PI()/180)*COS(I300*PI()/180)*COS((H300-C300)*PI()/180)+SIN(D300*PI()/180)*SIN(I300*PI()/180)))</x:f>
        <x:v>253.69221156809851</x:v>
      </x:c>
      <x:c r="K300" s="21" t="n">
        <x:f>'情景参数模板'!$D$31</x:f>
        <x:v>1.2</x:v>
      </x:c>
      <x:c r="L300" s="21" t="n">
        <x:f>J300*K300</x:f>
        <x:v>304.43065388171823</x:v>
      </x:c>
    </x:row>
    <x:row r="301">
      <x:c r="A301" s="17" t="str">
        <x:v>GD07</x:v>
      </x:c>
      <x:c r="B301" s="17" t="str">
        <x:v>河源</x:v>
      </x:c>
      <x:c r="C301" s="24" t="n">
        <x:v>115.0577538</x:v>
      </x:c>
      <x:c r="D301" s="24" t="n">
        <x:v>24.1014769</x:v>
      </x:c>
      <x:c r="E301" s="17" t="str">
        <x:v>P05</x:v>
      </x:c>
      <x:c r="F301" s="17" t="str">
        <x:v>惠州市恒创睿能环保科技有限公司</x:v>
      </x:c>
      <x:c r="G301" s="17" t="str">
        <x:v>梯次利用</x:v>
      </x:c>
      <x:c r="H301" s="24" t="n">
        <x:v>114.4127007</x:v>
      </x:c>
      <x:c r="I301" s="24" t="n">
        <x:v>23.1125153</x:v>
      </x:c>
      <x:c r="J301" s="21" t="n">
        <x:f>6371*ACOS(MIN(1,COS(D301*PI()/180)*COS(I301*PI()/180)*COS((H301-C301)*PI()/180)+SIN(D301*PI()/180)*SIN(I301*PI()/180)))</x:f>
        <x:v>128.11063912816488</x:v>
      </x:c>
      <x:c r="K301" s="21" t="n">
        <x:f>'情景参数模板'!$D$31</x:f>
        <x:v>1.2</x:v>
      </x:c>
      <x:c r="L301" s="21" t="n">
        <x:f>J301*K301</x:f>
        <x:v>153.73276695379784</x:v>
      </x:c>
    </x:row>
    <x:row r="302">
      <x:c r="A302" s="17" t="str">
        <x:v>GD07</x:v>
      </x:c>
      <x:c r="B302" s="17" t="str">
        <x:v>河源</x:v>
      </x:c>
      <x:c r="C302" s="24" t="n">
        <x:v>115.0577538</x:v>
      </x:c>
      <x:c r="D302" s="24" t="n">
        <x:v>24.1014769</x:v>
      </x:c>
      <x:c r="E302" s="17" t="str">
        <x:v>P06</x:v>
      </x:c>
      <x:c r="F302" s="17" t="str">
        <x:v>江门市朗达锂电池有限公司</x:v>
      </x:c>
      <x:c r="G302" s="17" t="str">
        <x:v>梯次利用</x:v>
      </x:c>
      <x:c r="H302" s="24" t="n">
        <x:v>113.0761073</x:v>
      </x:c>
      <x:c r="I302" s="24" t="n">
        <x:v>22.5816619</x:v>
      </x:c>
      <x:c r="J302" s="21" t="n">
        <x:f>6371*ACOS(MIN(1,COS(D302*PI()/180)*COS(I302*PI()/180)*COS((H302-C302)*PI()/180)+SIN(D302*PI()/180)*SIN(I302*PI()/180)))</x:f>
        <x:v>263.603352392746</x:v>
      </x:c>
      <x:c r="K302" s="21" t="n">
        <x:f>'情景参数模板'!$D$31</x:f>
        <x:v>1.2</x:v>
      </x:c>
      <x:c r="L302" s="21" t="n">
        <x:f>J302*K302</x:f>
        <x:v>316.3240228712952</x:v>
      </x:c>
    </x:row>
    <x:row r="303">
      <x:c r="A303" s="17" t="str">
        <x:v>GD07</x:v>
      </x:c>
      <x:c r="B303" s="17" t="str">
        <x:v>河源</x:v>
      </x:c>
      <x:c r="C303" s="24" t="n">
        <x:v>115.0577538</x:v>
      </x:c>
      <x:c r="D303" s="24" t="n">
        <x:v>24.1014769</x:v>
      </x:c>
      <x:c r="E303" s="17" t="str">
        <x:v>P07</x:v>
      </x:c>
      <x:c r="F303" s="17" t="str">
        <x:v>广东迪度新能源有限公司</x:v>
      </x:c>
      <x:c r="G303" s="17" t="str">
        <x:v>梯次利用</x:v>
      </x:c>
      <x:c r="H303" s="24" t="n">
        <x:v>113.7452332</x:v>
      </x:c>
      <x:c r="I303" s="24" t="n">
        <x:v>23.0183568</x:v>
      </x:c>
      <x:c r="J303" s="21" t="n">
        <x:f>6371*ACOS(MIN(1,COS(D303*PI()/180)*COS(I303*PI()/180)*COS((H303-C303)*PI()/180)+SIN(D303*PI()/180)*SIN(I303*PI()/180)))</x:f>
        <x:v>180.00361940870866</x:v>
      </x:c>
      <x:c r="K303" s="21" t="n">
        <x:f>'情景参数模板'!$D$31</x:f>
        <x:v>1.2</x:v>
      </x:c>
      <x:c r="L303" s="21" t="n">
        <x:f>J303*K303</x:f>
        <x:v>216.00434329045038</x:v>
      </x:c>
    </x:row>
    <x:row r="304">
      <x:c r="A304" s="17" t="str">
        <x:v>GD07</x:v>
      </x:c>
      <x:c r="B304" s="17" t="str">
        <x:v>河源</x:v>
      </x:c>
      <x:c r="C304" s="24" t="n">
        <x:v>115.0577538</x:v>
      </x:c>
      <x:c r="D304" s="24" t="n">
        <x:v>24.1014769</x:v>
      </x:c>
      <x:c r="E304" s="17" t="str">
        <x:v>P08</x:v>
      </x:c>
      <x:c r="F304" s="17" t="str">
        <x:v>东莞市博森新能源有限公司</x:v>
      </x:c>
      <x:c r="G304" s="17" t="str">
        <x:v>梯次利用</x:v>
      </x:c>
      <x:c r="H304" s="24" t="n">
        <x:v>113.7452332</x:v>
      </x:c>
      <x:c r="I304" s="24" t="n">
        <x:v>23.0183568</x:v>
      </x:c>
      <x:c r="J304" s="21" t="n">
        <x:f>6371*ACOS(MIN(1,COS(D304*PI()/180)*COS(I304*PI()/180)*COS((H304-C304)*PI()/180)+SIN(D304*PI()/180)*SIN(I304*PI()/180)))</x:f>
        <x:v>180.00361940870866</x:v>
      </x:c>
      <x:c r="K304" s="21" t="n">
        <x:f>'情景参数模板'!$D$31</x:f>
        <x:v>1.2</x:v>
      </x:c>
      <x:c r="L304" s="21" t="n">
        <x:f>J304*K304</x:f>
        <x:v>216.00434329045038</x:v>
      </x:c>
    </x:row>
    <x:row r="305">
      <x:c r="A305" s="17" t="str">
        <x:v>GD07</x:v>
      </x:c>
      <x:c r="B305" s="17" t="str">
        <x:v>河源</x:v>
      </x:c>
      <x:c r="C305" s="24" t="n">
        <x:v>115.0577538</x:v>
      </x:c>
      <x:c r="D305" s="24" t="n">
        <x:v>24.1014769</x:v>
      </x:c>
      <x:c r="E305" s="17" t="str">
        <x:v>P09</x:v>
      </x:c>
      <x:c r="F305" s="17" t="str">
        <x:v>广东宇阳新能源有限公司</x:v>
      </x:c>
      <x:c r="G305" s="17" t="str">
        <x:v>梯次利用</x:v>
      </x:c>
      <x:c r="H305" s="24" t="n">
        <x:v>113.7452332</x:v>
      </x:c>
      <x:c r="I305" s="24" t="n">
        <x:v>23.0183568</x:v>
      </x:c>
      <x:c r="J305" s="21" t="n">
        <x:f>6371*ACOS(MIN(1,COS(D305*PI()/180)*COS(I305*PI()/180)*COS((H305-C305)*PI()/180)+SIN(D305*PI()/180)*SIN(I305*PI()/180)))</x:f>
        <x:v>180.00361940870866</x:v>
      </x:c>
      <x:c r="K305" s="21" t="n">
        <x:f>'情景参数模板'!$D$31</x:f>
        <x:v>1.2</x:v>
      </x:c>
      <x:c r="L305" s="21" t="n">
        <x:f>J305*K305</x:f>
        <x:v>216.00434329045038</x:v>
      </x:c>
    </x:row>
    <x:row r="306">
      <x:c r="A306" s="17" t="str">
        <x:v>GD07</x:v>
      </x:c>
      <x:c r="B306" s="17" t="str">
        <x:v>河源</x:v>
      </x:c>
      <x:c r="C306" s="24" t="n">
        <x:v>115.0577538</x:v>
      </x:c>
      <x:c r="D306" s="24" t="n">
        <x:v>24.1014769</x:v>
      </x:c>
      <x:c r="E306" s="17" t="str">
        <x:v>P10</x:v>
      </x:c>
      <x:c r="F306" s="17" t="str">
        <x:v>广州广汽商贸再生资源有限公司</x:v>
      </x:c>
      <x:c r="G306" s="17" t="str">
        <x:v>梯次利用</x:v>
      </x:c>
      <x:c r="H306" s="24" t="n">
        <x:v>113.2589581</x:v>
      </x:c>
      <x:c r="I306" s="24" t="n">
        <x:v>23.1288429</x:v>
      </x:c>
      <x:c r="J306" s="21" t="n">
        <x:f>6371*ACOS(MIN(1,COS(D306*PI()/180)*COS(I306*PI()/180)*COS((H306-C306)*PI()/180)+SIN(D306*PI()/180)*SIN(I306*PI()/180)))</x:f>
        <x:v>212.7954154557559</x:v>
      </x:c>
      <x:c r="K306" s="21" t="n">
        <x:f>'情景参数模板'!$D$31</x:f>
        <x:v>1.2</x:v>
      </x:c>
      <x:c r="L306" s="21" t="n">
        <x:f>J306*K306</x:f>
        <x:v>255.35449854690705</x:v>
      </x:c>
    </x:row>
    <x:row r="307">
      <x:c r="A307" s="17" t="str">
        <x:v>GD07</x:v>
      </x:c>
      <x:c r="B307" s="17" t="str">
        <x:v>河源</x:v>
      </x:c>
      <x:c r="C307" s="24" t="n">
        <x:v>115.0577538</x:v>
      </x:c>
      <x:c r="D307" s="24" t="n">
        <x:v>24.1014769</x:v>
      </x:c>
      <x:c r="E307" s="17" t="str">
        <x:v>P11</x:v>
      </x:c>
      <x:c r="F307" s="17" t="str">
        <x:v>深圳市杰成镍钴新能源科技有限公司</x:v>
      </x:c>
      <x:c r="G307" s="17" t="str">
        <x:v>梯次利用</x:v>
      </x:c>
      <x:c r="H307" s="24" t="n">
        <x:v>114.0545429</x:v>
      </x:c>
      <x:c r="I307" s="24" t="n">
        <x:v>22.5445741</x:v>
      </x:c>
      <x:c r="J307" s="21" t="n">
        <x:f>6371*ACOS(MIN(1,COS(D307*PI()/180)*COS(I307*PI()/180)*COS((H307-C307)*PI()/180)+SIN(D307*PI()/180)*SIN(I307*PI()/180)))</x:f>
        <x:v>201.1533473364422</x:v>
      </x:c>
      <x:c r="K307" s="21" t="n">
        <x:f>'情景参数模板'!$D$31</x:f>
        <x:v>1.2</x:v>
      </x:c>
      <x:c r="L307" s="21" t="n">
        <x:f>J307*K307</x:f>
        <x:v>241.38401680373065</x:v>
      </x:c>
    </x:row>
    <x:row r="308">
      <x:c r="A308" s="17" t="str">
        <x:v>GD07</x:v>
      </x:c>
      <x:c r="B308" s="17" t="str">
        <x:v>河源</x:v>
      </x:c>
      <x:c r="C308" s="24" t="n">
        <x:v>115.0577538</x:v>
      </x:c>
      <x:c r="D308" s="24" t="n">
        <x:v>24.1014769</x:v>
      </x:c>
      <x:c r="E308" s="17" t="str">
        <x:v>P12</x:v>
      </x:c>
      <x:c r="F308" s="17" t="str">
        <x:v>江门市恒创睿能环保科技有限公司</x:v>
      </x:c>
      <x:c r="G308" s="17" t="str">
        <x:v>再生利用</x:v>
      </x:c>
      <x:c r="H308" s="24" t="n">
        <x:v>113.0761073</x:v>
      </x:c>
      <x:c r="I308" s="24" t="n">
        <x:v>22.5816619</x:v>
      </x:c>
      <x:c r="J308" s="21" t="n">
        <x:f>6371*ACOS(MIN(1,COS(D308*PI()/180)*COS(I308*PI()/180)*COS((H308-C308)*PI()/180)+SIN(D308*PI()/180)*SIN(I308*PI()/180)))</x:f>
        <x:v>263.603352392746</x:v>
      </x:c>
      <x:c r="K308" s="21" t="n">
        <x:f>'情景参数模板'!$D$31</x:f>
        <x:v>1.2</x:v>
      </x:c>
      <x:c r="L308" s="21" t="n">
        <x:f>J308*K308</x:f>
        <x:v>316.3240228712952</x:v>
      </x:c>
    </x:row>
    <x:row r="309">
      <x:c r="A309" s="17" t="str">
        <x:v>GD07</x:v>
      </x:c>
      <x:c r="B309" s="17" t="str">
        <x:v>河源</x:v>
      </x:c>
      <x:c r="C309" s="24" t="n">
        <x:v>115.0577538</x:v>
      </x:c>
      <x:c r="D309" s="24" t="n">
        <x:v>24.1014769</x:v>
      </x:c>
      <x:c r="E309" s="17" t="str">
        <x:v>P13</x:v>
      </x:c>
      <x:c r="F309" s="17" t="str">
        <x:v>广东佳纳能源科技有限公司</x:v>
      </x:c>
      <x:c r="G309" s="17" t="str">
        <x:v>再生利用</x:v>
      </x:c>
      <x:c r="H309" s="24" t="n">
        <x:v>113.0505994</x:v>
      </x:c>
      <x:c r="I309" s="24" t="n">
        <x:v>23.6832984</x:v>
      </x:c>
      <x:c r="J309" s="21" t="n">
        <x:f>6371*ACOS(MIN(1,COS(D309*PI()/180)*COS(I309*PI()/180)*COS((H309-C309)*PI()/180)+SIN(D309*PI()/180)*SIN(I309*PI()/180)))</x:f>
        <x:v>209.288636539523</x:v>
      </x:c>
      <x:c r="K309" s="21" t="n">
        <x:f>'情景参数模板'!$D$31</x:f>
        <x:v>1.2</x:v>
      </x:c>
      <x:c r="L309" s="21" t="n">
        <x:f>J309*K309</x:f>
        <x:v>251.14636384742758</x:v>
      </x:c>
    </x:row>
    <x:row r="310">
      <x:c r="A310" s="17" t="str">
        <x:v>GD07</x:v>
      </x:c>
      <x:c r="B310" s="17" t="str">
        <x:v>河源</x:v>
      </x:c>
      <x:c r="C310" s="24" t="n">
        <x:v>115.0577538</x:v>
      </x:c>
      <x:c r="D310" s="24" t="n">
        <x:v>24.1014769</x:v>
      </x:c>
      <x:c r="E310" s="17" t="str">
        <x:v>P14</x:v>
      </x:c>
      <x:c r="F310" s="17" t="str">
        <x:v>格林美（深圳）循环科技有限公司</x:v>
      </x:c>
      <x:c r="G310" s="17" t="str">
        <x:v>梯次利用</x:v>
      </x:c>
      <x:c r="H310" s="24" t="n">
        <x:v>114.0545429</x:v>
      </x:c>
      <x:c r="I310" s="24" t="n">
        <x:v>22.5445741</x:v>
      </x:c>
      <x:c r="J310" s="21" t="n">
        <x:f>6371*ACOS(MIN(1,COS(D310*PI()/180)*COS(I310*PI()/180)*COS((H310-C310)*PI()/180)+SIN(D310*PI()/180)*SIN(I310*PI()/180)))</x:f>
        <x:v>201.1533473364422</x:v>
      </x:c>
      <x:c r="K310" s="21" t="n">
        <x:f>'情景参数模板'!$D$31</x:f>
        <x:v>1.2</x:v>
      </x:c>
      <x:c r="L310" s="21" t="n">
        <x:f>J310*K310</x:f>
        <x:v>241.38401680373065</x:v>
      </x:c>
    </x:row>
    <x:row r="311">
      <x:c r="A311" s="17" t="str">
        <x:v>GD07</x:v>
      </x:c>
      <x:c r="B311" s="17" t="str">
        <x:v>河源</x:v>
      </x:c>
      <x:c r="C311" s="24" t="n">
        <x:v>115.0577538</x:v>
      </x:c>
      <x:c r="D311" s="24" t="n">
        <x:v>24.1014769</x:v>
      </x:c>
      <x:c r="E311" s="17" t="str">
        <x:v>P15</x:v>
      </x:c>
      <x:c r="F311" s="17" t="str">
        <x:v>绿循新能源科技（佛山）有限责任公司</x:v>
      </x:c>
      <x:c r="G311" s="17" t="str">
        <x:v>梯次利用</x:v>
      </x:c>
      <x:c r="H311" s="24" t="n">
        <x:v>113.1159558</x:v>
      </x:c>
      <x:c r="I311" s="24" t="n">
        <x:v>23.0239788</x:v>
      </x:c>
      <x:c r="J311" s="21" t="n">
        <x:f>6371*ACOS(MIN(1,COS(D311*PI()/180)*COS(I311*PI()/180)*COS((H311-C311)*PI()/180)+SIN(D311*PI()/180)*SIN(I311*PI()/180)))</x:f>
        <x:v>231.3506353661428</x:v>
      </x:c>
      <x:c r="K311" s="21" t="n">
        <x:f>'情景参数模板'!$D$31</x:f>
        <x:v>1.2</x:v>
      </x:c>
      <x:c r="L311" s="21" t="n">
        <x:f>J311*K311</x:f>
        <x:v>277.62076243937133</x:v>
      </x:c>
    </x:row>
    <x:row r="312">
      <x:c r="A312" s="17" t="str">
        <x:v>GD07</x:v>
      </x:c>
      <x:c r="B312" s="17" t="str">
        <x:v>河源</x:v>
      </x:c>
      <x:c r="C312" s="24" t="n">
        <x:v>115.0577538</x:v>
      </x:c>
      <x:c r="D312" s="24" t="n">
        <x:v>24.1014769</x:v>
      </x:c>
      <x:c r="E312" s="17" t="str">
        <x:v>P16</x:v>
      </x:c>
      <x:c r="F312" s="17" t="str">
        <x:v>深圳艾云动智慧科技有限公司</x:v>
      </x:c>
      <x:c r="G312" s="17" t="str">
        <x:v>梯次利用</x:v>
      </x:c>
      <x:c r="H312" s="24" t="n">
        <x:v>114.0545429</x:v>
      </x:c>
      <x:c r="I312" s="24" t="n">
        <x:v>22.5445741</x:v>
      </x:c>
      <x:c r="J312" s="21" t="n">
        <x:f>6371*ACOS(MIN(1,COS(D312*PI()/180)*COS(I312*PI()/180)*COS((H312-C312)*PI()/180)+SIN(D312*PI()/180)*SIN(I312*PI()/180)))</x:f>
        <x:v>201.1533473364422</x:v>
      </x:c>
      <x:c r="K312" s="21" t="n">
        <x:f>'情景参数模板'!$D$31</x:f>
        <x:v>1.2</x:v>
      </x:c>
      <x:c r="L312" s="21" t="n">
        <x:f>J312*K312</x:f>
        <x:v>241.38401680373065</x:v>
      </x:c>
    </x:row>
    <x:row r="313">
      <x:c r="A313" s="17" t="str">
        <x:v>GD07</x:v>
      </x:c>
      <x:c r="B313" s="17" t="str">
        <x:v>河源</x:v>
      </x:c>
      <x:c r="C313" s="24" t="n">
        <x:v>115.0577538</x:v>
      </x:c>
      <x:c r="D313" s="24" t="n">
        <x:v>24.1014769</x:v>
      </x:c>
      <x:c r="E313" s="17" t="str">
        <x:v>P17</x:v>
      </x:c>
      <x:c r="F313" s="17" t="str">
        <x:v>深圳市荣高晟新能源科技有限公司</x:v>
      </x:c>
      <x:c r="G313" s="17" t="str">
        <x:v>梯次利用</x:v>
      </x:c>
      <x:c r="H313" s="24" t="n">
        <x:v>114.0545429</x:v>
      </x:c>
      <x:c r="I313" s="24" t="n">
        <x:v>22.5445741</x:v>
      </x:c>
      <x:c r="J313" s="21" t="n">
        <x:f>6371*ACOS(MIN(1,COS(D313*PI()/180)*COS(I313*PI()/180)*COS((H313-C313)*PI()/180)+SIN(D313*PI()/180)*SIN(I313*PI()/180)))</x:f>
        <x:v>201.1533473364422</x:v>
      </x:c>
      <x:c r="K313" s="21" t="n">
        <x:f>'情景参数模板'!$D$31</x:f>
        <x:v>1.2</x:v>
      </x:c>
      <x:c r="L313" s="21" t="n">
        <x:f>J313*K313</x:f>
        <x:v>241.38401680373065</x:v>
      </x:c>
    </x:row>
    <x:row r="314">
      <x:c r="A314" s="17" t="str">
        <x:v>GD07</x:v>
      </x:c>
      <x:c r="B314" s="17" t="str">
        <x:v>河源</x:v>
      </x:c>
      <x:c r="C314" s="24" t="n">
        <x:v>115.0577538</x:v>
      </x:c>
      <x:c r="D314" s="24" t="n">
        <x:v>24.1014769</x:v>
      </x:c>
      <x:c r="E314" s="17" t="str">
        <x:v>P18</x:v>
      </x:c>
      <x:c r="F314" s="17" t="str">
        <x:v>中商锂新能源科技（惠州）有限公司</x:v>
      </x:c>
      <x:c r="G314" s="17" t="str">
        <x:v>梯次利用</x:v>
      </x:c>
      <x:c r="H314" s="24" t="n">
        <x:v>114.4127007</x:v>
      </x:c>
      <x:c r="I314" s="24" t="n">
        <x:v>23.1125153</x:v>
      </x:c>
      <x:c r="J314" s="21" t="n">
        <x:f>6371*ACOS(MIN(1,COS(D314*PI()/180)*COS(I314*PI()/180)*COS((H314-C314)*PI()/180)+SIN(D314*PI()/180)*SIN(I314*PI()/180)))</x:f>
        <x:v>128.11063912816488</x:v>
      </x:c>
      <x:c r="K314" s="21" t="n">
        <x:f>'情景参数模板'!$D$31</x:f>
        <x:v>1.2</x:v>
      </x:c>
      <x:c r="L314" s="21" t="n">
        <x:f>J314*K314</x:f>
        <x:v>153.73276695379784</x:v>
      </x:c>
    </x:row>
    <x:row r="315">
      <x:c r="A315" s="17" t="str">
        <x:v>GD07</x:v>
      </x:c>
      <x:c r="B315" s="17" t="str">
        <x:v>河源</x:v>
      </x:c>
      <x:c r="C315" s="24" t="n">
        <x:v>115.0577538</x:v>
      </x:c>
      <x:c r="D315" s="24" t="n">
        <x:v>24.1014769</x:v>
      </x:c>
      <x:c r="E315" s="17" t="str">
        <x:v>P19</x:v>
      </x:c>
      <x:c r="F315" s="17" t="str">
        <x:v>广东盛祥新材料科技有限公司</x:v>
      </x:c>
      <x:c r="G315" s="17" t="str">
        <x:v>再生利用</x:v>
      </x:c>
      <x:c r="H315" s="24" t="n">
        <x:v>113.8155263</x:v>
      </x:c>
      <x:c r="I315" s="24" t="n">
        <x:v>24.8309489</x:v>
      </x:c>
      <x:c r="J315" s="21" t="n">
        <x:f>6371*ACOS(MIN(1,COS(D315*PI()/180)*COS(I315*PI()/180)*COS((H315-C315)*PI()/180)+SIN(D315*PI()/180)*SIN(I315*PI()/180)))</x:f>
        <x:v>149.6196110292933</x:v>
      </x:c>
      <x:c r="K315" s="21" t="n">
        <x:f>'情景参数模板'!$D$31</x:f>
        <x:v>1.2</x:v>
      </x:c>
      <x:c r="L315" s="21" t="n">
        <x:f>J315*K315</x:f>
        <x:v>179.54353323515195</x:v>
      </x:c>
    </x:row>
    <x:row r="316">
      <x:c r="A316" s="17" t="str">
        <x:v>GD07</x:v>
      </x:c>
      <x:c r="B316" s="17" t="str">
        <x:v>河源</x:v>
      </x:c>
      <x:c r="C316" s="24" t="n">
        <x:v>115.0577538</x:v>
      </x:c>
      <x:c r="D316" s="24" t="n">
        <x:v>24.1014769</x:v>
      </x:c>
      <x:c r="E316" s="17" t="str">
        <x:v>P20E</x:v>
      </x:c>
      <x:c r="F316" s="17" t="str">
        <x:v>广东金晟新能源股份有限公司（梯次功能）</x:v>
      </x:c>
      <x:c r="G316" s="17" t="str">
        <x:v>梯次利用</x:v>
      </x:c>
      <x:c r="H316" s="24" t="n">
        <x:v>112.4603629</x:v>
      </x:c>
      <x:c r="I316" s="24" t="n">
        <x:v>23.0501661</x:v>
      </x:c>
      <x:c r="J316" s="21" t="n">
        <x:f>6371*ACOS(MIN(1,COS(D316*PI()/180)*COS(I316*PI()/180)*COS((H316-C316)*PI()/180)+SIN(D316*PI()/180)*SIN(I316*PI()/180)))</x:f>
        <x:v>289.36462181183225</x:v>
      </x:c>
      <x:c r="K316" s="21" t="n">
        <x:f>'情景参数模板'!$D$31</x:f>
        <x:v>1.2</x:v>
      </x:c>
      <x:c r="L316" s="21" t="n">
        <x:f>J316*K316</x:f>
        <x:v>347.2375461741987</x:v>
      </x:c>
    </x:row>
    <x:row r="317">
      <x:c r="A317" s="17" t="str">
        <x:v>GD07</x:v>
      </x:c>
      <x:c r="B317" s="17" t="str">
        <x:v>河源</x:v>
      </x:c>
      <x:c r="C317" s="24" t="n">
        <x:v>115.0577538</x:v>
      </x:c>
      <x:c r="D317" s="24" t="n">
        <x:v>24.1014769</x:v>
      </x:c>
      <x:c r="E317" s="17" t="str">
        <x:v>P20R</x:v>
      </x:c>
      <x:c r="F317" s="17" t="str">
        <x:v>广东金晟新能源股份有限公司（再生功能）</x:v>
      </x:c>
      <x:c r="G317" s="17" t="str">
        <x:v>再生利用</x:v>
      </x:c>
      <x:c r="H317" s="24" t="n">
        <x:v>112.4603629</x:v>
      </x:c>
      <x:c r="I317" s="24" t="n">
        <x:v>23.0501661</x:v>
      </x:c>
      <x:c r="J317" s="21" t="n">
        <x:f>6371*ACOS(MIN(1,COS(D317*PI()/180)*COS(I317*PI()/180)*COS((H317-C317)*PI()/180)+SIN(D317*PI()/180)*SIN(I317*PI()/180)))</x:f>
        <x:v>289.36462181183225</x:v>
      </x:c>
      <x:c r="K317" s="21" t="n">
        <x:f>'情景参数模板'!$D$31</x:f>
        <x:v>1.2</x:v>
      </x:c>
      <x:c r="L317" s="21" t="n">
        <x:f>J317*K317</x:f>
        <x:v>347.2375461741987</x:v>
      </x:c>
    </x:row>
    <x:row r="318">
      <x:c r="A318" s="17" t="str">
        <x:v>GD07</x:v>
      </x:c>
      <x:c r="B318" s="17" t="str">
        <x:v>河源</x:v>
      </x:c>
      <x:c r="C318" s="24" t="n">
        <x:v>115.0577538</x:v>
      </x:c>
      <x:c r="D318" s="24" t="n">
        <x:v>24.1014769</x:v>
      </x:c>
      <x:c r="E318" s="17" t="str">
        <x:v>P21E</x:v>
      </x:c>
      <x:c r="F318" s="17" t="str">
        <x:v>广东瑞科美电源技术有限公司（梯次功能）</x:v>
      </x:c>
      <x:c r="G318" s="17" t="str">
        <x:v>梯次利用</x:v>
      </x:c>
      <x:c r="H318" s="24" t="n">
        <x:v>113.1159558</x:v>
      </x:c>
      <x:c r="I318" s="24" t="n">
        <x:v>23.0239788</x:v>
      </x:c>
      <x:c r="J318" s="21" t="n">
        <x:f>6371*ACOS(MIN(1,COS(D318*PI()/180)*COS(I318*PI()/180)*COS((H318-C318)*PI()/180)+SIN(D318*PI()/180)*SIN(I318*PI()/180)))</x:f>
        <x:v>231.3506353661428</x:v>
      </x:c>
      <x:c r="K318" s="21" t="n">
        <x:f>'情景参数模板'!$D$31</x:f>
        <x:v>1.2</x:v>
      </x:c>
      <x:c r="L318" s="21" t="n">
        <x:f>J318*K318</x:f>
        <x:v>277.62076243937133</x:v>
      </x:c>
    </x:row>
    <x:row r="319">
      <x:c r="A319" s="17" t="str">
        <x:v>GD07</x:v>
      </x:c>
      <x:c r="B319" s="17" t="str">
        <x:v>河源</x:v>
      </x:c>
      <x:c r="C319" s="24" t="n">
        <x:v>115.0577538</x:v>
      </x:c>
      <x:c r="D319" s="24" t="n">
        <x:v>24.1014769</x:v>
      </x:c>
      <x:c r="E319" s="17" t="str">
        <x:v>P21R</x:v>
      </x:c>
      <x:c r="F319" s="17" t="str">
        <x:v>广东瑞科美电源技术有限公司（再生功能）</x:v>
      </x:c>
      <x:c r="G319" s="17" t="str">
        <x:v>再生利用</x:v>
      </x:c>
      <x:c r="H319" s="24" t="n">
        <x:v>113.1159558</x:v>
      </x:c>
      <x:c r="I319" s="24" t="n">
        <x:v>23.0239788</x:v>
      </x:c>
      <x:c r="J319" s="21" t="n">
        <x:f>6371*ACOS(MIN(1,COS(D319*PI()/180)*COS(I319*PI()/180)*COS((H319-C319)*PI()/180)+SIN(D319*PI()/180)*SIN(I319*PI()/180)))</x:f>
        <x:v>231.3506353661428</x:v>
      </x:c>
      <x:c r="K319" s="21" t="n">
        <x:f>'情景参数模板'!$D$31</x:f>
        <x:v>1.2</x:v>
      </x:c>
      <x:c r="L319" s="21" t="n">
        <x:f>J319*K319</x:f>
        <x:v>277.62076243937133</x:v>
      </x:c>
    </x:row>
    <x:row r="320">
      <x:c r="A320" s="17" t="str">
        <x:v>GD08</x:v>
      </x:c>
      <x:c r="B320" s="17" t="str">
        <x:v>梅州</x:v>
      </x:c>
      <x:c r="C320" s="24" t="n">
        <x:v>116.1171428</x:v>
      </x:c>
      <x:c r="D320" s="24" t="n">
        <x:v>24.2918414</x:v>
      </x:c>
      <x:c r="E320" s="17" t="str">
        <x:v>C01</x:v>
      </x:c>
      <x:c r="F320" s="17" t="str">
        <x:v>广州虚拟回收/检测中心</x:v>
      </x:c>
      <x:c r="G320" s="17" t="str">
        <x:v>回收中心候选</x:v>
      </x:c>
      <x:c r="H320" s="24" t="n">
        <x:v>113.2589581</x:v>
      </x:c>
      <x:c r="I320" s="24" t="n">
        <x:v>23.1288429</x:v>
      </x:c>
      <x:c r="J320" s="21" t="n">
        <x:f>6371*ACOS(MIN(1,COS(D320*PI()/180)*COS(I320*PI()/180)*COS((H320-C320)*PI()/180)+SIN(D320*PI()/180)*SIN(I320*PI()/180)))</x:f>
        <x:v>318.4189220790422</x:v>
      </x:c>
      <x:c r="K320" s="21" t="n">
        <x:f>'情景参数模板'!$D$31</x:f>
        <x:v>1.2</x:v>
      </x:c>
      <x:c r="L320" s="21" t="n">
        <x:f>J320*K320</x:f>
        <x:v>382.1027064948506</x:v>
      </x:c>
    </x:row>
    <x:row r="321">
      <x:c r="A321" s="17" t="str">
        <x:v>GD08</x:v>
      </x:c>
      <x:c r="B321" s="17" t="str">
        <x:v>梅州</x:v>
      </x:c>
      <x:c r="C321" s="24" t="n">
        <x:v>116.1171428</x:v>
      </x:c>
      <x:c r="D321" s="24" t="n">
        <x:v>24.2918414</x:v>
      </x:c>
      <x:c r="E321" s="17" t="str">
        <x:v>C02</x:v>
      </x:c>
      <x:c r="F321" s="17" t="str">
        <x:v>深圳虚拟回收/检测中心</x:v>
      </x:c>
      <x:c r="G321" s="17" t="str">
        <x:v>回收中心候选</x:v>
      </x:c>
      <x:c r="H321" s="24" t="n">
        <x:v>114.0545429</x:v>
      </x:c>
      <x:c r="I321" s="24" t="n">
        <x:v>22.5445741</x:v>
      </x:c>
      <x:c r="J321" s="21" t="n">
        <x:f>6371*ACOS(MIN(1,COS(D321*PI()/180)*COS(I321*PI()/180)*COS((H321-C321)*PI()/180)+SIN(D321*PI()/180)*SIN(I321*PI()/180)))</x:f>
        <x:v>286.41624544813754</x:v>
      </x:c>
      <x:c r="K321" s="21" t="n">
        <x:f>'情景参数模板'!$D$31</x:f>
        <x:v>1.2</x:v>
      </x:c>
      <x:c r="L321" s="21" t="n">
        <x:f>J321*K321</x:f>
        <x:v>343.699494537765</x:v>
      </x:c>
    </x:row>
    <x:row r="322">
      <x:c r="A322" s="17" t="str">
        <x:v>GD08</x:v>
      </x:c>
      <x:c r="B322" s="17" t="str">
        <x:v>梅州</x:v>
      </x:c>
      <x:c r="C322" s="24" t="n">
        <x:v>116.1171428</x:v>
      </x:c>
      <x:c r="D322" s="24" t="n">
        <x:v>24.2918414</x:v>
      </x:c>
      <x:c r="E322" s="17" t="str">
        <x:v>C03</x:v>
      </x:c>
      <x:c r="F322" s="17" t="str">
        <x:v>珠海虚拟回收/检测中心</x:v>
      </x:c>
      <x:c r="G322" s="17" t="str">
        <x:v>回收中心候选</x:v>
      </x:c>
      <x:c r="H322" s="24" t="n">
        <x:v>113.5721327</x:v>
      </x:c>
      <x:c r="I322" s="24" t="n">
        <x:v>22.273734</x:v>
      </x:c>
      <x:c r="J322" s="21" t="n">
        <x:f>6371*ACOS(MIN(1,COS(D322*PI()/180)*COS(I322*PI()/180)*COS((H322-C322)*PI()/180)+SIN(D322*PI()/180)*SIN(I322*PI()/180)))</x:f>
        <x:v>343.3898243843036</x:v>
      </x:c>
      <x:c r="K322" s="21" t="n">
        <x:f>'情景参数模板'!$D$31</x:f>
        <x:v>1.2</x:v>
      </x:c>
      <x:c r="L322" s="21" t="n">
        <x:f>J322*K322</x:f>
        <x:v>412.0677892611643</x:v>
      </x:c>
    </x:row>
    <x:row r="323">
      <x:c r="A323" s="17" t="str">
        <x:v>GD08</x:v>
      </x:c>
      <x:c r="B323" s="17" t="str">
        <x:v>梅州</x:v>
      </x:c>
      <x:c r="C323" s="24" t="n">
        <x:v>116.1171428</x:v>
      </x:c>
      <x:c r="D323" s="24" t="n">
        <x:v>24.2918414</x:v>
      </x:c>
      <x:c r="E323" s="17" t="str">
        <x:v>C04</x:v>
      </x:c>
      <x:c r="F323" s="17" t="str">
        <x:v>汕头虚拟回收/检测中心</x:v>
      </x:c>
      <x:c r="G323" s="17" t="str">
        <x:v>回收中心候选</x:v>
      </x:c>
      <x:c r="H323" s="24" t="n">
        <x:v>116.6775856</x:v>
      </x:c>
      <x:c r="I323" s="24" t="n">
        <x:v>23.3563921</x:v>
      </x:c>
      <x:c r="J323" s="21" t="n">
        <x:f>6371*ACOS(MIN(1,COS(D323*PI()/180)*COS(I323*PI()/180)*COS((H323-C323)*PI()/180)+SIN(D323*PI()/180)*SIN(I323*PI()/180)))</x:f>
        <x:v>118.61450484712725</x:v>
      </x:c>
      <x:c r="K323" s="21" t="n">
        <x:f>'情景参数模板'!$D$31</x:f>
        <x:v>1.2</x:v>
      </x:c>
      <x:c r="L323" s="21" t="n">
        <x:f>J323*K323</x:f>
        <x:v>142.3374058165527</x:v>
      </x:c>
    </x:row>
    <x:row r="324">
      <x:c r="A324" s="17" t="str">
        <x:v>GD08</x:v>
      </x:c>
      <x:c r="B324" s="17" t="str">
        <x:v>梅州</x:v>
      </x:c>
      <x:c r="C324" s="24" t="n">
        <x:v>116.1171428</x:v>
      </x:c>
      <x:c r="D324" s="24" t="n">
        <x:v>24.2918414</x:v>
      </x:c>
      <x:c r="E324" s="17" t="str">
        <x:v>C05</x:v>
      </x:c>
      <x:c r="F324" s="17" t="str">
        <x:v>佛山虚拟回收/检测中心</x:v>
      </x:c>
      <x:c r="G324" s="17" t="str">
        <x:v>回收中心候选</x:v>
      </x:c>
      <x:c r="H324" s="24" t="n">
        <x:v>113.1159558</x:v>
      </x:c>
      <x:c r="I324" s="24" t="n">
        <x:v>23.0239788</x:v>
      </x:c>
      <x:c r="J324" s="21" t="n">
        <x:f>6371*ACOS(MIN(1,COS(D324*PI()/180)*COS(I324*PI()/180)*COS((H324-C324)*PI()/180)+SIN(D324*PI()/180)*SIN(I324*PI()/180)))</x:f>
        <x:v>336.6010751478147</x:v>
      </x:c>
      <x:c r="K324" s="21" t="n">
        <x:f>'情景参数模板'!$D$31</x:f>
        <x:v>1.2</x:v>
      </x:c>
      <x:c r="L324" s="21" t="n">
        <x:f>J324*K324</x:f>
        <x:v>403.9212901773776</x:v>
      </x:c>
    </x:row>
    <x:row r="325">
      <x:c r="A325" s="17" t="str">
        <x:v>GD08</x:v>
      </x:c>
      <x:c r="B325" s="17" t="str">
        <x:v>梅州</x:v>
      </x:c>
      <x:c r="C325" s="24" t="n">
        <x:v>116.1171428</x:v>
      </x:c>
      <x:c r="D325" s="24" t="n">
        <x:v>24.2918414</x:v>
      </x:c>
      <x:c r="E325" s="17" t="str">
        <x:v>C06</x:v>
      </x:c>
      <x:c r="F325" s="17" t="str">
        <x:v>韶关虚拟回收/检测中心</x:v>
      </x:c>
      <x:c r="G325" s="17" t="str">
        <x:v>回收中心候选</x:v>
      </x:c>
      <x:c r="H325" s="24" t="n">
        <x:v>113.8155263</x:v>
      </x:c>
      <x:c r="I325" s="24" t="n">
        <x:v>24.8309489</x:v>
      </x:c>
      <x:c r="J325" s="21" t="n">
        <x:f>6371*ACOS(MIN(1,COS(D325*PI()/180)*COS(I325*PI()/180)*COS((H325-C325)*PI()/180)+SIN(D325*PI()/180)*SIN(I325*PI()/180)))</x:f>
        <x:v>240.36191880067403</x:v>
      </x:c>
      <x:c r="K325" s="21" t="n">
        <x:f>'情景参数模板'!$D$31</x:f>
        <x:v>1.2</x:v>
      </x:c>
      <x:c r="L325" s="21" t="n">
        <x:f>J325*K325</x:f>
        <x:v>288.4343025608088</x:v>
      </x:c>
    </x:row>
    <x:row r="326">
      <x:c r="A326" s="17" t="str">
        <x:v>GD08</x:v>
      </x:c>
      <x:c r="B326" s="17" t="str">
        <x:v>梅州</x:v>
      </x:c>
      <x:c r="C326" s="24" t="n">
        <x:v>116.1171428</x:v>
      </x:c>
      <x:c r="D326" s="24" t="n">
        <x:v>24.2918414</x:v>
      </x:c>
      <x:c r="E326" s="17" t="str">
        <x:v>C07</x:v>
      </x:c>
      <x:c r="F326" s="17" t="str">
        <x:v>河源虚拟回收/检测中心</x:v>
      </x:c>
      <x:c r="G326" s="17" t="str">
        <x:v>回收中心候选</x:v>
      </x:c>
      <x:c r="H326" s="24" t="n">
        <x:v>115.0577538</x:v>
      </x:c>
      <x:c r="I326" s="24" t="n">
        <x:v>24.1014769</x:v>
      </x:c>
      <x:c r="J326" s="21" t="n">
        <x:f>6371*ACOS(MIN(1,COS(D326*PI()/180)*COS(I326*PI()/180)*COS((H326-C326)*PI()/180)+SIN(D326*PI()/180)*SIN(I326*PI()/180)))</x:f>
        <x:v>109.51419631408221</x:v>
      </x:c>
      <x:c r="K326" s="21" t="n">
        <x:f>'情景参数模板'!$D$31</x:f>
        <x:v>1.2</x:v>
      </x:c>
      <x:c r="L326" s="21" t="n">
        <x:f>J326*K326</x:f>
        <x:v>131.41703557689866</x:v>
      </x:c>
    </x:row>
    <x:row r="327">
      <x:c r="A327" s="17" t="str">
        <x:v>GD08</x:v>
      </x:c>
      <x:c r="B327" s="17" t="str">
        <x:v>梅州</x:v>
      </x:c>
      <x:c r="C327" s="24" t="n">
        <x:v>116.1171428</x:v>
      </x:c>
      <x:c r="D327" s="24" t="n">
        <x:v>24.2918414</x:v>
      </x:c>
      <x:c r="E327" s="17" t="str">
        <x:v>C08</x:v>
      </x:c>
      <x:c r="F327" s="17" t="str">
        <x:v>梅州虚拟回收/检测中心</x:v>
      </x:c>
      <x:c r="G327" s="17" t="str">
        <x:v>回收中心候选</x:v>
      </x:c>
      <x:c r="H327" s="24" t="n">
        <x:v>116.1171428</x:v>
      </x:c>
      <x:c r="I327" s="24" t="n">
        <x:v>24.2918414</x:v>
      </x:c>
      <x:c r="J327" s="21" t="n">
        <x:f>6371*ACOS(MIN(1,COS(D327*PI()/180)*COS(I327*PI()/180)*COS((H327-C327)*PI()/180)+SIN(D327*PI()/180)*SIN(I327*PI()/180)))</x:f>
        <x:v>0</x:v>
      </x:c>
      <x:c r="K327" s="21" t="n">
        <x:f>'情景参数模板'!$D$31</x:f>
        <x:v>1.2</x:v>
      </x:c>
      <x:c r="L327" s="21" t="n">
        <x:f>J327*K327</x:f>
        <x:v>0</x:v>
      </x:c>
    </x:row>
    <x:row r="328">
      <x:c r="A328" s="17" t="str">
        <x:v>GD08</x:v>
      </x:c>
      <x:c r="B328" s="17" t="str">
        <x:v>梅州</x:v>
      </x:c>
      <x:c r="C328" s="24" t="n">
        <x:v>116.1171428</x:v>
      </x:c>
      <x:c r="D328" s="24" t="n">
        <x:v>24.2918414</x:v>
      </x:c>
      <x:c r="E328" s="17" t="str">
        <x:v>C09</x:v>
      </x:c>
      <x:c r="F328" s="17" t="str">
        <x:v>惠州虚拟回收/检测中心</x:v>
      </x:c>
      <x:c r="G328" s="17" t="str">
        <x:v>回收中心候选</x:v>
      </x:c>
      <x:c r="H328" s="24" t="n">
        <x:v>114.4127007</x:v>
      </x:c>
      <x:c r="I328" s="24" t="n">
        <x:v>23.1125153</x:v>
      </x:c>
      <x:c r="J328" s="21" t="n">
        <x:f>6371*ACOS(MIN(1,COS(D328*PI()/180)*COS(I328*PI()/180)*COS((H328-C328)*PI()/180)+SIN(D328*PI()/180)*SIN(I328*PI()/180)))</x:f>
        <x:v>217.50845727097408</x:v>
      </x:c>
      <x:c r="K328" s="21" t="n">
        <x:f>'情景参数模板'!$D$31</x:f>
        <x:v>1.2</x:v>
      </x:c>
      <x:c r="L328" s="21" t="n">
        <x:f>J328*K328</x:f>
        <x:v>261.0101487251689</x:v>
      </x:c>
    </x:row>
    <x:row r="329">
      <x:c r="A329" s="17" t="str">
        <x:v>GD08</x:v>
      </x:c>
      <x:c r="B329" s="17" t="str">
        <x:v>梅州</x:v>
      </x:c>
      <x:c r="C329" s="24" t="n">
        <x:v>116.1171428</x:v>
      </x:c>
      <x:c r="D329" s="24" t="n">
        <x:v>24.2918414</x:v>
      </x:c>
      <x:c r="E329" s="17" t="str">
        <x:v>C10</x:v>
      </x:c>
      <x:c r="F329" s="17" t="str">
        <x:v>汕尾虚拟回收/检测中心</x:v>
      </x:c>
      <x:c r="G329" s="17" t="str">
        <x:v>回收中心候选</x:v>
      </x:c>
      <x:c r="H329" s="24" t="n">
        <x:v>115.5099937</x:v>
      </x:c>
      <x:c r="I329" s="24" t="n">
        <x:v>23.0123639</x:v>
      </x:c>
      <x:c r="J329" s="21" t="n">
        <x:f>6371*ACOS(MIN(1,COS(D329*PI()/180)*COS(I329*PI()/180)*COS((H329-C329)*PI()/180)+SIN(D329*PI()/180)*SIN(I329*PI()/180)))</x:f>
        <x:v>155.1295576754154</x:v>
      </x:c>
      <x:c r="K329" s="21" t="n">
        <x:f>'情景参数模板'!$D$31</x:f>
        <x:v>1.2</x:v>
      </x:c>
      <x:c r="L329" s="21" t="n">
        <x:f>J329*K329</x:f>
        <x:v>186.1554692104985</x:v>
      </x:c>
    </x:row>
    <x:row r="330">
      <x:c r="A330" s="17" t="str">
        <x:v>GD08</x:v>
      </x:c>
      <x:c r="B330" s="17" t="str">
        <x:v>梅州</x:v>
      </x:c>
      <x:c r="C330" s="24" t="n">
        <x:v>116.1171428</x:v>
      </x:c>
      <x:c r="D330" s="24" t="n">
        <x:v>24.2918414</x:v>
      </x:c>
      <x:c r="E330" s="17" t="str">
        <x:v>C11</x:v>
      </x:c>
      <x:c r="F330" s="17" t="str">
        <x:v>东莞虚拟回收/检测中心</x:v>
      </x:c>
      <x:c r="G330" s="17" t="str">
        <x:v>回收中心候选</x:v>
      </x:c>
      <x:c r="H330" s="24" t="n">
        <x:v>113.7452332</x:v>
      </x:c>
      <x:c r="I330" s="24" t="n">
        <x:v>23.0183568</x:v>
      </x:c>
      <x:c r="J330" s="21" t="n">
        <x:f>6371*ACOS(MIN(1,COS(D330*PI()/180)*COS(I330*PI()/180)*COS((H330-C330)*PI()/180)+SIN(D330*PI()/180)*SIN(I330*PI()/180)))</x:f>
        <x:v>280.0171263652132</x:v>
      </x:c>
      <x:c r="K330" s="21" t="n">
        <x:f>'情景参数模板'!$D$31</x:f>
        <x:v>1.2</x:v>
      </x:c>
      <x:c r="L330" s="21" t="n">
        <x:f>J330*K330</x:f>
        <x:v>336.0205516382558</x:v>
      </x:c>
    </x:row>
    <x:row r="331">
      <x:c r="A331" s="17" t="str">
        <x:v>GD08</x:v>
      </x:c>
      <x:c r="B331" s="17" t="str">
        <x:v>梅州</x:v>
      </x:c>
      <x:c r="C331" s="24" t="n">
        <x:v>116.1171428</x:v>
      </x:c>
      <x:c r="D331" s="24" t="n">
        <x:v>24.2918414</x:v>
      </x:c>
      <x:c r="E331" s="17" t="str">
        <x:v>C12</x:v>
      </x:c>
      <x:c r="F331" s="17" t="str">
        <x:v>中山虚拟回收/检测中心</x:v>
      </x:c>
      <x:c r="G331" s="17" t="str">
        <x:v>回收中心候选</x:v>
      </x:c>
      <x:c r="H331" s="24" t="n">
        <x:v>113.3872302</x:v>
      </x:c>
      <x:c r="I331" s="24" t="n">
        <x:v>22.5197073</x:v>
      </x:c>
      <x:c r="J331" s="21" t="n">
        <x:f>6371*ACOS(MIN(1,COS(D331*PI()/180)*COS(I331*PI()/180)*COS((H331-C331)*PI()/180)+SIN(D331*PI()/180)*SIN(I331*PI()/180)))</x:f>
        <x:v>341.20578199622616</x:v>
      </x:c>
      <x:c r="K331" s="21" t="n">
        <x:f>'情景参数模板'!$D$31</x:f>
        <x:v>1.2</x:v>
      </x:c>
      <x:c r="L331" s="21" t="n">
        <x:f>J331*K331</x:f>
        <x:v>409.44693839547136</x:v>
      </x:c>
    </x:row>
    <x:row r="332">
      <x:c r="A332" s="17" t="str">
        <x:v>GD08</x:v>
      </x:c>
      <x:c r="B332" s="17" t="str">
        <x:v>梅州</x:v>
      </x:c>
      <x:c r="C332" s="24" t="n">
        <x:v>116.1171428</x:v>
      </x:c>
      <x:c r="D332" s="24" t="n">
        <x:v>24.2918414</x:v>
      </x:c>
      <x:c r="E332" s="17" t="str">
        <x:v>C13</x:v>
      </x:c>
      <x:c r="F332" s="17" t="str">
        <x:v>江门虚拟回收/检测中心</x:v>
      </x:c>
      <x:c r="G332" s="17" t="str">
        <x:v>回收中心候选</x:v>
      </x:c>
      <x:c r="H332" s="24" t="n">
        <x:v>113.0761073</x:v>
      </x:c>
      <x:c r="I332" s="24" t="n">
        <x:v>22.5816619</x:v>
      </x:c>
      <x:c r="J332" s="21" t="n">
        <x:f>6371*ACOS(MIN(1,COS(D332*PI()/180)*COS(I332*PI()/180)*COS((H332-C332)*PI()/180)+SIN(D332*PI()/180)*SIN(I332*PI()/180)))</x:f>
        <x:v>363.8717509049327</x:v>
      </x:c>
      <x:c r="K332" s="21" t="n">
        <x:f>'情景参数模板'!$D$31</x:f>
        <x:v>1.2</x:v>
      </x:c>
      <x:c r="L332" s="21" t="n">
        <x:f>J332*K332</x:f>
        <x:v>436.6461010859192</x:v>
      </x:c>
    </x:row>
    <x:row r="333">
      <x:c r="A333" s="17" t="str">
        <x:v>GD08</x:v>
      </x:c>
      <x:c r="B333" s="17" t="str">
        <x:v>梅州</x:v>
      </x:c>
      <x:c r="C333" s="24" t="n">
        <x:v>116.1171428</x:v>
      </x:c>
      <x:c r="D333" s="24" t="n">
        <x:v>24.2918414</x:v>
      </x:c>
      <x:c r="E333" s="17" t="str">
        <x:v>C14</x:v>
      </x:c>
      <x:c r="F333" s="17" t="str">
        <x:v>阳江虚拟回收/检测中心</x:v>
      </x:c>
      <x:c r="G333" s="17" t="str">
        <x:v>回收中心候选</x:v>
      </x:c>
      <x:c r="H333" s="24" t="n">
        <x:v>111.7831393</x:v>
      </x:c>
      <x:c r="I333" s="24" t="n">
        <x:v>22.0958223</x:v>
      </x:c>
      <x:c r="J333" s="21" t="n">
        <x:f>6371*ACOS(MIN(1,COS(D333*PI()/180)*COS(I333*PI()/180)*COS((H333-C333)*PI()/180)+SIN(D333*PI()/180)*SIN(I333*PI()/180)))</x:f>
        <x:v>505.7637863870429</x:v>
      </x:c>
      <x:c r="K333" s="21" t="n">
        <x:f>'情景参数模板'!$D$31</x:f>
        <x:v>1.2</x:v>
      </x:c>
      <x:c r="L333" s="21" t="n">
        <x:f>J333*K333</x:f>
        <x:v>606.9165436644514</x:v>
      </x:c>
    </x:row>
    <x:row r="334">
      <x:c r="A334" s="17" t="str">
        <x:v>GD08</x:v>
      </x:c>
      <x:c r="B334" s="17" t="str">
        <x:v>梅州</x:v>
      </x:c>
      <x:c r="C334" s="24" t="n">
        <x:v>116.1171428</x:v>
      </x:c>
      <x:c r="D334" s="24" t="n">
        <x:v>24.2918414</x:v>
      </x:c>
      <x:c r="E334" s="17" t="str">
        <x:v>C15</x:v>
      </x:c>
      <x:c r="F334" s="17" t="str">
        <x:v>湛江虚拟回收/检测中心</x:v>
      </x:c>
      <x:c r="G334" s="17" t="str">
        <x:v>回收中心候选</x:v>
      </x:c>
      <x:c r="H334" s="24" t="n">
        <x:v>110.3548318</x:v>
      </x:c>
      <x:c r="I334" s="24" t="n">
        <x:v>21.2737079</x:v>
      </x:c>
      <x:c r="J334" s="21" t="n">
        <x:f>6371*ACOS(MIN(1,COS(D334*PI()/180)*COS(I334*PI()/180)*COS((H334-C334)*PI()/180)+SIN(D334*PI()/180)*SIN(I334*PI()/180)))</x:f>
        <x:v>679.2973545741916</x:v>
      </x:c>
      <x:c r="K334" s="21" t="n">
        <x:f>'情景参数模板'!$D$31</x:f>
        <x:v>1.2</x:v>
      </x:c>
      <x:c r="L334" s="21" t="n">
        <x:f>J334*K334</x:f>
        <x:v>815.1568254890299</x:v>
      </x:c>
    </x:row>
    <x:row r="335">
      <x:c r="A335" s="17" t="str">
        <x:v>GD08</x:v>
      </x:c>
      <x:c r="B335" s="17" t="str">
        <x:v>梅州</x:v>
      </x:c>
      <x:c r="C335" s="24" t="n">
        <x:v>116.1171428</x:v>
      </x:c>
      <x:c r="D335" s="24" t="n">
        <x:v>24.2918414</x:v>
      </x:c>
      <x:c r="E335" s="17" t="str">
        <x:v>C16</x:v>
      </x:c>
      <x:c r="F335" s="17" t="str">
        <x:v>茂名虚拟回收/检测中心</x:v>
      </x:c>
      <x:c r="G335" s="17" t="str">
        <x:v>回收中心候选</x:v>
      </x:c>
      <x:c r="H335" s="24" t="n">
        <x:v>110.9209511</x:v>
      </x:c>
      <x:c r="I335" s="24" t="n">
        <x:v>21.6656961</x:v>
      </x:c>
      <x:c r="J335" s="21" t="n">
        <x:f>6371*ACOS(MIN(1,COS(D335*PI()/180)*COS(I335*PI()/180)*COS((H335-C335)*PI()/180)+SIN(D335*PI()/180)*SIN(I335*PI()/180)))</x:f>
        <x:v>606.7362765416557</x:v>
      </x:c>
      <x:c r="K335" s="21" t="n">
        <x:f>'情景参数模板'!$D$31</x:f>
        <x:v>1.2</x:v>
      </x:c>
      <x:c r="L335" s="21" t="n">
        <x:f>J335*K335</x:f>
        <x:v>728.0835318499868</x:v>
      </x:c>
    </x:row>
    <x:row r="336">
      <x:c r="A336" s="17" t="str">
        <x:v>GD08</x:v>
      </x:c>
      <x:c r="B336" s="17" t="str">
        <x:v>梅州</x:v>
      </x:c>
      <x:c r="C336" s="24" t="n">
        <x:v>116.1171428</x:v>
      </x:c>
      <x:c r="D336" s="24" t="n">
        <x:v>24.2918414</x:v>
      </x:c>
      <x:c r="E336" s="17" t="str">
        <x:v>C17</x:v>
      </x:c>
      <x:c r="F336" s="17" t="str">
        <x:v>肇庆虚拟回收/检测中心</x:v>
      </x:c>
      <x:c r="G336" s="17" t="str">
        <x:v>回收中心候选</x:v>
      </x:c>
      <x:c r="H336" s="24" t="n">
        <x:v>112.4603629</x:v>
      </x:c>
      <x:c r="I336" s="24" t="n">
        <x:v>23.0501661</x:v>
      </x:c>
      <x:c r="J336" s="21" t="n">
        <x:f>6371*ACOS(MIN(1,COS(D336*PI()/180)*COS(I336*PI()/180)*COS((H336-C336)*PI()/180)+SIN(D336*PI()/180)*SIN(I336*PI()/180)))</x:f>
        <x:v>397.15515814756486</x:v>
      </x:c>
      <x:c r="K336" s="21" t="n">
        <x:f>'情景参数模板'!$D$31</x:f>
        <x:v>1.2</x:v>
      </x:c>
      <x:c r="L336" s="21" t="n">
        <x:f>J336*K336</x:f>
        <x:v>476.58618977707783</x:v>
      </x:c>
    </x:row>
    <x:row r="337">
      <x:c r="A337" s="17" t="str">
        <x:v>GD08</x:v>
      </x:c>
      <x:c r="B337" s="17" t="str">
        <x:v>梅州</x:v>
      </x:c>
      <x:c r="C337" s="24" t="n">
        <x:v>116.1171428</x:v>
      </x:c>
      <x:c r="D337" s="24" t="n">
        <x:v>24.2918414</x:v>
      </x:c>
      <x:c r="E337" s="17" t="str">
        <x:v>C18</x:v>
      </x:c>
      <x:c r="F337" s="17" t="str">
        <x:v>清远虚拟回收/检测中心</x:v>
      </x:c>
      <x:c r="G337" s="17" t="str">
        <x:v>回收中心候选</x:v>
      </x:c>
      <x:c r="H337" s="24" t="n">
        <x:v>113.0505994</x:v>
      </x:c>
      <x:c r="I337" s="24" t="n">
        <x:v>23.6832984</x:v>
      </x:c>
      <x:c r="J337" s="21" t="n">
        <x:f>6371*ACOS(MIN(1,COS(D337*PI()/180)*COS(I337*PI()/180)*COS((H337-C337)*PI()/180)+SIN(D337*PI()/180)*SIN(I337*PI()/180)))</x:f>
        <x:v>318.7903486527325</x:v>
      </x:c>
      <x:c r="K337" s="21" t="n">
        <x:f>'情景参数模板'!$D$31</x:f>
        <x:v>1.2</x:v>
      </x:c>
      <x:c r="L337" s="21" t="n">
        <x:f>J337*K337</x:f>
        <x:v>382.548418383279</x:v>
      </x:c>
    </x:row>
    <x:row r="338">
      <x:c r="A338" s="17" t="str">
        <x:v>GD08</x:v>
      </x:c>
      <x:c r="B338" s="17" t="str">
        <x:v>梅州</x:v>
      </x:c>
      <x:c r="C338" s="24" t="n">
        <x:v>116.1171428</x:v>
      </x:c>
      <x:c r="D338" s="24" t="n">
        <x:v>24.2918414</x:v>
      </x:c>
      <x:c r="E338" s="17" t="str">
        <x:v>C19</x:v>
      </x:c>
      <x:c r="F338" s="17" t="str">
        <x:v>潮州虚拟回收/检测中心</x:v>
      </x:c>
      <x:c r="G338" s="17" t="str">
        <x:v>回收中心候选</x:v>
      </x:c>
      <x:c r="H338" s="24" t="n">
        <x:v>116.6204223</x:v>
      </x:c>
      <x:c r="I338" s="24" t="n">
        <x:v>23.656593</x:v>
      </x:c>
      <x:c r="J338" s="21" t="n">
        <x:f>6371*ACOS(MIN(1,COS(D338*PI()/180)*COS(I338*PI()/180)*COS((H338-C338)*PI()/180)+SIN(D338*PI()/180)*SIN(I338*PI()/180)))</x:f>
        <x:v>87.2018364205848</x:v>
      </x:c>
      <x:c r="K338" s="21" t="n">
        <x:f>'情景参数模板'!$D$31</x:f>
        <x:v>1.2</x:v>
      </x:c>
      <x:c r="L338" s="21" t="n">
        <x:f>J338*K338</x:f>
        <x:v>104.64220370470176</x:v>
      </x:c>
    </x:row>
    <x:row r="339">
      <x:c r="A339" s="17" t="str">
        <x:v>GD08</x:v>
      </x:c>
      <x:c r="B339" s="17" t="str">
        <x:v>梅州</x:v>
      </x:c>
      <x:c r="C339" s="24" t="n">
        <x:v>116.1171428</x:v>
      </x:c>
      <x:c r="D339" s="24" t="n">
        <x:v>24.2918414</x:v>
      </x:c>
      <x:c r="E339" s="17" t="str">
        <x:v>C20</x:v>
      </x:c>
      <x:c r="F339" s="17" t="str">
        <x:v>揭阳虚拟回收/检测中心</x:v>
      </x:c>
      <x:c r="G339" s="17" t="str">
        <x:v>回收中心候选</x:v>
      </x:c>
      <x:c r="H339" s="24" t="n">
        <x:v>116.3680354</x:v>
      </x:c>
      <x:c r="I339" s="24" t="n">
        <x:v>23.553156</x:v>
      </x:c>
      <x:c r="J339" s="21" t="n">
        <x:f>6371*ACOS(MIN(1,COS(D339*PI()/180)*COS(I339*PI()/180)*COS((H339-C339)*PI()/180)+SIN(D339*PI()/180)*SIN(I339*PI()/180)))</x:f>
        <x:v>86.00563571444273</x:v>
      </x:c>
      <x:c r="K339" s="21" t="n">
        <x:f>'情景参数模板'!$D$31</x:f>
        <x:v>1.2</x:v>
      </x:c>
      <x:c r="L339" s="21" t="n">
        <x:f>J339*K339</x:f>
        <x:v>103.20676285733127</x:v>
      </x:c>
    </x:row>
    <x:row r="340">
      <x:c r="A340" s="17" t="str">
        <x:v>GD08</x:v>
      </x:c>
      <x:c r="B340" s="17" t="str">
        <x:v>梅州</x:v>
      </x:c>
      <x:c r="C340" s="24" t="n">
        <x:v>116.1171428</x:v>
      </x:c>
      <x:c r="D340" s="24" t="n">
        <x:v>24.2918414</x:v>
      </x:c>
      <x:c r="E340" s="17" t="str">
        <x:v>C21</x:v>
      </x:c>
      <x:c r="F340" s="17" t="str">
        <x:v>云浮虚拟回收/检测中心</x:v>
      </x:c>
      <x:c r="G340" s="17" t="str">
        <x:v>回收中心候选</x:v>
      </x:c>
      <x:c r="H340" s="24" t="n">
        <x:v>111.8078586</x:v>
      </x:c>
      <x:c r="I340" s="24" t="n">
        <x:v>22.8546663</x:v>
      </x:c>
      <x:c r="J340" s="21" t="n">
        <x:f>6371*ACOS(MIN(1,COS(D340*PI()/180)*COS(I340*PI()/180)*COS((H340-C340)*PI()/180)+SIN(D340*PI()/180)*SIN(I340*PI()/180)))</x:f>
        <x:v>467.3220230256885</x:v>
      </x:c>
      <x:c r="K340" s="21" t="n">
        <x:f>'情景参数模板'!$D$31</x:f>
        <x:v>1.2</x:v>
      </x:c>
      <x:c r="L340" s="21" t="n">
        <x:f>J340*K340</x:f>
        <x:v>560.7864276308262</x:v>
      </x:c>
    </x:row>
    <x:row r="341">
      <x:c r="A341" s="17" t="str">
        <x:v>GD08</x:v>
      </x:c>
      <x:c r="B341" s="17" t="str">
        <x:v>梅州</x:v>
      </x:c>
      <x:c r="C341" s="24" t="n">
        <x:v>116.1171428</x:v>
      </x:c>
      <x:c r="D341" s="24" t="n">
        <x:v>24.2918414</x:v>
      </x:c>
      <x:c r="E341" s="17" t="str">
        <x:v>P01</x:v>
      </x:c>
      <x:c r="F341" s="17" t="str">
        <x:v>汕尾比亚迪废旧动力电池回收项目</x:v>
      </x:c>
      <x:c r="G341" s="17" t="str">
        <x:v>再生利用</x:v>
      </x:c>
      <x:c r="H341" s="24" t="n">
        <x:v>115.3492668</x:v>
      </x:c>
      <x:c r="I341" s="24" t="n">
        <x:v>22.838065</x:v>
      </x:c>
      <x:c r="J341" s="21" t="n">
        <x:f>6371*ACOS(MIN(1,COS(D341*PI()/180)*COS(I341*PI()/180)*COS((H341-C341)*PI()/180)+SIN(D341*PI()/180)*SIN(I341*PI()/180)))</x:f>
        <x:v>179.60011110253262</x:v>
      </x:c>
      <x:c r="K341" s="21" t="n">
        <x:f>'情景参数模板'!$D$31</x:f>
        <x:v>1.2</x:v>
      </x:c>
      <x:c r="L341" s="21" t="n">
        <x:f>J341*K341</x:f>
        <x:v>215.52013332303915</x:v>
      </x:c>
    </x:row>
    <x:row r="342">
      <x:c r="A342" s="17" t="str">
        <x:v>GD08</x:v>
      </x:c>
      <x:c r="B342" s="17" t="str">
        <x:v>梅州</x:v>
      </x:c>
      <x:c r="C342" s="24" t="n">
        <x:v>116.1171428</x:v>
      </x:c>
      <x:c r="D342" s="24" t="n">
        <x:v>24.2918414</x:v>
      </x:c>
      <x:c r="E342" s="17" t="str">
        <x:v>P02E</x:v>
      </x:c>
      <x:c r="F342" s="17" t="str">
        <x:v>广东光华科技股份有限公司（梯次功能）</x:v>
      </x:c>
      <x:c r="G342" s="17" t="str">
        <x:v>梯次利用</x:v>
      </x:c>
      <x:c r="H342" s="24" t="n">
        <x:v>116.6775856</x:v>
      </x:c>
      <x:c r="I342" s="24" t="n">
        <x:v>23.3563921</x:v>
      </x:c>
      <x:c r="J342" s="21" t="n">
        <x:f>6371*ACOS(MIN(1,COS(D342*PI()/180)*COS(I342*PI()/180)*COS((H342-C342)*PI()/180)+SIN(D342*PI()/180)*SIN(I342*PI()/180)))</x:f>
        <x:v>118.61450484712725</x:v>
      </x:c>
      <x:c r="K342" s="21" t="n">
        <x:f>'情景参数模板'!$D$31</x:f>
        <x:v>1.2</x:v>
      </x:c>
      <x:c r="L342" s="21" t="n">
        <x:f>J342*K342</x:f>
        <x:v>142.3374058165527</x:v>
      </x:c>
    </x:row>
    <x:row r="343">
      <x:c r="A343" s="17" t="str">
        <x:v>GD08</x:v>
      </x:c>
      <x:c r="B343" s="17" t="str">
        <x:v>梅州</x:v>
      </x:c>
      <x:c r="C343" s="24" t="n">
        <x:v>116.1171428</x:v>
      </x:c>
      <x:c r="D343" s="24" t="n">
        <x:v>24.2918414</x:v>
      </x:c>
      <x:c r="E343" s="17" t="str">
        <x:v>P02R</x:v>
      </x:c>
      <x:c r="F343" s="17" t="str">
        <x:v>广东光华科技股份有限公司（再生功能）</x:v>
      </x:c>
      <x:c r="G343" s="17" t="str">
        <x:v>再生利用</x:v>
      </x:c>
      <x:c r="H343" s="24" t="n">
        <x:v>116.6775856</x:v>
      </x:c>
      <x:c r="I343" s="24" t="n">
        <x:v>23.3563921</x:v>
      </x:c>
      <x:c r="J343" s="21" t="n">
        <x:f>6371*ACOS(MIN(1,COS(D343*PI()/180)*COS(I343*PI()/180)*COS((H343-C343)*PI()/180)+SIN(D343*PI()/180)*SIN(I343*PI()/180)))</x:f>
        <x:v>118.61450484712725</x:v>
      </x:c>
      <x:c r="K343" s="21" t="n">
        <x:f>'情景参数模板'!$D$31</x:f>
        <x:v>1.2</x:v>
      </x:c>
      <x:c r="L343" s="21" t="n">
        <x:f>J343*K343</x:f>
        <x:v>142.3374058165527</x:v>
      </x:c>
    </x:row>
    <x:row r="344">
      <x:c r="A344" s="17" t="str">
        <x:v>GD08</x:v>
      </x:c>
      <x:c r="B344" s="17" t="str">
        <x:v>梅州</x:v>
      </x:c>
      <x:c r="C344" s="24" t="n">
        <x:v>116.1171428</x:v>
      </x:c>
      <x:c r="D344" s="24" t="n">
        <x:v>24.2918414</x:v>
      </x:c>
      <x:c r="E344" s="17" t="str">
        <x:v>P03</x:v>
      </x:c>
      <x:c r="F344" s="17" t="str">
        <x:v>深圳深汕特别合作区乾泰技术有限公司</x:v>
      </x:c>
      <x:c r="G344" s="17" t="str">
        <x:v>梯次利用</x:v>
      </x:c>
      <x:c r="H344" s="24" t="n">
        <x:v>115.5099937</x:v>
      </x:c>
      <x:c r="I344" s="24" t="n">
        <x:v>23.0123639</x:v>
      </x:c>
      <x:c r="J344" s="21" t="n">
        <x:f>6371*ACOS(MIN(1,COS(D344*PI()/180)*COS(I344*PI()/180)*COS((H344-C344)*PI()/180)+SIN(D344*PI()/180)*SIN(I344*PI()/180)))</x:f>
        <x:v>155.1295576754154</x:v>
      </x:c>
      <x:c r="K344" s="21" t="n">
        <x:f>'情景参数模板'!$D$31</x:f>
        <x:v>1.2</x:v>
      </x:c>
      <x:c r="L344" s="21" t="n">
        <x:f>J344*K344</x:f>
        <x:v>186.1554692104985</x:v>
      </x:c>
    </x:row>
    <x:row r="345">
      <x:c r="A345" s="17" t="str">
        <x:v>GD08</x:v>
      </x:c>
      <x:c r="B345" s="17" t="str">
        <x:v>梅州</x:v>
      </x:c>
      <x:c r="C345" s="24" t="n">
        <x:v>116.1171428</x:v>
      </x:c>
      <x:c r="D345" s="24" t="n">
        <x:v>24.2918414</x:v>
      </x:c>
      <x:c r="E345" s="17" t="str">
        <x:v>P04</x:v>
      </x:c>
      <x:c r="F345" s="17" t="str">
        <x:v>珠海中力新能源科技有限公司</x:v>
      </x:c>
      <x:c r="G345" s="17" t="str">
        <x:v>梯次利用</x:v>
      </x:c>
      <x:c r="H345" s="24" t="n">
        <x:v>113.5721327</x:v>
      </x:c>
      <x:c r="I345" s="24" t="n">
        <x:v>22.273734</x:v>
      </x:c>
      <x:c r="J345" s="21" t="n">
        <x:f>6371*ACOS(MIN(1,COS(D345*PI()/180)*COS(I345*PI()/180)*COS((H345-C345)*PI()/180)+SIN(D345*PI()/180)*SIN(I345*PI()/180)))</x:f>
        <x:v>343.3898243843036</x:v>
      </x:c>
      <x:c r="K345" s="21" t="n">
        <x:f>'情景参数模板'!$D$31</x:f>
        <x:v>1.2</x:v>
      </x:c>
      <x:c r="L345" s="21" t="n">
        <x:f>J345*K345</x:f>
        <x:v>412.0677892611643</x:v>
      </x:c>
    </x:row>
    <x:row r="346">
      <x:c r="A346" s="17" t="str">
        <x:v>GD08</x:v>
      </x:c>
      <x:c r="B346" s="17" t="str">
        <x:v>梅州</x:v>
      </x:c>
      <x:c r="C346" s="24" t="n">
        <x:v>116.1171428</x:v>
      </x:c>
      <x:c r="D346" s="24" t="n">
        <x:v>24.2918414</x:v>
      </x:c>
      <x:c r="E346" s="17" t="str">
        <x:v>P05</x:v>
      </x:c>
      <x:c r="F346" s="17" t="str">
        <x:v>惠州市恒创睿能环保科技有限公司</x:v>
      </x:c>
      <x:c r="G346" s="17" t="str">
        <x:v>梯次利用</x:v>
      </x:c>
      <x:c r="H346" s="24" t="n">
        <x:v>114.4127007</x:v>
      </x:c>
      <x:c r="I346" s="24" t="n">
        <x:v>23.1125153</x:v>
      </x:c>
      <x:c r="J346" s="21" t="n">
        <x:f>6371*ACOS(MIN(1,COS(D346*PI()/180)*COS(I346*PI()/180)*COS((H346-C346)*PI()/180)+SIN(D346*PI()/180)*SIN(I346*PI()/180)))</x:f>
        <x:v>217.50845727097408</x:v>
      </x:c>
      <x:c r="K346" s="21" t="n">
        <x:f>'情景参数模板'!$D$31</x:f>
        <x:v>1.2</x:v>
      </x:c>
      <x:c r="L346" s="21" t="n">
        <x:f>J346*K346</x:f>
        <x:v>261.0101487251689</x:v>
      </x:c>
    </x:row>
    <x:row r="347">
      <x:c r="A347" s="17" t="str">
        <x:v>GD08</x:v>
      </x:c>
      <x:c r="B347" s="17" t="str">
        <x:v>梅州</x:v>
      </x:c>
      <x:c r="C347" s="24" t="n">
        <x:v>116.1171428</x:v>
      </x:c>
      <x:c r="D347" s="24" t="n">
        <x:v>24.2918414</x:v>
      </x:c>
      <x:c r="E347" s="17" t="str">
        <x:v>P06</x:v>
      </x:c>
      <x:c r="F347" s="17" t="str">
        <x:v>江门市朗达锂电池有限公司</x:v>
      </x:c>
      <x:c r="G347" s="17" t="str">
        <x:v>梯次利用</x:v>
      </x:c>
      <x:c r="H347" s="24" t="n">
        <x:v>113.0761073</x:v>
      </x:c>
      <x:c r="I347" s="24" t="n">
        <x:v>22.5816619</x:v>
      </x:c>
      <x:c r="J347" s="21" t="n">
        <x:f>6371*ACOS(MIN(1,COS(D347*PI()/180)*COS(I347*PI()/180)*COS((H347-C347)*PI()/180)+SIN(D347*PI()/180)*SIN(I347*PI()/180)))</x:f>
        <x:v>363.8717509049327</x:v>
      </x:c>
      <x:c r="K347" s="21" t="n">
        <x:f>'情景参数模板'!$D$31</x:f>
        <x:v>1.2</x:v>
      </x:c>
      <x:c r="L347" s="21" t="n">
        <x:f>J347*K347</x:f>
        <x:v>436.6461010859192</x:v>
      </x:c>
    </x:row>
    <x:row r="348">
      <x:c r="A348" s="17" t="str">
        <x:v>GD08</x:v>
      </x:c>
      <x:c r="B348" s="17" t="str">
        <x:v>梅州</x:v>
      </x:c>
      <x:c r="C348" s="24" t="n">
        <x:v>116.1171428</x:v>
      </x:c>
      <x:c r="D348" s="24" t="n">
        <x:v>24.2918414</x:v>
      </x:c>
      <x:c r="E348" s="17" t="str">
        <x:v>P07</x:v>
      </x:c>
      <x:c r="F348" s="17" t="str">
        <x:v>广东迪度新能源有限公司</x:v>
      </x:c>
      <x:c r="G348" s="17" t="str">
        <x:v>梯次利用</x:v>
      </x:c>
      <x:c r="H348" s="24" t="n">
        <x:v>113.7452332</x:v>
      </x:c>
      <x:c r="I348" s="24" t="n">
        <x:v>23.0183568</x:v>
      </x:c>
      <x:c r="J348" s="21" t="n">
        <x:f>6371*ACOS(MIN(1,COS(D348*PI()/180)*COS(I348*PI()/180)*COS((H348-C348)*PI()/180)+SIN(D348*PI()/180)*SIN(I348*PI()/180)))</x:f>
        <x:v>280.0171263652132</x:v>
      </x:c>
      <x:c r="K348" s="21" t="n">
        <x:f>'情景参数模板'!$D$31</x:f>
        <x:v>1.2</x:v>
      </x:c>
      <x:c r="L348" s="21" t="n">
        <x:f>J348*K348</x:f>
        <x:v>336.0205516382558</x:v>
      </x:c>
    </x:row>
    <x:row r="349">
      <x:c r="A349" s="17" t="str">
        <x:v>GD08</x:v>
      </x:c>
      <x:c r="B349" s="17" t="str">
        <x:v>梅州</x:v>
      </x:c>
      <x:c r="C349" s="24" t="n">
        <x:v>116.1171428</x:v>
      </x:c>
      <x:c r="D349" s="24" t="n">
        <x:v>24.2918414</x:v>
      </x:c>
      <x:c r="E349" s="17" t="str">
        <x:v>P08</x:v>
      </x:c>
      <x:c r="F349" s="17" t="str">
        <x:v>东莞市博森新能源有限公司</x:v>
      </x:c>
      <x:c r="G349" s="17" t="str">
        <x:v>梯次利用</x:v>
      </x:c>
      <x:c r="H349" s="24" t="n">
        <x:v>113.7452332</x:v>
      </x:c>
      <x:c r="I349" s="24" t="n">
        <x:v>23.0183568</x:v>
      </x:c>
      <x:c r="J349" s="21" t="n">
        <x:f>6371*ACOS(MIN(1,COS(D349*PI()/180)*COS(I349*PI()/180)*COS((H349-C349)*PI()/180)+SIN(D349*PI()/180)*SIN(I349*PI()/180)))</x:f>
        <x:v>280.0171263652132</x:v>
      </x:c>
      <x:c r="K349" s="21" t="n">
        <x:f>'情景参数模板'!$D$31</x:f>
        <x:v>1.2</x:v>
      </x:c>
      <x:c r="L349" s="21" t="n">
        <x:f>J349*K349</x:f>
        <x:v>336.0205516382558</x:v>
      </x:c>
    </x:row>
    <x:row r="350">
      <x:c r="A350" s="17" t="str">
        <x:v>GD08</x:v>
      </x:c>
      <x:c r="B350" s="17" t="str">
        <x:v>梅州</x:v>
      </x:c>
      <x:c r="C350" s="24" t="n">
        <x:v>116.1171428</x:v>
      </x:c>
      <x:c r="D350" s="24" t="n">
        <x:v>24.2918414</x:v>
      </x:c>
      <x:c r="E350" s="17" t="str">
        <x:v>P09</x:v>
      </x:c>
      <x:c r="F350" s="17" t="str">
        <x:v>广东宇阳新能源有限公司</x:v>
      </x:c>
      <x:c r="G350" s="17" t="str">
        <x:v>梯次利用</x:v>
      </x:c>
      <x:c r="H350" s="24" t="n">
        <x:v>113.7452332</x:v>
      </x:c>
      <x:c r="I350" s="24" t="n">
        <x:v>23.0183568</x:v>
      </x:c>
      <x:c r="J350" s="21" t="n">
        <x:f>6371*ACOS(MIN(1,COS(D350*PI()/180)*COS(I350*PI()/180)*COS((H350-C350)*PI()/180)+SIN(D350*PI()/180)*SIN(I350*PI()/180)))</x:f>
        <x:v>280.0171263652132</x:v>
      </x:c>
      <x:c r="K350" s="21" t="n">
        <x:f>'情景参数模板'!$D$31</x:f>
        <x:v>1.2</x:v>
      </x:c>
      <x:c r="L350" s="21" t="n">
        <x:f>J350*K350</x:f>
        <x:v>336.0205516382558</x:v>
      </x:c>
    </x:row>
    <x:row r="351">
      <x:c r="A351" s="17" t="str">
        <x:v>GD08</x:v>
      </x:c>
      <x:c r="B351" s="17" t="str">
        <x:v>梅州</x:v>
      </x:c>
      <x:c r="C351" s="24" t="n">
        <x:v>116.1171428</x:v>
      </x:c>
      <x:c r="D351" s="24" t="n">
        <x:v>24.2918414</x:v>
      </x:c>
      <x:c r="E351" s="17" t="str">
        <x:v>P10</x:v>
      </x:c>
      <x:c r="F351" s="17" t="str">
        <x:v>广州广汽商贸再生资源有限公司</x:v>
      </x:c>
      <x:c r="G351" s="17" t="str">
        <x:v>梯次利用</x:v>
      </x:c>
      <x:c r="H351" s="24" t="n">
        <x:v>113.2589581</x:v>
      </x:c>
      <x:c r="I351" s="24" t="n">
        <x:v>23.1288429</x:v>
      </x:c>
      <x:c r="J351" s="21" t="n">
        <x:f>6371*ACOS(MIN(1,COS(D351*PI()/180)*COS(I351*PI()/180)*COS((H351-C351)*PI()/180)+SIN(D351*PI()/180)*SIN(I351*PI()/180)))</x:f>
        <x:v>318.4189220790422</x:v>
      </x:c>
      <x:c r="K351" s="21" t="n">
        <x:f>'情景参数模板'!$D$31</x:f>
        <x:v>1.2</x:v>
      </x:c>
      <x:c r="L351" s="21" t="n">
        <x:f>J351*K351</x:f>
        <x:v>382.1027064948506</x:v>
      </x:c>
    </x:row>
    <x:row r="352">
      <x:c r="A352" s="17" t="str">
        <x:v>GD08</x:v>
      </x:c>
      <x:c r="B352" s="17" t="str">
        <x:v>梅州</x:v>
      </x:c>
      <x:c r="C352" s="24" t="n">
        <x:v>116.1171428</x:v>
      </x:c>
      <x:c r="D352" s="24" t="n">
        <x:v>24.2918414</x:v>
      </x:c>
      <x:c r="E352" s="17" t="str">
        <x:v>P11</x:v>
      </x:c>
      <x:c r="F352" s="17" t="str">
        <x:v>深圳市杰成镍钴新能源科技有限公司</x:v>
      </x:c>
      <x:c r="G352" s="17" t="str">
        <x:v>梯次利用</x:v>
      </x:c>
      <x:c r="H352" s="24" t="n">
        <x:v>114.0545429</x:v>
      </x:c>
      <x:c r="I352" s="24" t="n">
        <x:v>22.5445741</x:v>
      </x:c>
      <x:c r="J352" s="21" t="n">
        <x:f>6371*ACOS(MIN(1,COS(D352*PI()/180)*COS(I352*PI()/180)*COS((H352-C352)*PI()/180)+SIN(D352*PI()/180)*SIN(I352*PI()/180)))</x:f>
        <x:v>286.41624544813754</x:v>
      </x:c>
      <x:c r="K352" s="21" t="n">
        <x:f>'情景参数模板'!$D$31</x:f>
        <x:v>1.2</x:v>
      </x:c>
      <x:c r="L352" s="21" t="n">
        <x:f>J352*K352</x:f>
        <x:v>343.699494537765</x:v>
      </x:c>
    </x:row>
    <x:row r="353">
      <x:c r="A353" s="17" t="str">
        <x:v>GD08</x:v>
      </x:c>
      <x:c r="B353" s="17" t="str">
        <x:v>梅州</x:v>
      </x:c>
      <x:c r="C353" s="24" t="n">
        <x:v>116.1171428</x:v>
      </x:c>
      <x:c r="D353" s="24" t="n">
        <x:v>24.2918414</x:v>
      </x:c>
      <x:c r="E353" s="17" t="str">
        <x:v>P12</x:v>
      </x:c>
      <x:c r="F353" s="17" t="str">
        <x:v>江门市恒创睿能环保科技有限公司</x:v>
      </x:c>
      <x:c r="G353" s="17" t="str">
        <x:v>再生利用</x:v>
      </x:c>
      <x:c r="H353" s="24" t="n">
        <x:v>113.0761073</x:v>
      </x:c>
      <x:c r="I353" s="24" t="n">
        <x:v>22.5816619</x:v>
      </x:c>
      <x:c r="J353" s="21" t="n">
        <x:f>6371*ACOS(MIN(1,COS(D353*PI()/180)*COS(I353*PI()/180)*COS((H353-C353)*PI()/180)+SIN(D353*PI()/180)*SIN(I353*PI()/180)))</x:f>
        <x:v>363.8717509049327</x:v>
      </x:c>
      <x:c r="K353" s="21" t="n">
        <x:f>'情景参数模板'!$D$31</x:f>
        <x:v>1.2</x:v>
      </x:c>
      <x:c r="L353" s="21" t="n">
        <x:f>J353*K353</x:f>
        <x:v>436.6461010859192</x:v>
      </x:c>
    </x:row>
    <x:row r="354">
      <x:c r="A354" s="17" t="str">
        <x:v>GD08</x:v>
      </x:c>
      <x:c r="B354" s="17" t="str">
        <x:v>梅州</x:v>
      </x:c>
      <x:c r="C354" s="24" t="n">
        <x:v>116.1171428</x:v>
      </x:c>
      <x:c r="D354" s="24" t="n">
        <x:v>24.2918414</x:v>
      </x:c>
      <x:c r="E354" s="17" t="str">
        <x:v>P13</x:v>
      </x:c>
      <x:c r="F354" s="17" t="str">
        <x:v>广东佳纳能源科技有限公司</x:v>
      </x:c>
      <x:c r="G354" s="17" t="str">
        <x:v>再生利用</x:v>
      </x:c>
      <x:c r="H354" s="24" t="n">
        <x:v>113.0505994</x:v>
      </x:c>
      <x:c r="I354" s="24" t="n">
        <x:v>23.6832984</x:v>
      </x:c>
      <x:c r="J354" s="21" t="n">
        <x:f>6371*ACOS(MIN(1,COS(D354*PI()/180)*COS(I354*PI()/180)*COS((H354-C354)*PI()/180)+SIN(D354*PI()/180)*SIN(I354*PI()/180)))</x:f>
        <x:v>318.7903486527325</x:v>
      </x:c>
      <x:c r="K354" s="21" t="n">
        <x:f>'情景参数模板'!$D$31</x:f>
        <x:v>1.2</x:v>
      </x:c>
      <x:c r="L354" s="21" t="n">
        <x:f>J354*K354</x:f>
        <x:v>382.548418383279</x:v>
      </x:c>
    </x:row>
    <x:row r="355">
      <x:c r="A355" s="17" t="str">
        <x:v>GD08</x:v>
      </x:c>
      <x:c r="B355" s="17" t="str">
        <x:v>梅州</x:v>
      </x:c>
      <x:c r="C355" s="24" t="n">
        <x:v>116.1171428</x:v>
      </x:c>
      <x:c r="D355" s="24" t="n">
        <x:v>24.2918414</x:v>
      </x:c>
      <x:c r="E355" s="17" t="str">
        <x:v>P14</x:v>
      </x:c>
      <x:c r="F355" s="17" t="str">
        <x:v>格林美（深圳）循环科技有限公司</x:v>
      </x:c>
      <x:c r="G355" s="17" t="str">
        <x:v>梯次利用</x:v>
      </x:c>
      <x:c r="H355" s="24" t="n">
        <x:v>114.0545429</x:v>
      </x:c>
      <x:c r="I355" s="24" t="n">
        <x:v>22.5445741</x:v>
      </x:c>
      <x:c r="J355" s="21" t="n">
        <x:f>6371*ACOS(MIN(1,COS(D355*PI()/180)*COS(I355*PI()/180)*COS((H355-C355)*PI()/180)+SIN(D355*PI()/180)*SIN(I355*PI()/180)))</x:f>
        <x:v>286.41624544813754</x:v>
      </x:c>
      <x:c r="K355" s="21" t="n">
        <x:f>'情景参数模板'!$D$31</x:f>
        <x:v>1.2</x:v>
      </x:c>
      <x:c r="L355" s="21" t="n">
        <x:f>J355*K355</x:f>
        <x:v>343.699494537765</x:v>
      </x:c>
    </x:row>
    <x:row r="356">
      <x:c r="A356" s="17" t="str">
        <x:v>GD08</x:v>
      </x:c>
      <x:c r="B356" s="17" t="str">
        <x:v>梅州</x:v>
      </x:c>
      <x:c r="C356" s="24" t="n">
        <x:v>116.1171428</x:v>
      </x:c>
      <x:c r="D356" s="24" t="n">
        <x:v>24.2918414</x:v>
      </x:c>
      <x:c r="E356" s="17" t="str">
        <x:v>P15</x:v>
      </x:c>
      <x:c r="F356" s="17" t="str">
        <x:v>绿循新能源科技（佛山）有限责任公司</x:v>
      </x:c>
      <x:c r="G356" s="17" t="str">
        <x:v>梯次利用</x:v>
      </x:c>
      <x:c r="H356" s="24" t="n">
        <x:v>113.1159558</x:v>
      </x:c>
      <x:c r="I356" s="24" t="n">
        <x:v>23.0239788</x:v>
      </x:c>
      <x:c r="J356" s="21" t="n">
        <x:f>6371*ACOS(MIN(1,COS(D356*PI()/180)*COS(I356*PI()/180)*COS((H356-C356)*PI()/180)+SIN(D356*PI()/180)*SIN(I356*PI()/180)))</x:f>
        <x:v>336.6010751478147</x:v>
      </x:c>
      <x:c r="K356" s="21" t="n">
        <x:f>'情景参数模板'!$D$31</x:f>
        <x:v>1.2</x:v>
      </x:c>
      <x:c r="L356" s="21" t="n">
        <x:f>J356*K356</x:f>
        <x:v>403.9212901773776</x:v>
      </x:c>
    </x:row>
    <x:row r="357">
      <x:c r="A357" s="17" t="str">
        <x:v>GD08</x:v>
      </x:c>
      <x:c r="B357" s="17" t="str">
        <x:v>梅州</x:v>
      </x:c>
      <x:c r="C357" s="24" t="n">
        <x:v>116.1171428</x:v>
      </x:c>
      <x:c r="D357" s="24" t="n">
        <x:v>24.2918414</x:v>
      </x:c>
      <x:c r="E357" s="17" t="str">
        <x:v>P16</x:v>
      </x:c>
      <x:c r="F357" s="17" t="str">
        <x:v>深圳艾云动智慧科技有限公司</x:v>
      </x:c>
      <x:c r="G357" s="17" t="str">
        <x:v>梯次利用</x:v>
      </x:c>
      <x:c r="H357" s="24" t="n">
        <x:v>114.0545429</x:v>
      </x:c>
      <x:c r="I357" s="24" t="n">
        <x:v>22.5445741</x:v>
      </x:c>
      <x:c r="J357" s="21" t="n">
        <x:f>6371*ACOS(MIN(1,COS(D357*PI()/180)*COS(I357*PI()/180)*COS((H357-C357)*PI()/180)+SIN(D357*PI()/180)*SIN(I357*PI()/180)))</x:f>
        <x:v>286.41624544813754</x:v>
      </x:c>
      <x:c r="K357" s="21" t="n">
        <x:f>'情景参数模板'!$D$31</x:f>
        <x:v>1.2</x:v>
      </x:c>
      <x:c r="L357" s="21" t="n">
        <x:f>J357*K357</x:f>
        <x:v>343.699494537765</x:v>
      </x:c>
    </x:row>
    <x:row r="358">
      <x:c r="A358" s="17" t="str">
        <x:v>GD08</x:v>
      </x:c>
      <x:c r="B358" s="17" t="str">
        <x:v>梅州</x:v>
      </x:c>
      <x:c r="C358" s="24" t="n">
        <x:v>116.1171428</x:v>
      </x:c>
      <x:c r="D358" s="24" t="n">
        <x:v>24.2918414</x:v>
      </x:c>
      <x:c r="E358" s="17" t="str">
        <x:v>P17</x:v>
      </x:c>
      <x:c r="F358" s="17" t="str">
        <x:v>深圳市荣高晟新能源科技有限公司</x:v>
      </x:c>
      <x:c r="G358" s="17" t="str">
        <x:v>梯次利用</x:v>
      </x:c>
      <x:c r="H358" s="24" t="n">
        <x:v>114.0545429</x:v>
      </x:c>
      <x:c r="I358" s="24" t="n">
        <x:v>22.5445741</x:v>
      </x:c>
      <x:c r="J358" s="21" t="n">
        <x:f>6371*ACOS(MIN(1,COS(D358*PI()/180)*COS(I358*PI()/180)*COS((H358-C358)*PI()/180)+SIN(D358*PI()/180)*SIN(I358*PI()/180)))</x:f>
        <x:v>286.41624544813754</x:v>
      </x:c>
      <x:c r="K358" s="21" t="n">
        <x:f>'情景参数模板'!$D$31</x:f>
        <x:v>1.2</x:v>
      </x:c>
      <x:c r="L358" s="21" t="n">
        <x:f>J358*K358</x:f>
        <x:v>343.699494537765</x:v>
      </x:c>
    </x:row>
    <x:row r="359">
      <x:c r="A359" s="17" t="str">
        <x:v>GD08</x:v>
      </x:c>
      <x:c r="B359" s="17" t="str">
        <x:v>梅州</x:v>
      </x:c>
      <x:c r="C359" s="24" t="n">
        <x:v>116.1171428</x:v>
      </x:c>
      <x:c r="D359" s="24" t="n">
        <x:v>24.2918414</x:v>
      </x:c>
      <x:c r="E359" s="17" t="str">
        <x:v>P18</x:v>
      </x:c>
      <x:c r="F359" s="17" t="str">
        <x:v>中商锂新能源科技（惠州）有限公司</x:v>
      </x:c>
      <x:c r="G359" s="17" t="str">
        <x:v>梯次利用</x:v>
      </x:c>
      <x:c r="H359" s="24" t="n">
        <x:v>114.4127007</x:v>
      </x:c>
      <x:c r="I359" s="24" t="n">
        <x:v>23.1125153</x:v>
      </x:c>
      <x:c r="J359" s="21" t="n">
        <x:f>6371*ACOS(MIN(1,COS(D359*PI()/180)*COS(I359*PI()/180)*COS((H359-C359)*PI()/180)+SIN(D359*PI()/180)*SIN(I359*PI()/180)))</x:f>
        <x:v>217.50845727097408</x:v>
      </x:c>
      <x:c r="K359" s="21" t="n">
        <x:f>'情景参数模板'!$D$31</x:f>
        <x:v>1.2</x:v>
      </x:c>
      <x:c r="L359" s="21" t="n">
        <x:f>J359*K359</x:f>
        <x:v>261.0101487251689</x:v>
      </x:c>
    </x:row>
    <x:row r="360">
      <x:c r="A360" s="17" t="str">
        <x:v>GD08</x:v>
      </x:c>
      <x:c r="B360" s="17" t="str">
        <x:v>梅州</x:v>
      </x:c>
      <x:c r="C360" s="24" t="n">
        <x:v>116.1171428</x:v>
      </x:c>
      <x:c r="D360" s="24" t="n">
        <x:v>24.2918414</x:v>
      </x:c>
      <x:c r="E360" s="17" t="str">
        <x:v>P19</x:v>
      </x:c>
      <x:c r="F360" s="17" t="str">
        <x:v>广东盛祥新材料科技有限公司</x:v>
      </x:c>
      <x:c r="G360" s="17" t="str">
        <x:v>再生利用</x:v>
      </x:c>
      <x:c r="H360" s="24" t="n">
        <x:v>113.8155263</x:v>
      </x:c>
      <x:c r="I360" s="24" t="n">
        <x:v>24.8309489</x:v>
      </x:c>
      <x:c r="J360" s="21" t="n">
        <x:f>6371*ACOS(MIN(1,COS(D360*PI()/180)*COS(I360*PI()/180)*COS((H360-C360)*PI()/180)+SIN(D360*PI()/180)*SIN(I360*PI()/180)))</x:f>
        <x:v>240.36191880067403</x:v>
      </x:c>
      <x:c r="K360" s="21" t="n">
        <x:f>'情景参数模板'!$D$31</x:f>
        <x:v>1.2</x:v>
      </x:c>
      <x:c r="L360" s="21" t="n">
        <x:f>J360*K360</x:f>
        <x:v>288.4343025608088</x:v>
      </x:c>
    </x:row>
    <x:row r="361">
      <x:c r="A361" s="17" t="str">
        <x:v>GD08</x:v>
      </x:c>
      <x:c r="B361" s="17" t="str">
        <x:v>梅州</x:v>
      </x:c>
      <x:c r="C361" s="24" t="n">
        <x:v>116.1171428</x:v>
      </x:c>
      <x:c r="D361" s="24" t="n">
        <x:v>24.2918414</x:v>
      </x:c>
      <x:c r="E361" s="17" t="str">
        <x:v>P20E</x:v>
      </x:c>
      <x:c r="F361" s="17" t="str">
        <x:v>广东金晟新能源股份有限公司（梯次功能）</x:v>
      </x:c>
      <x:c r="G361" s="17" t="str">
        <x:v>梯次利用</x:v>
      </x:c>
      <x:c r="H361" s="24" t="n">
        <x:v>112.4603629</x:v>
      </x:c>
      <x:c r="I361" s="24" t="n">
        <x:v>23.0501661</x:v>
      </x:c>
      <x:c r="J361" s="21" t="n">
        <x:f>6371*ACOS(MIN(1,COS(D361*PI()/180)*COS(I361*PI()/180)*COS((H361-C361)*PI()/180)+SIN(D361*PI()/180)*SIN(I361*PI()/180)))</x:f>
        <x:v>397.15515814756486</x:v>
      </x:c>
      <x:c r="K361" s="21" t="n">
        <x:f>'情景参数模板'!$D$31</x:f>
        <x:v>1.2</x:v>
      </x:c>
      <x:c r="L361" s="21" t="n">
        <x:f>J361*K361</x:f>
        <x:v>476.58618977707783</x:v>
      </x:c>
    </x:row>
    <x:row r="362">
      <x:c r="A362" s="17" t="str">
        <x:v>GD08</x:v>
      </x:c>
      <x:c r="B362" s="17" t="str">
        <x:v>梅州</x:v>
      </x:c>
      <x:c r="C362" s="24" t="n">
        <x:v>116.1171428</x:v>
      </x:c>
      <x:c r="D362" s="24" t="n">
        <x:v>24.2918414</x:v>
      </x:c>
      <x:c r="E362" s="17" t="str">
        <x:v>P20R</x:v>
      </x:c>
      <x:c r="F362" s="17" t="str">
        <x:v>广东金晟新能源股份有限公司（再生功能）</x:v>
      </x:c>
      <x:c r="G362" s="17" t="str">
        <x:v>再生利用</x:v>
      </x:c>
      <x:c r="H362" s="24" t="n">
        <x:v>112.4603629</x:v>
      </x:c>
      <x:c r="I362" s="24" t="n">
        <x:v>23.0501661</x:v>
      </x:c>
      <x:c r="J362" s="21" t="n">
        <x:f>6371*ACOS(MIN(1,COS(D362*PI()/180)*COS(I362*PI()/180)*COS((H362-C362)*PI()/180)+SIN(D362*PI()/180)*SIN(I362*PI()/180)))</x:f>
        <x:v>397.15515814756486</x:v>
      </x:c>
      <x:c r="K362" s="21" t="n">
        <x:f>'情景参数模板'!$D$31</x:f>
        <x:v>1.2</x:v>
      </x:c>
      <x:c r="L362" s="21" t="n">
        <x:f>J362*K362</x:f>
        <x:v>476.58618977707783</x:v>
      </x:c>
    </x:row>
    <x:row r="363">
      <x:c r="A363" s="17" t="str">
        <x:v>GD08</x:v>
      </x:c>
      <x:c r="B363" s="17" t="str">
        <x:v>梅州</x:v>
      </x:c>
      <x:c r="C363" s="24" t="n">
        <x:v>116.1171428</x:v>
      </x:c>
      <x:c r="D363" s="24" t="n">
        <x:v>24.2918414</x:v>
      </x:c>
      <x:c r="E363" s="17" t="str">
        <x:v>P21E</x:v>
      </x:c>
      <x:c r="F363" s="17" t="str">
        <x:v>广东瑞科美电源技术有限公司（梯次功能）</x:v>
      </x:c>
      <x:c r="G363" s="17" t="str">
        <x:v>梯次利用</x:v>
      </x:c>
      <x:c r="H363" s="24" t="n">
        <x:v>113.1159558</x:v>
      </x:c>
      <x:c r="I363" s="24" t="n">
        <x:v>23.0239788</x:v>
      </x:c>
      <x:c r="J363" s="21" t="n">
        <x:f>6371*ACOS(MIN(1,COS(D363*PI()/180)*COS(I363*PI()/180)*COS((H363-C363)*PI()/180)+SIN(D363*PI()/180)*SIN(I363*PI()/180)))</x:f>
        <x:v>336.6010751478147</x:v>
      </x:c>
      <x:c r="K363" s="21" t="n">
        <x:f>'情景参数模板'!$D$31</x:f>
        <x:v>1.2</x:v>
      </x:c>
      <x:c r="L363" s="21" t="n">
        <x:f>J363*K363</x:f>
        <x:v>403.9212901773776</x:v>
      </x:c>
    </x:row>
    <x:row r="364">
      <x:c r="A364" s="17" t="str">
        <x:v>GD08</x:v>
      </x:c>
      <x:c r="B364" s="17" t="str">
        <x:v>梅州</x:v>
      </x:c>
      <x:c r="C364" s="24" t="n">
        <x:v>116.1171428</x:v>
      </x:c>
      <x:c r="D364" s="24" t="n">
        <x:v>24.2918414</x:v>
      </x:c>
      <x:c r="E364" s="17" t="str">
        <x:v>P21R</x:v>
      </x:c>
      <x:c r="F364" s="17" t="str">
        <x:v>广东瑞科美电源技术有限公司（再生功能）</x:v>
      </x:c>
      <x:c r="G364" s="17" t="str">
        <x:v>再生利用</x:v>
      </x:c>
      <x:c r="H364" s="24" t="n">
        <x:v>113.1159558</x:v>
      </x:c>
      <x:c r="I364" s="24" t="n">
        <x:v>23.0239788</x:v>
      </x:c>
      <x:c r="J364" s="21" t="n">
        <x:f>6371*ACOS(MIN(1,COS(D364*PI()/180)*COS(I364*PI()/180)*COS((H364-C364)*PI()/180)+SIN(D364*PI()/180)*SIN(I364*PI()/180)))</x:f>
        <x:v>336.6010751478147</x:v>
      </x:c>
      <x:c r="K364" s="21" t="n">
        <x:f>'情景参数模板'!$D$31</x:f>
        <x:v>1.2</x:v>
      </x:c>
      <x:c r="L364" s="21" t="n">
        <x:f>J364*K364</x:f>
        <x:v>403.9212901773776</x:v>
      </x:c>
    </x:row>
    <x:row r="365">
      <x:c r="A365" s="17" t="str">
        <x:v>GD09</x:v>
      </x:c>
      <x:c r="B365" s="17" t="str">
        <x:v>惠州</x:v>
      </x:c>
      <x:c r="C365" s="24" t="n">
        <x:v>114.4127007</x:v>
      </x:c>
      <x:c r="D365" s="24" t="n">
        <x:v>23.1125153</x:v>
      </x:c>
      <x:c r="E365" s="17" t="str">
        <x:v>C01</x:v>
      </x:c>
      <x:c r="F365" s="17" t="str">
        <x:v>广州虚拟回收/检测中心</x:v>
      </x:c>
      <x:c r="G365" s="17" t="str">
        <x:v>回收中心候选</x:v>
      </x:c>
      <x:c r="H365" s="24" t="n">
        <x:v>113.2589581</x:v>
      </x:c>
      <x:c r="I365" s="24" t="n">
        <x:v>23.1288429</x:v>
      </x:c>
      <x:c r="J365" s="21" t="n">
        <x:f>6371*ACOS(MIN(1,COS(D365*PI()/180)*COS(I365*PI()/180)*COS((H365-C365)*PI()/180)+SIN(D365*PI()/180)*SIN(I365*PI()/180)))</x:f>
        <x:v>117.99968375716887</x:v>
      </x:c>
      <x:c r="K365" s="21" t="n">
        <x:f>'情景参数模板'!$D$31</x:f>
        <x:v>1.2</x:v>
      </x:c>
      <x:c r="L365" s="21" t="n">
        <x:f>J365*K365</x:f>
        <x:v>141.59962050860264</x:v>
      </x:c>
    </x:row>
    <x:row r="366">
      <x:c r="A366" s="17" t="str">
        <x:v>GD09</x:v>
      </x:c>
      <x:c r="B366" s="17" t="str">
        <x:v>惠州</x:v>
      </x:c>
      <x:c r="C366" s="24" t="n">
        <x:v>114.4127007</x:v>
      </x:c>
      <x:c r="D366" s="24" t="n">
        <x:v>23.1125153</x:v>
      </x:c>
      <x:c r="E366" s="17" t="str">
        <x:v>C02</x:v>
      </x:c>
      <x:c r="F366" s="17" t="str">
        <x:v>深圳虚拟回收/检测中心</x:v>
      </x:c>
      <x:c r="G366" s="17" t="str">
        <x:v>回收中心候选</x:v>
      </x:c>
      <x:c r="H366" s="24" t="n">
        <x:v>114.0545429</x:v>
      </x:c>
      <x:c r="I366" s="24" t="n">
        <x:v>22.5445741</x:v>
      </x:c>
      <x:c r="J366" s="21" t="n">
        <x:f>6371*ACOS(MIN(1,COS(D366*PI()/180)*COS(I366*PI()/180)*COS((H366-C366)*PI()/180)+SIN(D366*PI()/180)*SIN(I366*PI()/180)))</x:f>
        <x:v>73.04448557045887</x:v>
      </x:c>
      <x:c r="K366" s="21" t="n">
        <x:f>'情景参数模板'!$D$31</x:f>
        <x:v>1.2</x:v>
      </x:c>
      <x:c r="L366" s="21" t="n">
        <x:f>J366*K366</x:f>
        <x:v>87.65338268455065</x:v>
      </x:c>
    </x:row>
    <x:row r="367">
      <x:c r="A367" s="17" t="str">
        <x:v>GD09</x:v>
      </x:c>
      <x:c r="B367" s="17" t="str">
        <x:v>惠州</x:v>
      </x:c>
      <x:c r="C367" s="24" t="n">
        <x:v>114.4127007</x:v>
      </x:c>
      <x:c r="D367" s="24" t="n">
        <x:v>23.1125153</x:v>
      </x:c>
      <x:c r="E367" s="17" t="str">
        <x:v>C03</x:v>
      </x:c>
      <x:c r="F367" s="17" t="str">
        <x:v>珠海虚拟回收/检测中心</x:v>
      </x:c>
      <x:c r="G367" s="17" t="str">
        <x:v>回收中心候选</x:v>
      </x:c>
      <x:c r="H367" s="24" t="n">
        <x:v>113.5721327</x:v>
      </x:c>
      <x:c r="I367" s="24" t="n">
        <x:v>22.273734</x:v>
      </x:c>
      <x:c r="J367" s="21" t="n">
        <x:f>6371*ACOS(MIN(1,COS(D367*PI()/180)*COS(I367*PI()/180)*COS((H367-C367)*PI()/180)+SIN(D367*PI()/180)*SIN(I367*PI()/180)))</x:f>
        <x:v>127.02181764289968</x:v>
      </x:c>
      <x:c r="K367" s="21" t="n">
        <x:f>'情景参数模板'!$D$31</x:f>
        <x:v>1.2</x:v>
      </x:c>
      <x:c r="L367" s="21" t="n">
        <x:f>J367*K367</x:f>
        <x:v>152.4261811714796</x:v>
      </x:c>
    </x:row>
    <x:row r="368">
      <x:c r="A368" s="17" t="str">
        <x:v>GD09</x:v>
      </x:c>
      <x:c r="B368" s="17" t="str">
        <x:v>惠州</x:v>
      </x:c>
      <x:c r="C368" s="24" t="n">
        <x:v>114.4127007</x:v>
      </x:c>
      <x:c r="D368" s="24" t="n">
        <x:v>23.1125153</x:v>
      </x:c>
      <x:c r="E368" s="17" t="str">
        <x:v>C04</x:v>
      </x:c>
      <x:c r="F368" s="17" t="str">
        <x:v>汕头虚拟回收/检测中心</x:v>
      </x:c>
      <x:c r="G368" s="17" t="str">
        <x:v>回收中心候选</x:v>
      </x:c>
      <x:c r="H368" s="24" t="n">
        <x:v>116.6775856</x:v>
      </x:c>
      <x:c r="I368" s="24" t="n">
        <x:v>23.3563921</x:v>
      </x:c>
      <x:c r="J368" s="21" t="n">
        <x:f>6371*ACOS(MIN(1,COS(D368*PI()/180)*COS(I368*PI()/180)*COS((H368-C368)*PI()/180)+SIN(D368*PI()/180)*SIN(I368*PI()/180)))</x:f>
        <x:v>232.99958546699187</x:v>
      </x:c>
      <x:c r="K368" s="21" t="n">
        <x:f>'情景参数模板'!$D$31</x:f>
        <x:v>1.2</x:v>
      </x:c>
      <x:c r="L368" s="21" t="n">
        <x:f>J368*K368</x:f>
        <x:v>279.59950256039025</x:v>
      </x:c>
    </x:row>
    <x:row r="369">
      <x:c r="A369" s="17" t="str">
        <x:v>GD09</x:v>
      </x:c>
      <x:c r="B369" s="17" t="str">
        <x:v>惠州</x:v>
      </x:c>
      <x:c r="C369" s="24" t="n">
        <x:v>114.4127007</x:v>
      </x:c>
      <x:c r="D369" s="24" t="n">
        <x:v>23.1125153</x:v>
      </x:c>
      <x:c r="E369" s="17" t="str">
        <x:v>C05</x:v>
      </x:c>
      <x:c r="F369" s="17" t="str">
        <x:v>佛山虚拟回收/检测中心</x:v>
      </x:c>
      <x:c r="G369" s="17" t="str">
        <x:v>回收中心候选</x:v>
      </x:c>
      <x:c r="H369" s="24" t="n">
        <x:v>113.1159558</x:v>
      </x:c>
      <x:c r="I369" s="24" t="n">
        <x:v>23.0239788</x:v>
      </x:c>
      <x:c r="J369" s="21" t="n">
        <x:f>6371*ACOS(MIN(1,COS(D369*PI()/180)*COS(I369*PI()/180)*COS((H369-C369)*PI()/180)+SIN(D369*PI()/180)*SIN(I369*PI()/180)))</x:f>
        <x:v>133.0260660496842</x:v>
      </x:c>
      <x:c r="K369" s="21" t="n">
        <x:f>'情景参数模板'!$D$31</x:f>
        <x:v>1.2</x:v>
      </x:c>
      <x:c r="L369" s="21" t="n">
        <x:f>J369*K369</x:f>
        <x:v>159.63127925962104</x:v>
      </x:c>
    </x:row>
    <x:row r="370">
      <x:c r="A370" s="17" t="str">
        <x:v>GD09</x:v>
      </x:c>
      <x:c r="B370" s="17" t="str">
        <x:v>惠州</x:v>
      </x:c>
      <x:c r="C370" s="24" t="n">
        <x:v>114.4127007</x:v>
      </x:c>
      <x:c r="D370" s="24" t="n">
        <x:v>23.1125153</x:v>
      </x:c>
      <x:c r="E370" s="17" t="str">
        <x:v>C06</x:v>
      </x:c>
      <x:c r="F370" s="17" t="str">
        <x:v>韶关虚拟回收/检测中心</x:v>
      </x:c>
      <x:c r="G370" s="17" t="str">
        <x:v>回收中心候选</x:v>
      </x:c>
      <x:c r="H370" s="24" t="n">
        <x:v>113.8155263</x:v>
      </x:c>
      <x:c r="I370" s="24" t="n">
        <x:v>24.8309489</x:v>
      </x:c>
      <x:c r="J370" s="21" t="n">
        <x:f>6371*ACOS(MIN(1,COS(D370*PI()/180)*COS(I370*PI()/180)*COS((H370-C370)*PI()/180)+SIN(D370*PI()/180)*SIN(I370*PI()/180)))</x:f>
        <x:v>200.4819895915133</x:v>
      </x:c>
      <x:c r="K370" s="21" t="n">
        <x:f>'情景参数模板'!$D$31</x:f>
        <x:v>1.2</x:v>
      </x:c>
      <x:c r="L370" s="21" t="n">
        <x:f>J370*K370</x:f>
        <x:v>240.57838750981594</x:v>
      </x:c>
    </x:row>
    <x:row r="371">
      <x:c r="A371" s="17" t="str">
        <x:v>GD09</x:v>
      </x:c>
      <x:c r="B371" s="17" t="str">
        <x:v>惠州</x:v>
      </x:c>
      <x:c r="C371" s="24" t="n">
        <x:v>114.4127007</x:v>
      </x:c>
      <x:c r="D371" s="24" t="n">
        <x:v>23.1125153</x:v>
      </x:c>
      <x:c r="E371" s="17" t="str">
        <x:v>C07</x:v>
      </x:c>
      <x:c r="F371" s="17" t="str">
        <x:v>河源虚拟回收/检测中心</x:v>
      </x:c>
      <x:c r="G371" s="17" t="str">
        <x:v>回收中心候选</x:v>
      </x:c>
      <x:c r="H371" s="24" t="n">
        <x:v>115.0577538</x:v>
      </x:c>
      <x:c r="I371" s="24" t="n">
        <x:v>24.1014769</x:v>
      </x:c>
      <x:c r="J371" s="21" t="n">
        <x:f>6371*ACOS(MIN(1,COS(D371*PI()/180)*COS(I371*PI()/180)*COS((H371-C371)*PI()/180)+SIN(D371*PI()/180)*SIN(I371*PI()/180)))</x:f>
        <x:v>128.11063912816488</x:v>
      </x:c>
      <x:c r="K371" s="21" t="n">
        <x:f>'情景参数模板'!$D$31</x:f>
        <x:v>1.2</x:v>
      </x:c>
      <x:c r="L371" s="21" t="n">
        <x:f>J371*K371</x:f>
        <x:v>153.73276695379784</x:v>
      </x:c>
    </x:row>
    <x:row r="372">
      <x:c r="A372" s="17" t="str">
        <x:v>GD09</x:v>
      </x:c>
      <x:c r="B372" s="17" t="str">
        <x:v>惠州</x:v>
      </x:c>
      <x:c r="C372" s="24" t="n">
        <x:v>114.4127007</x:v>
      </x:c>
      <x:c r="D372" s="24" t="n">
        <x:v>23.1125153</x:v>
      </x:c>
      <x:c r="E372" s="17" t="str">
        <x:v>C08</x:v>
      </x:c>
      <x:c r="F372" s="17" t="str">
        <x:v>梅州虚拟回收/检测中心</x:v>
      </x:c>
      <x:c r="G372" s="17" t="str">
        <x:v>回收中心候选</x:v>
      </x:c>
      <x:c r="H372" s="24" t="n">
        <x:v>116.1171428</x:v>
      </x:c>
      <x:c r="I372" s="24" t="n">
        <x:v>24.2918414</x:v>
      </x:c>
      <x:c r="J372" s="21" t="n">
        <x:f>6371*ACOS(MIN(1,COS(D372*PI()/180)*COS(I372*PI()/180)*COS((H372-C372)*PI()/180)+SIN(D372*PI()/180)*SIN(I372*PI()/180)))</x:f>
        <x:v>217.50845727097408</x:v>
      </x:c>
      <x:c r="K372" s="21" t="n">
        <x:f>'情景参数模板'!$D$31</x:f>
        <x:v>1.2</x:v>
      </x:c>
      <x:c r="L372" s="21" t="n">
        <x:f>J372*K372</x:f>
        <x:v>261.0101487251689</x:v>
      </x:c>
    </x:row>
    <x:row r="373">
      <x:c r="A373" s="17" t="str">
        <x:v>GD09</x:v>
      </x:c>
      <x:c r="B373" s="17" t="str">
        <x:v>惠州</x:v>
      </x:c>
      <x:c r="C373" s="24" t="n">
        <x:v>114.4127007</x:v>
      </x:c>
      <x:c r="D373" s="24" t="n">
        <x:v>23.1125153</x:v>
      </x:c>
      <x:c r="E373" s="17" t="str">
        <x:v>C09</x:v>
      </x:c>
      <x:c r="F373" s="17" t="str">
        <x:v>惠州虚拟回收/检测中心</x:v>
      </x:c>
      <x:c r="G373" s="17" t="str">
        <x:v>回收中心候选</x:v>
      </x:c>
      <x:c r="H373" s="24" t="n">
        <x:v>114.4127007</x:v>
      </x:c>
      <x:c r="I373" s="24" t="n">
        <x:v>23.1125153</x:v>
      </x:c>
      <x:c r="J373" s="21" t="n">
        <x:f>6371*ACOS(MIN(1,COS(D373*PI()/180)*COS(I373*PI()/180)*COS((H373-C373)*PI()/180)+SIN(D373*PI()/180)*SIN(I373*PI()/180)))</x:f>
        <x:v>0</x:v>
      </x:c>
      <x:c r="K373" s="21" t="n">
        <x:f>'情景参数模板'!$D$31</x:f>
        <x:v>1.2</x:v>
      </x:c>
      <x:c r="L373" s="21" t="n">
        <x:f>J373*K373</x:f>
        <x:v>0</x:v>
      </x:c>
    </x:row>
    <x:row r="374">
      <x:c r="A374" s="17" t="str">
        <x:v>GD09</x:v>
      </x:c>
      <x:c r="B374" s="17" t="str">
        <x:v>惠州</x:v>
      </x:c>
      <x:c r="C374" s="24" t="n">
        <x:v>114.4127007</x:v>
      </x:c>
      <x:c r="D374" s="24" t="n">
        <x:v>23.1125153</x:v>
      </x:c>
      <x:c r="E374" s="17" t="str">
        <x:v>C10</x:v>
      </x:c>
      <x:c r="F374" s="17" t="str">
        <x:v>汕尾虚拟回收/检测中心</x:v>
      </x:c>
      <x:c r="G374" s="17" t="str">
        <x:v>回收中心候选</x:v>
      </x:c>
      <x:c r="H374" s="24" t="n">
        <x:v>115.5099937</x:v>
      </x:c>
      <x:c r="I374" s="24" t="n">
        <x:v>23.0123639</x:v>
      </x:c>
      <x:c r="J374" s="21" t="n">
        <x:f>6371*ACOS(MIN(1,COS(D374*PI()/180)*COS(I374*PI()/180)*COS((H374-C374)*PI()/180)+SIN(D374*PI()/180)*SIN(I374*PI()/180)))</x:f>
        <x:v>112.81264213991685</x:v>
      </x:c>
      <x:c r="K374" s="21" t="n">
        <x:f>'情景参数模板'!$D$31</x:f>
        <x:v>1.2</x:v>
      </x:c>
      <x:c r="L374" s="21" t="n">
        <x:f>J374*K374</x:f>
        <x:v>135.3751705679002</x:v>
      </x:c>
    </x:row>
    <x:row r="375">
      <x:c r="A375" s="17" t="str">
        <x:v>GD09</x:v>
      </x:c>
      <x:c r="B375" s="17" t="str">
        <x:v>惠州</x:v>
      </x:c>
      <x:c r="C375" s="24" t="n">
        <x:v>114.4127007</x:v>
      </x:c>
      <x:c r="D375" s="24" t="n">
        <x:v>23.1125153</x:v>
      </x:c>
      <x:c r="E375" s="17" t="str">
        <x:v>C11</x:v>
      </x:c>
      <x:c r="F375" s="17" t="str">
        <x:v>东莞虚拟回收/检测中心</x:v>
      </x:c>
      <x:c r="G375" s="17" t="str">
        <x:v>回收中心候选</x:v>
      </x:c>
      <x:c r="H375" s="24" t="n">
        <x:v>113.7452332</x:v>
      </x:c>
      <x:c r="I375" s="24" t="n">
        <x:v>23.0183568</x:v>
      </x:c>
      <x:c r="J375" s="21" t="n">
        <x:f>6371*ACOS(MIN(1,COS(D375*PI()/180)*COS(I375*PI()/180)*COS((H375-C375)*PI()/180)+SIN(D375*PI()/180)*SIN(I375*PI()/180)))</x:f>
        <x:v>69.08370671447607</x:v>
      </x:c>
      <x:c r="K375" s="21" t="n">
        <x:f>'情景参数模板'!$D$31</x:f>
        <x:v>1.2</x:v>
      </x:c>
      <x:c r="L375" s="21" t="n">
        <x:f>J375*K375</x:f>
        <x:v>82.90044805737128</x:v>
      </x:c>
    </x:row>
    <x:row r="376">
      <x:c r="A376" s="17" t="str">
        <x:v>GD09</x:v>
      </x:c>
      <x:c r="B376" s="17" t="str">
        <x:v>惠州</x:v>
      </x:c>
      <x:c r="C376" s="24" t="n">
        <x:v>114.4127007</x:v>
      </x:c>
      <x:c r="D376" s="24" t="n">
        <x:v>23.1125153</x:v>
      </x:c>
      <x:c r="E376" s="17" t="str">
        <x:v>C12</x:v>
      </x:c>
      <x:c r="F376" s="17" t="str">
        <x:v>中山虚拟回收/检测中心</x:v>
      </x:c>
      <x:c r="G376" s="17" t="str">
        <x:v>回收中心候选</x:v>
      </x:c>
      <x:c r="H376" s="24" t="n">
        <x:v>113.3872302</x:v>
      </x:c>
      <x:c r="I376" s="24" t="n">
        <x:v>22.5197073</x:v>
      </x:c>
      <x:c r="J376" s="21" t="n">
        <x:f>6371*ACOS(MIN(1,COS(D376*PI()/180)*COS(I376*PI()/180)*COS((H376-C376)*PI()/180)+SIN(D376*PI()/180)*SIN(I376*PI()/180)))</x:f>
        <x:v>124.06426518231</x:v>
      </x:c>
      <x:c r="K376" s="21" t="n">
        <x:f>'情景参数模板'!$D$31</x:f>
        <x:v>1.2</x:v>
      </x:c>
      <x:c r="L376" s="21" t="n">
        <x:f>J376*K376</x:f>
        <x:v>148.87711821877198</x:v>
      </x:c>
    </x:row>
    <x:row r="377">
      <x:c r="A377" s="17" t="str">
        <x:v>GD09</x:v>
      </x:c>
      <x:c r="B377" s="17" t="str">
        <x:v>惠州</x:v>
      </x:c>
      <x:c r="C377" s="24" t="n">
        <x:v>114.4127007</x:v>
      </x:c>
      <x:c r="D377" s="24" t="n">
        <x:v>23.1125153</x:v>
      </x:c>
      <x:c r="E377" s="17" t="str">
        <x:v>C13</x:v>
      </x:c>
      <x:c r="F377" s="17" t="str">
        <x:v>江门虚拟回收/检测中心</x:v>
      </x:c>
      <x:c r="G377" s="17" t="str">
        <x:v>回收中心候选</x:v>
      </x:c>
      <x:c r="H377" s="24" t="n">
        <x:v>113.0761073</x:v>
      </x:c>
      <x:c r="I377" s="24" t="n">
        <x:v>22.5816619</x:v>
      </x:c>
      <x:c r="J377" s="21" t="n">
        <x:f>6371*ACOS(MIN(1,COS(D377*PI()/180)*COS(I377*PI()/180)*COS((H377-C377)*PI()/180)+SIN(D377*PI()/180)*SIN(I377*PI()/180)))</x:f>
        <x:v>149.1396078501504</x:v>
      </x:c>
      <x:c r="K377" s="21" t="n">
        <x:f>'情景参数模板'!$D$31</x:f>
        <x:v>1.2</x:v>
      </x:c>
      <x:c r="L377" s="21" t="n">
        <x:f>J377*K377</x:f>
        <x:v>178.96752942018048</x:v>
      </x:c>
    </x:row>
    <x:row r="378">
      <x:c r="A378" s="17" t="str">
        <x:v>GD09</x:v>
      </x:c>
      <x:c r="B378" s="17" t="str">
        <x:v>惠州</x:v>
      </x:c>
      <x:c r="C378" s="24" t="n">
        <x:v>114.4127007</x:v>
      </x:c>
      <x:c r="D378" s="24" t="n">
        <x:v>23.1125153</x:v>
      </x:c>
      <x:c r="E378" s="17" t="str">
        <x:v>C14</x:v>
      </x:c>
      <x:c r="F378" s="17" t="str">
        <x:v>阳江虚拟回收/检测中心</x:v>
      </x:c>
      <x:c r="G378" s="17" t="str">
        <x:v>回收中心候选</x:v>
      </x:c>
      <x:c r="H378" s="24" t="n">
        <x:v>111.7831393</x:v>
      </x:c>
      <x:c r="I378" s="24" t="n">
        <x:v>22.0958223</x:v>
      </x:c>
      <x:c r="J378" s="21" t="n">
        <x:f>6371*ACOS(MIN(1,COS(D378*PI()/180)*COS(I378*PI()/180)*COS((H378-C378)*PI()/180)+SIN(D378*PI()/180)*SIN(I378*PI()/180)))</x:f>
        <x:v>292.642269876442</x:v>
      </x:c>
      <x:c r="K378" s="21" t="n">
        <x:f>'情景参数模板'!$D$31</x:f>
        <x:v>1.2</x:v>
      </x:c>
      <x:c r="L378" s="21" t="n">
        <x:f>J378*K378</x:f>
        <x:v>351.17072385173043</x:v>
      </x:c>
    </x:row>
    <x:row r="379">
      <x:c r="A379" s="17" t="str">
        <x:v>GD09</x:v>
      </x:c>
      <x:c r="B379" s="17" t="str">
        <x:v>惠州</x:v>
      </x:c>
      <x:c r="C379" s="24" t="n">
        <x:v>114.4127007</x:v>
      </x:c>
      <x:c r="D379" s="24" t="n">
        <x:v>23.1125153</x:v>
      </x:c>
      <x:c r="E379" s="17" t="str">
        <x:v>C15</x:v>
      </x:c>
      <x:c r="F379" s="17" t="str">
        <x:v>湛江虚拟回收/检测中心</x:v>
      </x:c>
      <x:c r="G379" s="17" t="str">
        <x:v>回收中心候选</x:v>
      </x:c>
      <x:c r="H379" s="24" t="n">
        <x:v>110.3548318</x:v>
      </x:c>
      <x:c r="I379" s="24" t="n">
        <x:v>21.2737079</x:v>
      </x:c>
      <x:c r="J379" s="21" t="n">
        <x:f>6371*ACOS(MIN(1,COS(D379*PI()/180)*COS(I379*PI()/180)*COS((H379-C379)*PI()/180)+SIN(D379*PI()/180)*SIN(I379*PI()/180)))</x:f>
        <x:v>465.101265453624</x:v>
      </x:c>
      <x:c r="K379" s="21" t="n">
        <x:f>'情景参数模板'!$D$31</x:f>
        <x:v>1.2</x:v>
      </x:c>
      <x:c r="L379" s="21" t="n">
        <x:f>J379*K379</x:f>
        <x:v>558.1215185443488</x:v>
      </x:c>
    </x:row>
    <x:row r="380">
      <x:c r="A380" s="17" t="str">
        <x:v>GD09</x:v>
      </x:c>
      <x:c r="B380" s="17" t="str">
        <x:v>惠州</x:v>
      </x:c>
      <x:c r="C380" s="24" t="n">
        <x:v>114.4127007</x:v>
      </x:c>
      <x:c r="D380" s="24" t="n">
        <x:v>23.1125153</x:v>
      </x:c>
      <x:c r="E380" s="17" t="str">
        <x:v>C16</x:v>
      </x:c>
      <x:c r="F380" s="17" t="str">
        <x:v>茂名虚拟回收/检测中心</x:v>
      </x:c>
      <x:c r="G380" s="17" t="str">
        <x:v>回收中心候选</x:v>
      </x:c>
      <x:c r="H380" s="24" t="n">
        <x:v>110.9209511</x:v>
      </x:c>
      <x:c r="I380" s="24" t="n">
        <x:v>21.6656961</x:v>
      </x:c>
      <x:c r="J380" s="21" t="n">
        <x:f>6371*ACOS(MIN(1,COS(D380*PI()/180)*COS(I380*PI()/180)*COS((H380-C380)*PI()/180)+SIN(D380*PI()/180)*SIN(I380*PI()/180)))</x:f>
        <x:v>393.3759625308256</x:v>
      </x:c>
      <x:c r="K380" s="21" t="n">
        <x:f>'情景参数模板'!$D$31</x:f>
        <x:v>1.2</x:v>
      </x:c>
      <x:c r="L380" s="21" t="n">
        <x:f>J380*K380</x:f>
        <x:v>472.0511550369907</x:v>
      </x:c>
    </x:row>
    <x:row r="381">
      <x:c r="A381" s="17" t="str">
        <x:v>GD09</x:v>
      </x:c>
      <x:c r="B381" s="17" t="str">
        <x:v>惠州</x:v>
      </x:c>
      <x:c r="C381" s="24" t="n">
        <x:v>114.4127007</x:v>
      </x:c>
      <x:c r="D381" s="24" t="n">
        <x:v>23.1125153</x:v>
      </x:c>
      <x:c r="E381" s="17" t="str">
        <x:v>C17</x:v>
      </x:c>
      <x:c r="F381" s="17" t="str">
        <x:v>肇庆虚拟回收/检测中心</x:v>
      </x:c>
      <x:c r="G381" s="17" t="str">
        <x:v>回收中心候选</x:v>
      </x:c>
      <x:c r="H381" s="24" t="n">
        <x:v>112.4603629</x:v>
      </x:c>
      <x:c r="I381" s="24" t="n">
        <x:v>23.0501661</x:v>
      </x:c>
      <x:c r="J381" s="21" t="n">
        <x:f>6371*ACOS(MIN(1,COS(D381*PI()/180)*COS(I381*PI()/180)*COS((H381-C381)*PI()/180)+SIN(D381*PI()/180)*SIN(I381*PI()/180)))</x:f>
        <x:v>199.83063084164635</x:v>
      </x:c>
      <x:c r="K381" s="21" t="n">
        <x:f>'情景参数模板'!$D$31</x:f>
        <x:v>1.2</x:v>
      </x:c>
      <x:c r="L381" s="21" t="n">
        <x:f>J381*K381</x:f>
        <x:v>239.7967570099756</x:v>
      </x:c>
    </x:row>
    <x:row r="382">
      <x:c r="A382" s="17" t="str">
        <x:v>GD09</x:v>
      </x:c>
      <x:c r="B382" s="17" t="str">
        <x:v>惠州</x:v>
      </x:c>
      <x:c r="C382" s="24" t="n">
        <x:v>114.4127007</x:v>
      </x:c>
      <x:c r="D382" s="24" t="n">
        <x:v>23.1125153</x:v>
      </x:c>
      <x:c r="E382" s="17" t="str">
        <x:v>C18</x:v>
      </x:c>
      <x:c r="F382" s="17" t="str">
        <x:v>清远虚拟回收/检测中心</x:v>
      </x:c>
      <x:c r="G382" s="17" t="str">
        <x:v>回收中心候选</x:v>
      </x:c>
      <x:c r="H382" s="24" t="n">
        <x:v>113.0505994</x:v>
      </x:c>
      <x:c r="I382" s="24" t="n">
        <x:v>23.6832984</x:v>
      </x:c>
      <x:c r="J382" s="21" t="n">
        <x:f>6371*ACOS(MIN(1,COS(D382*PI()/180)*COS(I382*PI()/180)*COS((H382-C382)*PI()/180)+SIN(D382*PI()/180)*SIN(I382*PI()/180)))</x:f>
        <x:v>152.80699130297583</x:v>
      </x:c>
      <x:c r="K382" s="21" t="n">
        <x:f>'情景参数模板'!$D$31</x:f>
        <x:v>1.2</x:v>
      </x:c>
      <x:c r="L382" s="21" t="n">
        <x:f>J382*K382</x:f>
        <x:v>183.368389563571</x:v>
      </x:c>
    </x:row>
    <x:row r="383">
      <x:c r="A383" s="17" t="str">
        <x:v>GD09</x:v>
      </x:c>
      <x:c r="B383" s="17" t="str">
        <x:v>惠州</x:v>
      </x:c>
      <x:c r="C383" s="24" t="n">
        <x:v>114.4127007</x:v>
      </x:c>
      <x:c r="D383" s="24" t="n">
        <x:v>23.1125153</x:v>
      </x:c>
      <x:c r="E383" s="17" t="str">
        <x:v>C19</x:v>
      </x:c>
      <x:c r="F383" s="17" t="str">
        <x:v>潮州虚拟回收/检测中心</x:v>
      </x:c>
      <x:c r="G383" s="17" t="str">
        <x:v>回收中心候选</x:v>
      </x:c>
      <x:c r="H383" s="24" t="n">
        <x:v>116.6204223</x:v>
      </x:c>
      <x:c r="I383" s="24" t="n">
        <x:v>23.656593</x:v>
      </x:c>
      <x:c r="J383" s="21" t="n">
        <x:f>6371*ACOS(MIN(1,COS(D383*PI()/180)*COS(I383*PI()/180)*COS((H383-C383)*PI()/180)+SIN(D383*PI()/180)*SIN(I383*PI()/180)))</x:f>
        <x:v>233.30064071473075</x:v>
      </x:c>
      <x:c r="K383" s="21" t="n">
        <x:f>'情景参数模板'!$D$31</x:f>
        <x:v>1.2</x:v>
      </x:c>
      <x:c r="L383" s="21" t="n">
        <x:f>J383*K383</x:f>
        <x:v>279.9607688576769</x:v>
      </x:c>
    </x:row>
    <x:row r="384">
      <x:c r="A384" s="17" t="str">
        <x:v>GD09</x:v>
      </x:c>
      <x:c r="B384" s="17" t="str">
        <x:v>惠州</x:v>
      </x:c>
      <x:c r="C384" s="24" t="n">
        <x:v>114.4127007</x:v>
      </x:c>
      <x:c r="D384" s="24" t="n">
        <x:v>23.1125153</x:v>
      </x:c>
      <x:c r="E384" s="17" t="str">
        <x:v>C20</x:v>
      </x:c>
      <x:c r="F384" s="17" t="str">
        <x:v>揭阳虚拟回收/检测中心</x:v>
      </x:c>
      <x:c r="G384" s="17" t="str">
        <x:v>回收中心候选</x:v>
      </x:c>
      <x:c r="H384" s="24" t="n">
        <x:v>116.3680354</x:v>
      </x:c>
      <x:c r="I384" s="24" t="n">
        <x:v>23.553156</x:v>
      </x:c>
      <x:c r="J384" s="21" t="n">
        <x:f>6371*ACOS(MIN(1,COS(D384*PI()/180)*COS(I384*PI()/180)*COS((H384-C384)*PI()/180)+SIN(D384*PI()/180)*SIN(I384*PI()/180)))</x:f>
        <x:v>205.5647125663095</x:v>
      </x:c>
      <x:c r="K384" s="21" t="n">
        <x:f>'情景参数模板'!$D$31</x:f>
        <x:v>1.2</x:v>
      </x:c>
      <x:c r="L384" s="21" t="n">
        <x:f>J384*K384</x:f>
        <x:v>246.6776550795714</x:v>
      </x:c>
    </x:row>
    <x:row r="385">
      <x:c r="A385" s="17" t="str">
        <x:v>GD09</x:v>
      </x:c>
      <x:c r="B385" s="17" t="str">
        <x:v>惠州</x:v>
      </x:c>
      <x:c r="C385" s="24" t="n">
        <x:v>114.4127007</x:v>
      </x:c>
      <x:c r="D385" s="24" t="n">
        <x:v>23.1125153</x:v>
      </x:c>
      <x:c r="E385" s="17" t="str">
        <x:v>C21</x:v>
      </x:c>
      <x:c r="F385" s="17" t="str">
        <x:v>云浮虚拟回收/检测中心</x:v>
      </x:c>
      <x:c r="G385" s="17" t="str">
        <x:v>回收中心候选</x:v>
      </x:c>
      <x:c r="H385" s="24" t="n">
        <x:v>111.8078586</x:v>
      </x:c>
      <x:c r="I385" s="24" t="n">
        <x:v>22.8546663</x:v>
      </x:c>
      <x:c r="J385" s="21" t="n">
        <x:f>6371*ACOS(MIN(1,COS(D385*PI()/180)*COS(I385*PI()/180)*COS((H385-C385)*PI()/180)+SIN(D385*PI()/180)*SIN(I385*PI()/180)))</x:f>
        <x:v>268.1854182947875</x:v>
      </x:c>
      <x:c r="K385" s="21" t="n">
        <x:f>'情景参数模板'!$D$31</x:f>
        <x:v>1.2</x:v>
      </x:c>
      <x:c r="L385" s="21" t="n">
        <x:f>J385*K385</x:f>
        <x:v>321.82250195374496</x:v>
      </x:c>
    </x:row>
    <x:row r="386">
      <x:c r="A386" s="17" t="str">
        <x:v>GD09</x:v>
      </x:c>
      <x:c r="B386" s="17" t="str">
        <x:v>惠州</x:v>
      </x:c>
      <x:c r="C386" s="24" t="n">
        <x:v>114.4127007</x:v>
      </x:c>
      <x:c r="D386" s="24" t="n">
        <x:v>23.1125153</x:v>
      </x:c>
      <x:c r="E386" s="17" t="str">
        <x:v>P01</x:v>
      </x:c>
      <x:c r="F386" s="17" t="str">
        <x:v>汕尾比亚迪废旧动力电池回收项目</x:v>
      </x:c>
      <x:c r="G386" s="17" t="str">
        <x:v>再生利用</x:v>
      </x:c>
      <x:c r="H386" s="24" t="n">
        <x:v>115.3492668</x:v>
      </x:c>
      <x:c r="I386" s="24" t="n">
        <x:v>22.838065</x:v>
      </x:c>
      <x:c r="J386" s="21" t="n">
        <x:f>6371*ACOS(MIN(1,COS(D386*PI()/180)*COS(I386*PI()/180)*COS((H386-C386)*PI()/180)+SIN(D386*PI()/180)*SIN(I386*PI()/180)))</x:f>
        <x:v>100.61944008370573</x:v>
      </x:c>
      <x:c r="K386" s="21" t="n">
        <x:f>'情景参数模板'!$D$31</x:f>
        <x:v>1.2</x:v>
      </x:c>
      <x:c r="L386" s="21" t="n">
        <x:f>J386*K386</x:f>
        <x:v>120.74332810044686</x:v>
      </x:c>
    </x:row>
    <x:row r="387">
      <x:c r="A387" s="17" t="str">
        <x:v>GD09</x:v>
      </x:c>
      <x:c r="B387" s="17" t="str">
        <x:v>惠州</x:v>
      </x:c>
      <x:c r="C387" s="24" t="n">
        <x:v>114.4127007</x:v>
      </x:c>
      <x:c r="D387" s="24" t="n">
        <x:v>23.1125153</x:v>
      </x:c>
      <x:c r="E387" s="17" t="str">
        <x:v>P02E</x:v>
      </x:c>
      <x:c r="F387" s="17" t="str">
        <x:v>广东光华科技股份有限公司（梯次功能）</x:v>
      </x:c>
      <x:c r="G387" s="17" t="str">
        <x:v>梯次利用</x:v>
      </x:c>
      <x:c r="H387" s="24" t="n">
        <x:v>116.6775856</x:v>
      </x:c>
      <x:c r="I387" s="24" t="n">
        <x:v>23.3563921</x:v>
      </x:c>
      <x:c r="J387" s="21" t="n">
        <x:f>6371*ACOS(MIN(1,COS(D387*PI()/180)*COS(I387*PI()/180)*COS((H387-C387)*PI()/180)+SIN(D387*PI()/180)*SIN(I387*PI()/180)))</x:f>
        <x:v>232.99958546699187</x:v>
      </x:c>
      <x:c r="K387" s="21" t="n">
        <x:f>'情景参数模板'!$D$31</x:f>
        <x:v>1.2</x:v>
      </x:c>
      <x:c r="L387" s="21" t="n">
        <x:f>J387*K387</x:f>
        <x:v>279.59950256039025</x:v>
      </x:c>
    </x:row>
    <x:row r="388">
      <x:c r="A388" s="17" t="str">
        <x:v>GD09</x:v>
      </x:c>
      <x:c r="B388" s="17" t="str">
        <x:v>惠州</x:v>
      </x:c>
      <x:c r="C388" s="24" t="n">
        <x:v>114.4127007</x:v>
      </x:c>
      <x:c r="D388" s="24" t="n">
        <x:v>23.1125153</x:v>
      </x:c>
      <x:c r="E388" s="17" t="str">
        <x:v>P02R</x:v>
      </x:c>
      <x:c r="F388" s="17" t="str">
        <x:v>广东光华科技股份有限公司（再生功能）</x:v>
      </x:c>
      <x:c r="G388" s="17" t="str">
        <x:v>再生利用</x:v>
      </x:c>
      <x:c r="H388" s="24" t="n">
        <x:v>116.6775856</x:v>
      </x:c>
      <x:c r="I388" s="24" t="n">
        <x:v>23.3563921</x:v>
      </x:c>
      <x:c r="J388" s="21" t="n">
        <x:f>6371*ACOS(MIN(1,COS(D388*PI()/180)*COS(I388*PI()/180)*COS((H388-C388)*PI()/180)+SIN(D388*PI()/180)*SIN(I388*PI()/180)))</x:f>
        <x:v>232.99958546699187</x:v>
      </x:c>
      <x:c r="K388" s="21" t="n">
        <x:f>'情景参数模板'!$D$31</x:f>
        <x:v>1.2</x:v>
      </x:c>
      <x:c r="L388" s="21" t="n">
        <x:f>J388*K388</x:f>
        <x:v>279.59950256039025</x:v>
      </x:c>
    </x:row>
    <x:row r="389">
      <x:c r="A389" s="17" t="str">
        <x:v>GD09</x:v>
      </x:c>
      <x:c r="B389" s="17" t="str">
        <x:v>惠州</x:v>
      </x:c>
      <x:c r="C389" s="24" t="n">
        <x:v>114.4127007</x:v>
      </x:c>
      <x:c r="D389" s="24" t="n">
        <x:v>23.1125153</x:v>
      </x:c>
      <x:c r="E389" s="17" t="str">
        <x:v>P03</x:v>
      </x:c>
      <x:c r="F389" s="17" t="str">
        <x:v>深圳深汕特别合作区乾泰技术有限公司</x:v>
      </x:c>
      <x:c r="G389" s="17" t="str">
        <x:v>梯次利用</x:v>
      </x:c>
      <x:c r="H389" s="24" t="n">
        <x:v>115.5099937</x:v>
      </x:c>
      <x:c r="I389" s="24" t="n">
        <x:v>23.0123639</x:v>
      </x:c>
      <x:c r="J389" s="21" t="n">
        <x:f>6371*ACOS(MIN(1,COS(D389*PI()/180)*COS(I389*PI()/180)*COS((H389-C389)*PI()/180)+SIN(D389*PI()/180)*SIN(I389*PI()/180)))</x:f>
        <x:v>112.81264213991685</x:v>
      </x:c>
      <x:c r="K389" s="21" t="n">
        <x:f>'情景参数模板'!$D$31</x:f>
        <x:v>1.2</x:v>
      </x:c>
      <x:c r="L389" s="21" t="n">
        <x:f>J389*K389</x:f>
        <x:v>135.3751705679002</x:v>
      </x:c>
    </x:row>
    <x:row r="390">
      <x:c r="A390" s="17" t="str">
        <x:v>GD09</x:v>
      </x:c>
      <x:c r="B390" s="17" t="str">
        <x:v>惠州</x:v>
      </x:c>
      <x:c r="C390" s="24" t="n">
        <x:v>114.4127007</x:v>
      </x:c>
      <x:c r="D390" s="24" t="n">
        <x:v>23.1125153</x:v>
      </x:c>
      <x:c r="E390" s="17" t="str">
        <x:v>P04</x:v>
      </x:c>
      <x:c r="F390" s="17" t="str">
        <x:v>珠海中力新能源科技有限公司</x:v>
      </x:c>
      <x:c r="G390" s="17" t="str">
        <x:v>梯次利用</x:v>
      </x:c>
      <x:c r="H390" s="24" t="n">
        <x:v>113.5721327</x:v>
      </x:c>
      <x:c r="I390" s="24" t="n">
        <x:v>22.273734</x:v>
      </x:c>
      <x:c r="J390" s="21" t="n">
        <x:f>6371*ACOS(MIN(1,COS(D390*PI()/180)*COS(I390*PI()/180)*COS((H390-C390)*PI()/180)+SIN(D390*PI()/180)*SIN(I390*PI()/180)))</x:f>
        <x:v>127.02181764289968</x:v>
      </x:c>
      <x:c r="K390" s="21" t="n">
        <x:f>'情景参数模板'!$D$31</x:f>
        <x:v>1.2</x:v>
      </x:c>
      <x:c r="L390" s="21" t="n">
        <x:f>J390*K390</x:f>
        <x:v>152.4261811714796</x:v>
      </x:c>
    </x:row>
    <x:row r="391">
      <x:c r="A391" s="17" t="str">
        <x:v>GD09</x:v>
      </x:c>
      <x:c r="B391" s="17" t="str">
        <x:v>惠州</x:v>
      </x:c>
      <x:c r="C391" s="24" t="n">
        <x:v>114.4127007</x:v>
      </x:c>
      <x:c r="D391" s="24" t="n">
        <x:v>23.1125153</x:v>
      </x:c>
      <x:c r="E391" s="17" t="str">
        <x:v>P05</x:v>
      </x:c>
      <x:c r="F391" s="17" t="str">
        <x:v>惠州市恒创睿能环保科技有限公司</x:v>
      </x:c>
      <x:c r="G391" s="17" t="str">
        <x:v>梯次利用</x:v>
      </x:c>
      <x:c r="H391" s="24" t="n">
        <x:v>114.4127007</x:v>
      </x:c>
      <x:c r="I391" s="24" t="n">
        <x:v>23.1125153</x:v>
      </x:c>
      <x:c r="J391" s="21" t="n">
        <x:f>6371*ACOS(MIN(1,COS(D391*PI()/180)*COS(I391*PI()/180)*COS((H391-C391)*PI()/180)+SIN(D391*PI()/180)*SIN(I391*PI()/180)))</x:f>
        <x:v>0</x:v>
      </x:c>
      <x:c r="K391" s="21" t="n">
        <x:f>'情景参数模板'!$D$31</x:f>
        <x:v>1.2</x:v>
      </x:c>
      <x:c r="L391" s="21" t="n">
        <x:f>J391*K391</x:f>
        <x:v>0</x:v>
      </x:c>
    </x:row>
    <x:row r="392">
      <x:c r="A392" s="17" t="str">
        <x:v>GD09</x:v>
      </x:c>
      <x:c r="B392" s="17" t="str">
        <x:v>惠州</x:v>
      </x:c>
      <x:c r="C392" s="24" t="n">
        <x:v>114.4127007</x:v>
      </x:c>
      <x:c r="D392" s="24" t="n">
        <x:v>23.1125153</x:v>
      </x:c>
      <x:c r="E392" s="17" t="str">
        <x:v>P06</x:v>
      </x:c>
      <x:c r="F392" s="17" t="str">
        <x:v>江门市朗达锂电池有限公司</x:v>
      </x:c>
      <x:c r="G392" s="17" t="str">
        <x:v>梯次利用</x:v>
      </x:c>
      <x:c r="H392" s="24" t="n">
        <x:v>113.0761073</x:v>
      </x:c>
      <x:c r="I392" s="24" t="n">
        <x:v>22.5816619</x:v>
      </x:c>
      <x:c r="J392" s="21" t="n">
        <x:f>6371*ACOS(MIN(1,COS(D392*PI()/180)*COS(I392*PI()/180)*COS((H392-C392)*PI()/180)+SIN(D392*PI()/180)*SIN(I392*PI()/180)))</x:f>
        <x:v>149.1396078501504</x:v>
      </x:c>
      <x:c r="K392" s="21" t="n">
        <x:f>'情景参数模板'!$D$31</x:f>
        <x:v>1.2</x:v>
      </x:c>
      <x:c r="L392" s="21" t="n">
        <x:f>J392*K392</x:f>
        <x:v>178.96752942018048</x:v>
      </x:c>
    </x:row>
    <x:row r="393">
      <x:c r="A393" s="17" t="str">
        <x:v>GD09</x:v>
      </x:c>
      <x:c r="B393" s="17" t="str">
        <x:v>惠州</x:v>
      </x:c>
      <x:c r="C393" s="24" t="n">
        <x:v>114.4127007</x:v>
      </x:c>
      <x:c r="D393" s="24" t="n">
        <x:v>23.1125153</x:v>
      </x:c>
      <x:c r="E393" s="17" t="str">
        <x:v>P07</x:v>
      </x:c>
      <x:c r="F393" s="17" t="str">
        <x:v>广东迪度新能源有限公司</x:v>
      </x:c>
      <x:c r="G393" s="17" t="str">
        <x:v>梯次利用</x:v>
      </x:c>
      <x:c r="H393" s="24" t="n">
        <x:v>113.7452332</x:v>
      </x:c>
      <x:c r="I393" s="24" t="n">
        <x:v>23.0183568</x:v>
      </x:c>
      <x:c r="J393" s="21" t="n">
        <x:f>6371*ACOS(MIN(1,COS(D393*PI()/180)*COS(I393*PI()/180)*COS((H393-C393)*PI()/180)+SIN(D393*PI()/180)*SIN(I393*PI()/180)))</x:f>
        <x:v>69.08370671447607</x:v>
      </x:c>
      <x:c r="K393" s="21" t="n">
        <x:f>'情景参数模板'!$D$31</x:f>
        <x:v>1.2</x:v>
      </x:c>
      <x:c r="L393" s="21" t="n">
        <x:f>J393*K393</x:f>
        <x:v>82.90044805737128</x:v>
      </x:c>
    </x:row>
    <x:row r="394">
      <x:c r="A394" s="17" t="str">
        <x:v>GD09</x:v>
      </x:c>
      <x:c r="B394" s="17" t="str">
        <x:v>惠州</x:v>
      </x:c>
      <x:c r="C394" s="24" t="n">
        <x:v>114.4127007</x:v>
      </x:c>
      <x:c r="D394" s="24" t="n">
        <x:v>23.1125153</x:v>
      </x:c>
      <x:c r="E394" s="17" t="str">
        <x:v>P08</x:v>
      </x:c>
      <x:c r="F394" s="17" t="str">
        <x:v>东莞市博森新能源有限公司</x:v>
      </x:c>
      <x:c r="G394" s="17" t="str">
        <x:v>梯次利用</x:v>
      </x:c>
      <x:c r="H394" s="24" t="n">
        <x:v>113.7452332</x:v>
      </x:c>
      <x:c r="I394" s="24" t="n">
        <x:v>23.0183568</x:v>
      </x:c>
      <x:c r="J394" s="21" t="n">
        <x:f>6371*ACOS(MIN(1,COS(D394*PI()/180)*COS(I394*PI()/180)*COS((H394-C394)*PI()/180)+SIN(D394*PI()/180)*SIN(I394*PI()/180)))</x:f>
        <x:v>69.08370671447607</x:v>
      </x:c>
      <x:c r="K394" s="21" t="n">
        <x:f>'情景参数模板'!$D$31</x:f>
        <x:v>1.2</x:v>
      </x:c>
      <x:c r="L394" s="21" t="n">
        <x:f>J394*K394</x:f>
        <x:v>82.90044805737128</x:v>
      </x:c>
    </x:row>
    <x:row r="395">
      <x:c r="A395" s="17" t="str">
        <x:v>GD09</x:v>
      </x:c>
      <x:c r="B395" s="17" t="str">
        <x:v>惠州</x:v>
      </x:c>
      <x:c r="C395" s="24" t="n">
        <x:v>114.4127007</x:v>
      </x:c>
      <x:c r="D395" s="24" t="n">
        <x:v>23.1125153</x:v>
      </x:c>
      <x:c r="E395" s="17" t="str">
        <x:v>P09</x:v>
      </x:c>
      <x:c r="F395" s="17" t="str">
        <x:v>广东宇阳新能源有限公司</x:v>
      </x:c>
      <x:c r="G395" s="17" t="str">
        <x:v>梯次利用</x:v>
      </x:c>
      <x:c r="H395" s="24" t="n">
        <x:v>113.7452332</x:v>
      </x:c>
      <x:c r="I395" s="24" t="n">
        <x:v>23.0183568</x:v>
      </x:c>
      <x:c r="J395" s="21" t="n">
        <x:f>6371*ACOS(MIN(1,COS(D395*PI()/180)*COS(I395*PI()/180)*COS((H395-C395)*PI()/180)+SIN(D395*PI()/180)*SIN(I395*PI()/180)))</x:f>
        <x:v>69.08370671447607</x:v>
      </x:c>
      <x:c r="K395" s="21" t="n">
        <x:f>'情景参数模板'!$D$31</x:f>
        <x:v>1.2</x:v>
      </x:c>
      <x:c r="L395" s="21" t="n">
        <x:f>J395*K395</x:f>
        <x:v>82.90044805737128</x:v>
      </x:c>
    </x:row>
    <x:row r="396">
      <x:c r="A396" s="17" t="str">
        <x:v>GD09</x:v>
      </x:c>
      <x:c r="B396" s="17" t="str">
        <x:v>惠州</x:v>
      </x:c>
      <x:c r="C396" s="24" t="n">
        <x:v>114.4127007</x:v>
      </x:c>
      <x:c r="D396" s="24" t="n">
        <x:v>23.1125153</x:v>
      </x:c>
      <x:c r="E396" s="17" t="str">
        <x:v>P10</x:v>
      </x:c>
      <x:c r="F396" s="17" t="str">
        <x:v>广州广汽商贸再生资源有限公司</x:v>
      </x:c>
      <x:c r="G396" s="17" t="str">
        <x:v>梯次利用</x:v>
      </x:c>
      <x:c r="H396" s="24" t="n">
        <x:v>113.2589581</x:v>
      </x:c>
      <x:c r="I396" s="24" t="n">
        <x:v>23.1288429</x:v>
      </x:c>
      <x:c r="J396" s="21" t="n">
        <x:f>6371*ACOS(MIN(1,COS(D396*PI()/180)*COS(I396*PI()/180)*COS((H396-C396)*PI()/180)+SIN(D396*PI()/180)*SIN(I396*PI()/180)))</x:f>
        <x:v>117.99968375716887</x:v>
      </x:c>
      <x:c r="K396" s="21" t="n">
        <x:f>'情景参数模板'!$D$31</x:f>
        <x:v>1.2</x:v>
      </x:c>
      <x:c r="L396" s="21" t="n">
        <x:f>J396*K396</x:f>
        <x:v>141.59962050860264</x:v>
      </x:c>
    </x:row>
    <x:row r="397">
      <x:c r="A397" s="17" t="str">
        <x:v>GD09</x:v>
      </x:c>
      <x:c r="B397" s="17" t="str">
        <x:v>惠州</x:v>
      </x:c>
      <x:c r="C397" s="24" t="n">
        <x:v>114.4127007</x:v>
      </x:c>
      <x:c r="D397" s="24" t="n">
        <x:v>23.1125153</x:v>
      </x:c>
      <x:c r="E397" s="17" t="str">
        <x:v>P11</x:v>
      </x:c>
      <x:c r="F397" s="17" t="str">
        <x:v>深圳市杰成镍钴新能源科技有限公司</x:v>
      </x:c>
      <x:c r="G397" s="17" t="str">
        <x:v>梯次利用</x:v>
      </x:c>
      <x:c r="H397" s="24" t="n">
        <x:v>114.0545429</x:v>
      </x:c>
      <x:c r="I397" s="24" t="n">
        <x:v>22.5445741</x:v>
      </x:c>
      <x:c r="J397" s="21" t="n">
        <x:f>6371*ACOS(MIN(1,COS(D397*PI()/180)*COS(I397*PI()/180)*COS((H397-C397)*PI()/180)+SIN(D397*PI()/180)*SIN(I397*PI()/180)))</x:f>
        <x:v>73.04448557045887</x:v>
      </x:c>
      <x:c r="K397" s="21" t="n">
        <x:f>'情景参数模板'!$D$31</x:f>
        <x:v>1.2</x:v>
      </x:c>
      <x:c r="L397" s="21" t="n">
        <x:f>J397*K397</x:f>
        <x:v>87.65338268455065</x:v>
      </x:c>
    </x:row>
    <x:row r="398">
      <x:c r="A398" s="17" t="str">
        <x:v>GD09</x:v>
      </x:c>
      <x:c r="B398" s="17" t="str">
        <x:v>惠州</x:v>
      </x:c>
      <x:c r="C398" s="24" t="n">
        <x:v>114.4127007</x:v>
      </x:c>
      <x:c r="D398" s="24" t="n">
        <x:v>23.1125153</x:v>
      </x:c>
      <x:c r="E398" s="17" t="str">
        <x:v>P12</x:v>
      </x:c>
      <x:c r="F398" s="17" t="str">
        <x:v>江门市恒创睿能环保科技有限公司</x:v>
      </x:c>
      <x:c r="G398" s="17" t="str">
        <x:v>再生利用</x:v>
      </x:c>
      <x:c r="H398" s="24" t="n">
        <x:v>113.0761073</x:v>
      </x:c>
      <x:c r="I398" s="24" t="n">
        <x:v>22.5816619</x:v>
      </x:c>
      <x:c r="J398" s="21" t="n">
        <x:f>6371*ACOS(MIN(1,COS(D398*PI()/180)*COS(I398*PI()/180)*COS((H398-C398)*PI()/180)+SIN(D398*PI()/180)*SIN(I398*PI()/180)))</x:f>
        <x:v>149.1396078501504</x:v>
      </x:c>
      <x:c r="K398" s="21" t="n">
        <x:f>'情景参数模板'!$D$31</x:f>
        <x:v>1.2</x:v>
      </x:c>
      <x:c r="L398" s="21" t="n">
        <x:f>J398*K398</x:f>
        <x:v>178.96752942018048</x:v>
      </x:c>
    </x:row>
    <x:row r="399">
      <x:c r="A399" s="17" t="str">
        <x:v>GD09</x:v>
      </x:c>
      <x:c r="B399" s="17" t="str">
        <x:v>惠州</x:v>
      </x:c>
      <x:c r="C399" s="24" t="n">
        <x:v>114.4127007</x:v>
      </x:c>
      <x:c r="D399" s="24" t="n">
        <x:v>23.1125153</x:v>
      </x:c>
      <x:c r="E399" s="17" t="str">
        <x:v>P13</x:v>
      </x:c>
      <x:c r="F399" s="17" t="str">
        <x:v>广东佳纳能源科技有限公司</x:v>
      </x:c>
      <x:c r="G399" s="17" t="str">
        <x:v>再生利用</x:v>
      </x:c>
      <x:c r="H399" s="24" t="n">
        <x:v>113.0505994</x:v>
      </x:c>
      <x:c r="I399" s="24" t="n">
        <x:v>23.6832984</x:v>
      </x:c>
      <x:c r="J399" s="21" t="n">
        <x:f>6371*ACOS(MIN(1,COS(D399*PI()/180)*COS(I399*PI()/180)*COS((H399-C399)*PI()/180)+SIN(D399*PI()/180)*SIN(I399*PI()/180)))</x:f>
        <x:v>152.80699130297583</x:v>
      </x:c>
      <x:c r="K399" s="21" t="n">
        <x:f>'情景参数模板'!$D$31</x:f>
        <x:v>1.2</x:v>
      </x:c>
      <x:c r="L399" s="21" t="n">
        <x:f>J399*K399</x:f>
        <x:v>183.368389563571</x:v>
      </x:c>
    </x:row>
    <x:row r="400">
      <x:c r="A400" s="17" t="str">
        <x:v>GD09</x:v>
      </x:c>
      <x:c r="B400" s="17" t="str">
        <x:v>惠州</x:v>
      </x:c>
      <x:c r="C400" s="24" t="n">
        <x:v>114.4127007</x:v>
      </x:c>
      <x:c r="D400" s="24" t="n">
        <x:v>23.1125153</x:v>
      </x:c>
      <x:c r="E400" s="17" t="str">
        <x:v>P14</x:v>
      </x:c>
      <x:c r="F400" s="17" t="str">
        <x:v>格林美（深圳）循环科技有限公司</x:v>
      </x:c>
      <x:c r="G400" s="17" t="str">
        <x:v>梯次利用</x:v>
      </x:c>
      <x:c r="H400" s="24" t="n">
        <x:v>114.0545429</x:v>
      </x:c>
      <x:c r="I400" s="24" t="n">
        <x:v>22.5445741</x:v>
      </x:c>
      <x:c r="J400" s="21" t="n">
        <x:f>6371*ACOS(MIN(1,COS(D400*PI()/180)*COS(I400*PI()/180)*COS((H400-C400)*PI()/180)+SIN(D400*PI()/180)*SIN(I400*PI()/180)))</x:f>
        <x:v>73.04448557045887</x:v>
      </x:c>
      <x:c r="K400" s="21" t="n">
        <x:f>'情景参数模板'!$D$31</x:f>
        <x:v>1.2</x:v>
      </x:c>
      <x:c r="L400" s="21" t="n">
        <x:f>J400*K400</x:f>
        <x:v>87.65338268455065</x:v>
      </x:c>
    </x:row>
    <x:row r="401">
      <x:c r="A401" s="17" t="str">
        <x:v>GD09</x:v>
      </x:c>
      <x:c r="B401" s="17" t="str">
        <x:v>惠州</x:v>
      </x:c>
      <x:c r="C401" s="24" t="n">
        <x:v>114.4127007</x:v>
      </x:c>
      <x:c r="D401" s="24" t="n">
        <x:v>23.1125153</x:v>
      </x:c>
      <x:c r="E401" s="17" t="str">
        <x:v>P15</x:v>
      </x:c>
      <x:c r="F401" s="17" t="str">
        <x:v>绿循新能源科技（佛山）有限责任公司</x:v>
      </x:c>
      <x:c r="G401" s="17" t="str">
        <x:v>梯次利用</x:v>
      </x:c>
      <x:c r="H401" s="24" t="n">
        <x:v>113.1159558</x:v>
      </x:c>
      <x:c r="I401" s="24" t="n">
        <x:v>23.0239788</x:v>
      </x:c>
      <x:c r="J401" s="21" t="n">
        <x:f>6371*ACOS(MIN(1,COS(D401*PI()/180)*COS(I401*PI()/180)*COS((H401-C401)*PI()/180)+SIN(D401*PI()/180)*SIN(I401*PI()/180)))</x:f>
        <x:v>133.0260660496842</x:v>
      </x:c>
      <x:c r="K401" s="21" t="n">
        <x:f>'情景参数模板'!$D$31</x:f>
        <x:v>1.2</x:v>
      </x:c>
      <x:c r="L401" s="21" t="n">
        <x:f>J401*K401</x:f>
        <x:v>159.63127925962104</x:v>
      </x:c>
    </x:row>
    <x:row r="402">
      <x:c r="A402" s="17" t="str">
        <x:v>GD09</x:v>
      </x:c>
      <x:c r="B402" s="17" t="str">
        <x:v>惠州</x:v>
      </x:c>
      <x:c r="C402" s="24" t="n">
        <x:v>114.4127007</x:v>
      </x:c>
      <x:c r="D402" s="24" t="n">
        <x:v>23.1125153</x:v>
      </x:c>
      <x:c r="E402" s="17" t="str">
        <x:v>P16</x:v>
      </x:c>
      <x:c r="F402" s="17" t="str">
        <x:v>深圳艾云动智慧科技有限公司</x:v>
      </x:c>
      <x:c r="G402" s="17" t="str">
        <x:v>梯次利用</x:v>
      </x:c>
      <x:c r="H402" s="24" t="n">
        <x:v>114.0545429</x:v>
      </x:c>
      <x:c r="I402" s="24" t="n">
        <x:v>22.5445741</x:v>
      </x:c>
      <x:c r="J402" s="21" t="n">
        <x:f>6371*ACOS(MIN(1,COS(D402*PI()/180)*COS(I402*PI()/180)*COS((H402-C402)*PI()/180)+SIN(D402*PI()/180)*SIN(I402*PI()/180)))</x:f>
        <x:v>73.04448557045887</x:v>
      </x:c>
      <x:c r="K402" s="21" t="n">
        <x:f>'情景参数模板'!$D$31</x:f>
        <x:v>1.2</x:v>
      </x:c>
      <x:c r="L402" s="21" t="n">
        <x:f>J402*K402</x:f>
        <x:v>87.65338268455065</x:v>
      </x:c>
    </x:row>
    <x:row r="403">
      <x:c r="A403" s="17" t="str">
        <x:v>GD09</x:v>
      </x:c>
      <x:c r="B403" s="17" t="str">
        <x:v>惠州</x:v>
      </x:c>
      <x:c r="C403" s="24" t="n">
        <x:v>114.4127007</x:v>
      </x:c>
      <x:c r="D403" s="24" t="n">
        <x:v>23.1125153</x:v>
      </x:c>
      <x:c r="E403" s="17" t="str">
        <x:v>P17</x:v>
      </x:c>
      <x:c r="F403" s="17" t="str">
        <x:v>深圳市荣高晟新能源科技有限公司</x:v>
      </x:c>
      <x:c r="G403" s="17" t="str">
        <x:v>梯次利用</x:v>
      </x:c>
      <x:c r="H403" s="24" t="n">
        <x:v>114.0545429</x:v>
      </x:c>
      <x:c r="I403" s="24" t="n">
        <x:v>22.5445741</x:v>
      </x:c>
      <x:c r="J403" s="21" t="n">
        <x:f>6371*ACOS(MIN(1,COS(D403*PI()/180)*COS(I403*PI()/180)*COS((H403-C403)*PI()/180)+SIN(D403*PI()/180)*SIN(I403*PI()/180)))</x:f>
        <x:v>73.04448557045887</x:v>
      </x:c>
      <x:c r="K403" s="21" t="n">
        <x:f>'情景参数模板'!$D$31</x:f>
        <x:v>1.2</x:v>
      </x:c>
      <x:c r="L403" s="21" t="n">
        <x:f>J403*K403</x:f>
        <x:v>87.65338268455065</x:v>
      </x:c>
    </x:row>
    <x:row r="404">
      <x:c r="A404" s="17" t="str">
        <x:v>GD09</x:v>
      </x:c>
      <x:c r="B404" s="17" t="str">
        <x:v>惠州</x:v>
      </x:c>
      <x:c r="C404" s="24" t="n">
        <x:v>114.4127007</x:v>
      </x:c>
      <x:c r="D404" s="24" t="n">
        <x:v>23.1125153</x:v>
      </x:c>
      <x:c r="E404" s="17" t="str">
        <x:v>P18</x:v>
      </x:c>
      <x:c r="F404" s="17" t="str">
        <x:v>中商锂新能源科技（惠州）有限公司</x:v>
      </x:c>
      <x:c r="G404" s="17" t="str">
        <x:v>梯次利用</x:v>
      </x:c>
      <x:c r="H404" s="24" t="n">
        <x:v>114.4127007</x:v>
      </x:c>
      <x:c r="I404" s="24" t="n">
        <x:v>23.1125153</x:v>
      </x:c>
      <x:c r="J404" s="21" t="n">
        <x:f>6371*ACOS(MIN(1,COS(D404*PI()/180)*COS(I404*PI()/180)*COS((H404-C404)*PI()/180)+SIN(D404*PI()/180)*SIN(I404*PI()/180)))</x:f>
        <x:v>0</x:v>
      </x:c>
      <x:c r="K404" s="21" t="n">
        <x:f>'情景参数模板'!$D$31</x:f>
        <x:v>1.2</x:v>
      </x:c>
      <x:c r="L404" s="21" t="n">
        <x:f>J404*K404</x:f>
        <x:v>0</x:v>
      </x:c>
    </x:row>
    <x:row r="405">
      <x:c r="A405" s="17" t="str">
        <x:v>GD09</x:v>
      </x:c>
      <x:c r="B405" s="17" t="str">
        <x:v>惠州</x:v>
      </x:c>
      <x:c r="C405" s="24" t="n">
        <x:v>114.4127007</x:v>
      </x:c>
      <x:c r="D405" s="24" t="n">
        <x:v>23.1125153</x:v>
      </x:c>
      <x:c r="E405" s="17" t="str">
        <x:v>P19</x:v>
      </x:c>
      <x:c r="F405" s="17" t="str">
        <x:v>广东盛祥新材料科技有限公司</x:v>
      </x:c>
      <x:c r="G405" s="17" t="str">
        <x:v>再生利用</x:v>
      </x:c>
      <x:c r="H405" s="24" t="n">
        <x:v>113.8155263</x:v>
      </x:c>
      <x:c r="I405" s="24" t="n">
        <x:v>24.8309489</x:v>
      </x:c>
      <x:c r="J405" s="21" t="n">
        <x:f>6371*ACOS(MIN(1,COS(D405*PI()/180)*COS(I405*PI()/180)*COS((H405-C405)*PI()/180)+SIN(D405*PI()/180)*SIN(I405*PI()/180)))</x:f>
        <x:v>200.4819895915133</x:v>
      </x:c>
      <x:c r="K405" s="21" t="n">
        <x:f>'情景参数模板'!$D$31</x:f>
        <x:v>1.2</x:v>
      </x:c>
      <x:c r="L405" s="21" t="n">
        <x:f>J405*K405</x:f>
        <x:v>240.57838750981594</x:v>
      </x:c>
    </x:row>
    <x:row r="406">
      <x:c r="A406" s="17" t="str">
        <x:v>GD09</x:v>
      </x:c>
      <x:c r="B406" s="17" t="str">
        <x:v>惠州</x:v>
      </x:c>
      <x:c r="C406" s="24" t="n">
        <x:v>114.4127007</x:v>
      </x:c>
      <x:c r="D406" s="24" t="n">
        <x:v>23.1125153</x:v>
      </x:c>
      <x:c r="E406" s="17" t="str">
        <x:v>P20E</x:v>
      </x:c>
      <x:c r="F406" s="17" t="str">
        <x:v>广东金晟新能源股份有限公司（梯次功能）</x:v>
      </x:c>
      <x:c r="G406" s="17" t="str">
        <x:v>梯次利用</x:v>
      </x:c>
      <x:c r="H406" s="24" t="n">
        <x:v>112.4603629</x:v>
      </x:c>
      <x:c r="I406" s="24" t="n">
        <x:v>23.0501661</x:v>
      </x:c>
      <x:c r="J406" s="21" t="n">
        <x:f>6371*ACOS(MIN(1,COS(D406*PI()/180)*COS(I406*PI()/180)*COS((H406-C406)*PI()/180)+SIN(D406*PI()/180)*SIN(I406*PI()/180)))</x:f>
        <x:v>199.83063084164635</x:v>
      </x:c>
      <x:c r="K406" s="21" t="n">
        <x:f>'情景参数模板'!$D$31</x:f>
        <x:v>1.2</x:v>
      </x:c>
      <x:c r="L406" s="21" t="n">
        <x:f>J406*K406</x:f>
        <x:v>239.7967570099756</x:v>
      </x:c>
    </x:row>
    <x:row r="407">
      <x:c r="A407" s="17" t="str">
        <x:v>GD09</x:v>
      </x:c>
      <x:c r="B407" s="17" t="str">
        <x:v>惠州</x:v>
      </x:c>
      <x:c r="C407" s="24" t="n">
        <x:v>114.4127007</x:v>
      </x:c>
      <x:c r="D407" s="24" t="n">
        <x:v>23.1125153</x:v>
      </x:c>
      <x:c r="E407" s="17" t="str">
        <x:v>P20R</x:v>
      </x:c>
      <x:c r="F407" s="17" t="str">
        <x:v>广东金晟新能源股份有限公司（再生功能）</x:v>
      </x:c>
      <x:c r="G407" s="17" t="str">
        <x:v>再生利用</x:v>
      </x:c>
      <x:c r="H407" s="24" t="n">
        <x:v>112.4603629</x:v>
      </x:c>
      <x:c r="I407" s="24" t="n">
        <x:v>23.0501661</x:v>
      </x:c>
      <x:c r="J407" s="21" t="n">
        <x:f>6371*ACOS(MIN(1,COS(D407*PI()/180)*COS(I407*PI()/180)*COS((H407-C407)*PI()/180)+SIN(D407*PI()/180)*SIN(I407*PI()/180)))</x:f>
        <x:v>199.83063084164635</x:v>
      </x:c>
      <x:c r="K407" s="21" t="n">
        <x:f>'情景参数模板'!$D$31</x:f>
        <x:v>1.2</x:v>
      </x:c>
      <x:c r="L407" s="21" t="n">
        <x:f>J407*K407</x:f>
        <x:v>239.7967570099756</x:v>
      </x:c>
    </x:row>
    <x:row r="408">
      <x:c r="A408" s="17" t="str">
        <x:v>GD09</x:v>
      </x:c>
      <x:c r="B408" s="17" t="str">
        <x:v>惠州</x:v>
      </x:c>
      <x:c r="C408" s="24" t="n">
        <x:v>114.4127007</x:v>
      </x:c>
      <x:c r="D408" s="24" t="n">
        <x:v>23.1125153</x:v>
      </x:c>
      <x:c r="E408" s="17" t="str">
        <x:v>P21E</x:v>
      </x:c>
      <x:c r="F408" s="17" t="str">
        <x:v>广东瑞科美电源技术有限公司（梯次功能）</x:v>
      </x:c>
      <x:c r="G408" s="17" t="str">
        <x:v>梯次利用</x:v>
      </x:c>
      <x:c r="H408" s="24" t="n">
        <x:v>113.1159558</x:v>
      </x:c>
      <x:c r="I408" s="24" t="n">
        <x:v>23.0239788</x:v>
      </x:c>
      <x:c r="J408" s="21" t="n">
        <x:f>6371*ACOS(MIN(1,COS(D408*PI()/180)*COS(I408*PI()/180)*COS((H408-C408)*PI()/180)+SIN(D408*PI()/180)*SIN(I408*PI()/180)))</x:f>
        <x:v>133.0260660496842</x:v>
      </x:c>
      <x:c r="K408" s="21" t="n">
        <x:f>'情景参数模板'!$D$31</x:f>
        <x:v>1.2</x:v>
      </x:c>
      <x:c r="L408" s="21" t="n">
        <x:f>J408*K408</x:f>
        <x:v>159.63127925962104</x:v>
      </x:c>
    </x:row>
    <x:row r="409">
      <x:c r="A409" s="17" t="str">
        <x:v>GD09</x:v>
      </x:c>
      <x:c r="B409" s="17" t="str">
        <x:v>惠州</x:v>
      </x:c>
      <x:c r="C409" s="24" t="n">
        <x:v>114.4127007</x:v>
      </x:c>
      <x:c r="D409" s="24" t="n">
        <x:v>23.1125153</x:v>
      </x:c>
      <x:c r="E409" s="17" t="str">
        <x:v>P21R</x:v>
      </x:c>
      <x:c r="F409" s="17" t="str">
        <x:v>广东瑞科美电源技术有限公司（再生功能）</x:v>
      </x:c>
      <x:c r="G409" s="17" t="str">
        <x:v>再生利用</x:v>
      </x:c>
      <x:c r="H409" s="24" t="n">
        <x:v>113.1159558</x:v>
      </x:c>
      <x:c r="I409" s="24" t="n">
        <x:v>23.0239788</x:v>
      </x:c>
      <x:c r="J409" s="21" t="n">
        <x:f>6371*ACOS(MIN(1,COS(D409*PI()/180)*COS(I409*PI()/180)*COS((H409-C409)*PI()/180)+SIN(D409*PI()/180)*SIN(I409*PI()/180)))</x:f>
        <x:v>133.0260660496842</x:v>
      </x:c>
      <x:c r="K409" s="21" t="n">
        <x:f>'情景参数模板'!$D$31</x:f>
        <x:v>1.2</x:v>
      </x:c>
      <x:c r="L409" s="21" t="n">
        <x:f>J409*K409</x:f>
        <x:v>159.63127925962104</x:v>
      </x:c>
    </x:row>
    <x:row r="410">
      <x:c r="A410" s="17" t="str">
        <x:v>GD10</x:v>
      </x:c>
      <x:c r="B410" s="17" t="str">
        <x:v>汕尾</x:v>
      </x:c>
      <x:c r="C410" s="24" t="n">
        <x:v>115.5099937</x:v>
      </x:c>
      <x:c r="D410" s="24" t="n">
        <x:v>23.0123639</x:v>
      </x:c>
      <x:c r="E410" s="17" t="str">
        <x:v>C01</x:v>
      </x:c>
      <x:c r="F410" s="17" t="str">
        <x:v>广州虚拟回收/检测中心</x:v>
      </x:c>
      <x:c r="G410" s="17" t="str">
        <x:v>回收中心候选</x:v>
      </x:c>
      <x:c r="H410" s="24" t="n">
        <x:v>113.2589581</x:v>
      </x:c>
      <x:c r="I410" s="24" t="n">
        <x:v>23.1288429</x:v>
      </x:c>
      <x:c r="J410" s="21" t="n">
        <x:f>6371*ACOS(MIN(1,COS(D410*PI()/180)*COS(I410*PI()/180)*COS((H410-C410)*PI()/180)+SIN(D410*PI()/180)*SIN(I410*PI()/180)))</x:f>
        <x:v>230.6467190844284</x:v>
      </x:c>
      <x:c r="K410" s="21" t="n">
        <x:f>'情景参数模板'!$D$31</x:f>
        <x:v>1.2</x:v>
      </x:c>
      <x:c r="L410" s="21" t="n">
        <x:f>J410*K410</x:f>
        <x:v>276.7760629013141</x:v>
      </x:c>
    </x:row>
    <x:row r="411">
      <x:c r="A411" s="17" t="str">
        <x:v>GD10</x:v>
      </x:c>
      <x:c r="B411" s="17" t="str">
        <x:v>汕尾</x:v>
      </x:c>
      <x:c r="C411" s="24" t="n">
        <x:v>115.5099937</x:v>
      </x:c>
      <x:c r="D411" s="24" t="n">
        <x:v>23.0123639</x:v>
      </x:c>
      <x:c r="E411" s="17" t="str">
        <x:v>C02</x:v>
      </x:c>
      <x:c r="F411" s="17" t="str">
        <x:v>深圳虚拟回收/检测中心</x:v>
      </x:c>
      <x:c r="G411" s="17" t="str">
        <x:v>回收中心候选</x:v>
      </x:c>
      <x:c r="H411" s="24" t="n">
        <x:v>114.0545429</x:v>
      </x:c>
      <x:c r="I411" s="24" t="n">
        <x:v>22.5445741</x:v>
      </x:c>
      <x:c r="J411" s="21" t="n">
        <x:f>6371*ACOS(MIN(1,COS(D411*PI()/180)*COS(I411*PI()/180)*COS((H411-C411)*PI()/180)+SIN(D411*PI()/180)*SIN(I411*PI()/180)))</x:f>
        <x:v>158.02187678789332</x:v>
      </x:c>
      <x:c r="K411" s="21" t="n">
        <x:f>'情景参数模板'!$D$31</x:f>
        <x:v>1.2</x:v>
      </x:c>
      <x:c r="L411" s="21" t="n">
        <x:f>J411*K411</x:f>
        <x:v>189.62625214547197</x:v>
      </x:c>
    </x:row>
    <x:row r="412">
      <x:c r="A412" s="17" t="str">
        <x:v>GD10</x:v>
      </x:c>
      <x:c r="B412" s="17" t="str">
        <x:v>汕尾</x:v>
      </x:c>
      <x:c r="C412" s="24" t="n">
        <x:v>115.5099937</x:v>
      </x:c>
      <x:c r="D412" s="24" t="n">
        <x:v>23.0123639</x:v>
      </x:c>
      <x:c r="E412" s="17" t="str">
        <x:v>C03</x:v>
      </x:c>
      <x:c r="F412" s="17" t="str">
        <x:v>珠海虚拟回收/检测中心</x:v>
      </x:c>
      <x:c r="G412" s="17" t="str">
        <x:v>回收中心候选</x:v>
      </x:c>
      <x:c r="H412" s="24" t="n">
        <x:v>113.5721327</x:v>
      </x:c>
      <x:c r="I412" s="24" t="n">
        <x:v>22.273734</x:v>
      </x:c>
      <x:c r="J412" s="21" t="n">
        <x:f>6371*ACOS(MIN(1,COS(D412*PI()/180)*COS(I412*PI()/180)*COS((H412-C412)*PI()/180)+SIN(D412*PI()/180)*SIN(I412*PI()/180)))</x:f>
        <x:v>215.16056931228954</x:v>
      </x:c>
      <x:c r="K412" s="21" t="n">
        <x:f>'情景参数模板'!$D$31</x:f>
        <x:v>1.2</x:v>
      </x:c>
      <x:c r="L412" s="21" t="n">
        <x:f>J412*K412</x:f>
        <x:v>258.19268317474746</x:v>
      </x:c>
    </x:row>
    <x:row r="413">
      <x:c r="A413" s="17" t="str">
        <x:v>GD10</x:v>
      </x:c>
      <x:c r="B413" s="17" t="str">
        <x:v>汕尾</x:v>
      </x:c>
      <x:c r="C413" s="24" t="n">
        <x:v>115.5099937</x:v>
      </x:c>
      <x:c r="D413" s="24" t="n">
        <x:v>23.0123639</x:v>
      </x:c>
      <x:c r="E413" s="17" t="str">
        <x:v>C04</x:v>
      </x:c>
      <x:c r="F413" s="17" t="str">
        <x:v>汕头虚拟回收/检测中心</x:v>
      </x:c>
      <x:c r="G413" s="17" t="str">
        <x:v>回收中心候选</x:v>
      </x:c>
      <x:c r="H413" s="24" t="n">
        <x:v>116.6775856</x:v>
      </x:c>
      <x:c r="I413" s="24" t="n">
        <x:v>23.3563921</x:v>
      </x:c>
      <x:c r="J413" s="21" t="n">
        <x:f>6371*ACOS(MIN(1,COS(D413*PI()/180)*COS(I413*PI()/180)*COS((H413-C413)*PI()/180)+SIN(D413*PI()/180)*SIN(I413*PI()/180)))</x:f>
        <x:v>125.32598093140014</x:v>
      </x:c>
      <x:c r="K413" s="21" t="n">
        <x:f>'情景参数模板'!$D$31</x:f>
        <x:v>1.2</x:v>
      </x:c>
      <x:c r="L413" s="21" t="n">
        <x:f>J413*K413</x:f>
        <x:v>150.39117711768017</x:v>
      </x:c>
    </x:row>
    <x:row r="414">
      <x:c r="A414" s="17" t="str">
        <x:v>GD10</x:v>
      </x:c>
      <x:c r="B414" s="17" t="str">
        <x:v>汕尾</x:v>
      </x:c>
      <x:c r="C414" s="24" t="n">
        <x:v>115.5099937</x:v>
      </x:c>
      <x:c r="D414" s="24" t="n">
        <x:v>23.0123639</x:v>
      </x:c>
      <x:c r="E414" s="17" t="str">
        <x:v>C05</x:v>
      </x:c>
      <x:c r="F414" s="17" t="str">
        <x:v>佛山虚拟回收/检测中心</x:v>
      </x:c>
      <x:c r="G414" s="17" t="str">
        <x:v>回收中心候选</x:v>
      </x:c>
      <x:c r="H414" s="24" t="n">
        <x:v>113.1159558</x:v>
      </x:c>
      <x:c r="I414" s="24" t="n">
        <x:v>23.0239788</x:v>
      </x:c>
      <x:c r="J414" s="21" t="n">
        <x:f>6371*ACOS(MIN(1,COS(D414*PI()/180)*COS(I414*PI()/180)*COS((H414-C414)*PI()/180)+SIN(D414*PI()/180)*SIN(I414*PI()/180)))</x:f>
        <x:v>245.01055089313536</x:v>
      </x:c>
      <x:c r="K414" s="21" t="n">
        <x:f>'情景参数模板'!$D$31</x:f>
        <x:v>1.2</x:v>
      </x:c>
      <x:c r="L414" s="21" t="n">
        <x:f>J414*K414</x:f>
        <x:v>294.0126610717624</x:v>
      </x:c>
    </x:row>
    <x:row r="415">
      <x:c r="A415" s="17" t="str">
        <x:v>GD10</x:v>
      </x:c>
      <x:c r="B415" s="17" t="str">
        <x:v>汕尾</x:v>
      </x:c>
      <x:c r="C415" s="24" t="n">
        <x:v>115.5099937</x:v>
      </x:c>
      <x:c r="D415" s="24" t="n">
        <x:v>23.0123639</x:v>
      </x:c>
      <x:c r="E415" s="17" t="str">
        <x:v>C06</x:v>
      </x:c>
      <x:c r="F415" s="17" t="str">
        <x:v>韶关虚拟回收/检测中心</x:v>
      </x:c>
      <x:c r="G415" s="17" t="str">
        <x:v>回收中心候选</x:v>
      </x:c>
      <x:c r="H415" s="24" t="n">
        <x:v>113.8155263</x:v>
      </x:c>
      <x:c r="I415" s="24" t="n">
        <x:v>24.8309489</x:v>
      </x:c>
      <x:c r="J415" s="21" t="n">
        <x:f>6371*ACOS(MIN(1,COS(D415*PI()/180)*COS(I415*PI()/180)*COS((H415-C415)*PI()/180)+SIN(D415*PI()/180)*SIN(I415*PI()/180)))</x:f>
        <x:v>265.61478907353063</x:v>
      </x:c>
      <x:c r="K415" s="21" t="n">
        <x:f>'情景参数模板'!$D$31</x:f>
        <x:v>1.2</x:v>
      </x:c>
      <x:c r="L415" s="21" t="n">
        <x:f>J415*K415</x:f>
        <x:v>318.73774688823676</x:v>
      </x:c>
    </x:row>
    <x:row r="416">
      <x:c r="A416" s="17" t="str">
        <x:v>GD10</x:v>
      </x:c>
      <x:c r="B416" s="17" t="str">
        <x:v>汕尾</x:v>
      </x:c>
      <x:c r="C416" s="24" t="n">
        <x:v>115.5099937</x:v>
      </x:c>
      <x:c r="D416" s="24" t="n">
        <x:v>23.0123639</x:v>
      </x:c>
      <x:c r="E416" s="17" t="str">
        <x:v>C07</x:v>
      </x:c>
      <x:c r="F416" s="17" t="str">
        <x:v>河源虚拟回收/检测中心</x:v>
      </x:c>
      <x:c r="G416" s="17" t="str">
        <x:v>回收中心候选</x:v>
      </x:c>
      <x:c r="H416" s="24" t="n">
        <x:v>115.0577538</x:v>
      </x:c>
      <x:c r="I416" s="24" t="n">
        <x:v>24.1014769</x:v>
      </x:c>
      <x:c r="J416" s="21" t="n">
        <x:f>6371*ACOS(MIN(1,COS(D416*PI()/180)*COS(I416*PI()/180)*COS((H416-C416)*PI()/180)+SIN(D416*PI()/180)*SIN(I416*PI()/180)))</x:f>
        <x:v>129.57964487920876</x:v>
      </x:c>
      <x:c r="K416" s="21" t="n">
        <x:f>'情景参数模板'!$D$31</x:f>
        <x:v>1.2</x:v>
      </x:c>
      <x:c r="L416" s="21" t="n">
        <x:f>J416*K416</x:f>
        <x:v>155.4955738550505</x:v>
      </x:c>
    </x:row>
    <x:row r="417">
      <x:c r="A417" s="17" t="str">
        <x:v>GD10</x:v>
      </x:c>
      <x:c r="B417" s="17" t="str">
        <x:v>汕尾</x:v>
      </x:c>
      <x:c r="C417" s="24" t="n">
        <x:v>115.5099937</x:v>
      </x:c>
      <x:c r="D417" s="24" t="n">
        <x:v>23.0123639</x:v>
      </x:c>
      <x:c r="E417" s="17" t="str">
        <x:v>C08</x:v>
      </x:c>
      <x:c r="F417" s="17" t="str">
        <x:v>梅州虚拟回收/检测中心</x:v>
      </x:c>
      <x:c r="G417" s="17" t="str">
        <x:v>回收中心候选</x:v>
      </x:c>
      <x:c r="H417" s="24" t="n">
        <x:v>116.1171428</x:v>
      </x:c>
      <x:c r="I417" s="24" t="n">
        <x:v>24.2918414</x:v>
      </x:c>
      <x:c r="J417" s="21" t="n">
        <x:f>6371*ACOS(MIN(1,COS(D417*PI()/180)*COS(I417*PI()/180)*COS((H417-C417)*PI()/180)+SIN(D417*PI()/180)*SIN(I417*PI()/180)))</x:f>
        <x:v>155.1295576754154</x:v>
      </x:c>
      <x:c r="K417" s="21" t="n">
        <x:f>'情景参数模板'!$D$31</x:f>
        <x:v>1.2</x:v>
      </x:c>
      <x:c r="L417" s="21" t="n">
        <x:f>J417*K417</x:f>
        <x:v>186.1554692104985</x:v>
      </x:c>
    </x:row>
    <x:row r="418">
      <x:c r="A418" s="17" t="str">
        <x:v>GD10</x:v>
      </x:c>
      <x:c r="B418" s="17" t="str">
        <x:v>汕尾</x:v>
      </x:c>
      <x:c r="C418" s="24" t="n">
        <x:v>115.5099937</x:v>
      </x:c>
      <x:c r="D418" s="24" t="n">
        <x:v>23.0123639</x:v>
      </x:c>
      <x:c r="E418" s="17" t="str">
        <x:v>C09</x:v>
      </x:c>
      <x:c r="F418" s="17" t="str">
        <x:v>惠州虚拟回收/检测中心</x:v>
      </x:c>
      <x:c r="G418" s="17" t="str">
        <x:v>回收中心候选</x:v>
      </x:c>
      <x:c r="H418" s="24" t="n">
        <x:v>114.4127007</x:v>
      </x:c>
      <x:c r="I418" s="24" t="n">
        <x:v>23.1125153</x:v>
      </x:c>
      <x:c r="J418" s="21" t="n">
        <x:f>6371*ACOS(MIN(1,COS(D418*PI()/180)*COS(I418*PI()/180)*COS((H418-C418)*PI()/180)+SIN(D418*PI()/180)*SIN(I418*PI()/180)))</x:f>
        <x:v>112.81264213991685</x:v>
      </x:c>
      <x:c r="K418" s="21" t="n">
        <x:f>'情景参数模板'!$D$31</x:f>
        <x:v>1.2</x:v>
      </x:c>
      <x:c r="L418" s="21" t="n">
        <x:f>J418*K418</x:f>
        <x:v>135.3751705679002</x:v>
      </x:c>
    </x:row>
    <x:row r="419">
      <x:c r="A419" s="17" t="str">
        <x:v>GD10</x:v>
      </x:c>
      <x:c r="B419" s="17" t="str">
        <x:v>汕尾</x:v>
      </x:c>
      <x:c r="C419" s="24" t="n">
        <x:v>115.5099937</x:v>
      </x:c>
      <x:c r="D419" s="24" t="n">
        <x:v>23.0123639</x:v>
      </x:c>
      <x:c r="E419" s="17" t="str">
        <x:v>C10</x:v>
      </x:c>
      <x:c r="F419" s="17" t="str">
        <x:v>汕尾虚拟回收/检测中心</x:v>
      </x:c>
      <x:c r="G419" s="17" t="str">
        <x:v>回收中心候选</x:v>
      </x:c>
      <x:c r="H419" s="24" t="n">
        <x:v>115.5099937</x:v>
      </x:c>
      <x:c r="I419" s="24" t="n">
        <x:v>23.0123639</x:v>
      </x:c>
      <x:c r="J419" s="21" t="n">
        <x:f>6371*ACOS(MIN(1,COS(D419*PI()/180)*COS(I419*PI()/180)*COS((H419-C419)*PI()/180)+SIN(D419*PI()/180)*SIN(I419*PI()/180)))</x:f>
        <x:v>0</x:v>
      </x:c>
      <x:c r="K419" s="21" t="n">
        <x:f>'情景参数模板'!$D$31</x:f>
        <x:v>1.2</x:v>
      </x:c>
      <x:c r="L419" s="21" t="n">
        <x:f>J419*K419</x:f>
        <x:v>0</x:v>
      </x:c>
    </x:row>
    <x:row r="420">
      <x:c r="A420" s="17" t="str">
        <x:v>GD10</x:v>
      </x:c>
      <x:c r="B420" s="17" t="str">
        <x:v>汕尾</x:v>
      </x:c>
      <x:c r="C420" s="24" t="n">
        <x:v>115.5099937</x:v>
      </x:c>
      <x:c r="D420" s="24" t="n">
        <x:v>23.0123639</x:v>
      </x:c>
      <x:c r="E420" s="17" t="str">
        <x:v>C11</x:v>
      </x:c>
      <x:c r="F420" s="17" t="str">
        <x:v>东莞虚拟回收/检测中心</x:v>
      </x:c>
      <x:c r="G420" s="17" t="str">
        <x:v>回收中心候选</x:v>
      </x:c>
      <x:c r="H420" s="24" t="n">
        <x:v>113.7452332</x:v>
      </x:c>
      <x:c r="I420" s="24" t="n">
        <x:v>23.0183568</x:v>
      </x:c>
      <x:c r="J420" s="21" t="n">
        <x:f>6371*ACOS(MIN(1,COS(D420*PI()/180)*COS(I420*PI()/180)*COS((H420-C420)*PI()/180)+SIN(D420*PI()/180)*SIN(I420*PI()/180)))</x:f>
        <x:v>180.61246561279575</x:v>
      </x:c>
      <x:c r="K420" s="21" t="n">
        <x:f>'情景参数模板'!$D$31</x:f>
        <x:v>1.2</x:v>
      </x:c>
      <x:c r="L420" s="21" t="n">
        <x:f>J420*K420</x:f>
        <x:v>216.7349587353549</x:v>
      </x:c>
    </x:row>
    <x:row r="421">
      <x:c r="A421" s="17" t="str">
        <x:v>GD10</x:v>
      </x:c>
      <x:c r="B421" s="17" t="str">
        <x:v>汕尾</x:v>
      </x:c>
      <x:c r="C421" s="24" t="n">
        <x:v>115.5099937</x:v>
      </x:c>
      <x:c r="D421" s="24" t="n">
        <x:v>23.0123639</x:v>
      </x:c>
      <x:c r="E421" s="17" t="str">
        <x:v>C12</x:v>
      </x:c>
      <x:c r="F421" s="17" t="str">
        <x:v>中山虚拟回收/检测中心</x:v>
      </x:c>
      <x:c r="G421" s="17" t="str">
        <x:v>回收中心候选</x:v>
      </x:c>
      <x:c r="H421" s="24" t="n">
        <x:v>113.3872302</x:v>
      </x:c>
      <x:c r="I421" s="24" t="n">
        <x:v>22.5197073</x:v>
      </x:c>
      <x:c r="J421" s="21" t="n">
        <x:f>6371*ACOS(MIN(1,COS(D421*PI()/180)*COS(I421*PI()/180)*COS((H421-C421)*PI()/180)+SIN(D421*PI()/180)*SIN(I421*PI()/180)))</x:f>
        <x:v>224.4365359002932</x:v>
      </x:c>
      <x:c r="K421" s="21" t="n">
        <x:f>'情景参数模板'!$D$31</x:f>
        <x:v>1.2</x:v>
      </x:c>
      <x:c r="L421" s="21" t="n">
        <x:f>J421*K421</x:f>
        <x:v>269.3238430803518</x:v>
      </x:c>
    </x:row>
    <x:row r="422">
      <x:c r="A422" s="17" t="str">
        <x:v>GD10</x:v>
      </x:c>
      <x:c r="B422" s="17" t="str">
        <x:v>汕尾</x:v>
      </x:c>
      <x:c r="C422" s="24" t="n">
        <x:v>115.5099937</x:v>
      </x:c>
      <x:c r="D422" s="24" t="n">
        <x:v>23.0123639</x:v>
      </x:c>
      <x:c r="E422" s="17" t="str">
        <x:v>C13</x:v>
      </x:c>
      <x:c r="F422" s="17" t="str">
        <x:v>江门虚拟回收/检测中心</x:v>
      </x:c>
      <x:c r="G422" s="17" t="str">
        <x:v>回收中心候选</x:v>
      </x:c>
      <x:c r="H422" s="24" t="n">
        <x:v>113.0761073</x:v>
      </x:c>
      <x:c r="I422" s="24" t="n">
        <x:v>22.5816619</x:v>
      </x:c>
      <x:c r="J422" s="21" t="n">
        <x:f>6371*ACOS(MIN(1,COS(D422*PI()/180)*COS(I422*PI()/180)*COS((H422-C422)*PI()/180)+SIN(D422*PI()/180)*SIN(I422*PI()/180)))</x:f>
        <x:v>254.0459836486194</x:v>
      </x:c>
      <x:c r="K422" s="21" t="n">
        <x:f>'情景参数模板'!$D$31</x:f>
        <x:v>1.2</x:v>
      </x:c>
      <x:c r="L422" s="21" t="n">
        <x:f>J422*K422</x:f>
        <x:v>304.8551803783433</x:v>
      </x:c>
    </x:row>
    <x:row r="423">
      <x:c r="A423" s="17" t="str">
        <x:v>GD10</x:v>
      </x:c>
      <x:c r="B423" s="17" t="str">
        <x:v>汕尾</x:v>
      </x:c>
      <x:c r="C423" s="24" t="n">
        <x:v>115.5099937</x:v>
      </x:c>
      <x:c r="D423" s="24" t="n">
        <x:v>23.0123639</x:v>
      </x:c>
      <x:c r="E423" s="17" t="str">
        <x:v>C14</x:v>
      </x:c>
      <x:c r="F423" s="17" t="str">
        <x:v>阳江虚拟回收/检测中心</x:v>
      </x:c>
      <x:c r="G423" s="17" t="str">
        <x:v>回收中心候选</x:v>
      </x:c>
      <x:c r="H423" s="24" t="n">
        <x:v>111.7831393</x:v>
      </x:c>
      <x:c r="I423" s="24" t="n">
        <x:v>22.0958223</x:v>
      </x:c>
      <x:c r="J423" s="21" t="n">
        <x:f>6371*ACOS(MIN(1,COS(D423*PI()/180)*COS(I423*PI()/180)*COS((H423-C423)*PI()/180)+SIN(D423*PI()/180)*SIN(I423*PI()/180)))</x:f>
        <x:v>396.03429540890875</x:v>
      </x:c>
      <x:c r="K423" s="21" t="n">
        <x:f>'情景参数模板'!$D$31</x:f>
        <x:v>1.2</x:v>
      </x:c>
      <x:c r="L423" s="21" t="n">
        <x:f>J423*K423</x:f>
        <x:v>475.24115449069046</x:v>
      </x:c>
    </x:row>
    <x:row r="424">
      <x:c r="A424" s="17" t="str">
        <x:v>GD10</x:v>
      </x:c>
      <x:c r="B424" s="17" t="str">
        <x:v>汕尾</x:v>
      </x:c>
      <x:c r="C424" s="24" t="n">
        <x:v>115.5099937</x:v>
      </x:c>
      <x:c r="D424" s="24" t="n">
        <x:v>23.0123639</x:v>
      </x:c>
      <x:c r="E424" s="17" t="str">
        <x:v>C15</x:v>
      </x:c>
      <x:c r="F424" s="17" t="str">
        <x:v>湛江虚拟回收/检测中心</x:v>
      </x:c>
      <x:c r="G424" s="17" t="str">
        <x:v>回收中心候选</x:v>
      </x:c>
      <x:c r="H424" s="24" t="n">
        <x:v>110.3548318</x:v>
      </x:c>
      <x:c r="I424" s="24" t="n">
        <x:v>21.2737079</x:v>
      </x:c>
      <x:c r="J424" s="21" t="n">
        <x:f>6371*ACOS(MIN(1,COS(D424*PI()/180)*COS(I424*PI()/180)*COS((H424-C424)*PI()/180)+SIN(D424*PI()/180)*SIN(I424*PI()/180)))</x:f>
        <x:v>564.9997631187175</x:v>
      </x:c>
      <x:c r="K424" s="21" t="n">
        <x:f>'情景参数模板'!$D$31</x:f>
        <x:v>1.2</x:v>
      </x:c>
      <x:c r="L424" s="21" t="n">
        <x:f>J424*K424</x:f>
        <x:v>677.999715742461</x:v>
      </x:c>
    </x:row>
    <x:row r="425">
      <x:c r="A425" s="17" t="str">
        <x:v>GD10</x:v>
      </x:c>
      <x:c r="B425" s="17" t="str">
        <x:v>汕尾</x:v>
      </x:c>
      <x:c r="C425" s="24" t="n">
        <x:v>115.5099937</x:v>
      </x:c>
      <x:c r="D425" s="24" t="n">
        <x:v>23.0123639</x:v>
      </x:c>
      <x:c r="E425" s="17" t="str">
        <x:v>C16</x:v>
      </x:c>
      <x:c r="F425" s="17" t="str">
        <x:v>茂名虚拟回收/检测中心</x:v>
      </x:c>
      <x:c r="G425" s="17" t="str">
        <x:v>回收中心候选</x:v>
      </x:c>
      <x:c r="H425" s="24" t="n">
        <x:v>110.9209511</x:v>
      </x:c>
      <x:c r="I425" s="24" t="n">
        <x:v>21.6656961</x:v>
      </x:c>
      <x:c r="J425" s="21" t="n">
        <x:f>6371*ACOS(MIN(1,COS(D425*PI()/180)*COS(I425*PI()/180)*COS((H425-C425)*PI()/180)+SIN(D425*PI()/180)*SIN(I425*PI()/180)))</x:f>
        <x:v>495.1338872559812</x:v>
      </x:c>
      <x:c r="K425" s="21" t="n">
        <x:f>'情景参数模板'!$D$31</x:f>
        <x:v>1.2</x:v>
      </x:c>
      <x:c r="L425" s="21" t="n">
        <x:f>J425*K425</x:f>
        <x:v>594.1606647071775</x:v>
      </x:c>
    </x:row>
    <x:row r="426">
      <x:c r="A426" s="17" t="str">
        <x:v>GD10</x:v>
      </x:c>
      <x:c r="B426" s="17" t="str">
        <x:v>汕尾</x:v>
      </x:c>
      <x:c r="C426" s="24" t="n">
        <x:v>115.5099937</x:v>
      </x:c>
      <x:c r="D426" s="24" t="n">
        <x:v>23.0123639</x:v>
      </x:c>
      <x:c r="E426" s="17" t="str">
        <x:v>C17</x:v>
      </x:c>
      <x:c r="F426" s="17" t="str">
        <x:v>肇庆虚拟回收/检测中心</x:v>
      </x:c>
      <x:c r="G426" s="17" t="str">
        <x:v>回收中心候选</x:v>
      </x:c>
      <x:c r="H426" s="24" t="n">
        <x:v>112.4603629</x:v>
      </x:c>
      <x:c r="I426" s="24" t="n">
        <x:v>23.0501661</x:v>
      </x:c>
      <x:c r="J426" s="21" t="n">
        <x:f>6371*ACOS(MIN(1,COS(D426*PI()/180)*COS(I426*PI()/180)*COS((H426-C426)*PI()/180)+SIN(D426*PI()/180)*SIN(I426*PI()/180)))</x:f>
        <x:v>312.0967041495048</x:v>
      </x:c>
      <x:c r="K426" s="21" t="n">
        <x:f>'情景参数模板'!$D$31</x:f>
        <x:v>1.2</x:v>
      </x:c>
      <x:c r="L426" s="21" t="n">
        <x:f>J426*K426</x:f>
        <x:v>374.5160449794057</x:v>
      </x:c>
    </x:row>
    <x:row r="427">
      <x:c r="A427" s="17" t="str">
        <x:v>GD10</x:v>
      </x:c>
      <x:c r="B427" s="17" t="str">
        <x:v>汕尾</x:v>
      </x:c>
      <x:c r="C427" s="24" t="n">
        <x:v>115.5099937</x:v>
      </x:c>
      <x:c r="D427" s="24" t="n">
        <x:v>23.0123639</x:v>
      </x:c>
      <x:c r="E427" s="17" t="str">
        <x:v>C18</x:v>
      </x:c>
      <x:c r="F427" s="17" t="str">
        <x:v>清远虚拟回收/检测中心</x:v>
      </x:c>
      <x:c r="G427" s="17" t="str">
        <x:v>回收中心候选</x:v>
      </x:c>
      <x:c r="H427" s="24" t="n">
        <x:v>113.0505994</x:v>
      </x:c>
      <x:c r="I427" s="24" t="n">
        <x:v>23.6832984</x:v>
      </x:c>
      <x:c r="J427" s="21" t="n">
        <x:f>6371*ACOS(MIN(1,COS(D427*PI()/180)*COS(I427*PI()/180)*COS((H427-C427)*PI()/180)+SIN(D427*PI()/180)*SIN(I427*PI()/180)))</x:f>
        <x:v>261.9235028063955</x:v>
      </x:c>
      <x:c r="K427" s="21" t="n">
        <x:f>'情景参数模板'!$D$31</x:f>
        <x:v>1.2</x:v>
      </x:c>
      <x:c r="L427" s="21" t="n">
        <x:f>J427*K427</x:f>
        <x:v>314.3082033676746</x:v>
      </x:c>
    </x:row>
    <x:row r="428">
      <x:c r="A428" s="17" t="str">
        <x:v>GD10</x:v>
      </x:c>
      <x:c r="B428" s="17" t="str">
        <x:v>汕尾</x:v>
      </x:c>
      <x:c r="C428" s="24" t="n">
        <x:v>115.5099937</x:v>
      </x:c>
      <x:c r="D428" s="24" t="n">
        <x:v>23.0123639</x:v>
      </x:c>
      <x:c r="E428" s="17" t="str">
        <x:v>C19</x:v>
      </x:c>
      <x:c r="F428" s="17" t="str">
        <x:v>潮州虚拟回收/检测中心</x:v>
      </x:c>
      <x:c r="G428" s="17" t="str">
        <x:v>回收中心候选</x:v>
      </x:c>
      <x:c r="H428" s="24" t="n">
        <x:v>116.6204223</x:v>
      </x:c>
      <x:c r="I428" s="24" t="n">
        <x:v>23.656593</x:v>
      </x:c>
      <x:c r="J428" s="21" t="n">
        <x:f>6371*ACOS(MIN(1,COS(D428*PI()/180)*COS(I428*PI()/180)*COS((H428-C428)*PI()/180)+SIN(D428*PI()/180)*SIN(I428*PI()/180)))</x:f>
        <x:v>134.10876046805132</x:v>
      </x:c>
      <x:c r="K428" s="21" t="n">
        <x:f>'情景参数模板'!$D$31</x:f>
        <x:v>1.2</x:v>
      </x:c>
      <x:c r="L428" s="21" t="n">
        <x:f>J428*K428</x:f>
        <x:v>160.93051256166157</x:v>
      </x:c>
    </x:row>
    <x:row r="429">
      <x:c r="A429" s="17" t="str">
        <x:v>GD10</x:v>
      </x:c>
      <x:c r="B429" s="17" t="str">
        <x:v>汕尾</x:v>
      </x:c>
      <x:c r="C429" s="24" t="n">
        <x:v>115.5099937</x:v>
      </x:c>
      <x:c r="D429" s="24" t="n">
        <x:v>23.0123639</x:v>
      </x:c>
      <x:c r="E429" s="17" t="str">
        <x:v>C20</x:v>
      </x:c>
      <x:c r="F429" s="17" t="str">
        <x:v>揭阳虚拟回收/检测中心</x:v>
      </x:c>
      <x:c r="G429" s="17" t="str">
        <x:v>回收中心候选</x:v>
      </x:c>
      <x:c r="H429" s="24" t="n">
        <x:v>116.3680354</x:v>
      </x:c>
      <x:c r="I429" s="24" t="n">
        <x:v>23.553156</x:v>
      </x:c>
      <x:c r="J429" s="21" t="n">
        <x:f>6371*ACOS(MIN(1,COS(D429*PI()/180)*COS(I429*PI()/180)*COS((H429-C429)*PI()/180)+SIN(D429*PI()/180)*SIN(I429*PI()/180)))</x:f>
        <x:v>106.28600251464582</x:v>
      </x:c>
      <x:c r="K429" s="21" t="n">
        <x:f>'情景参数模板'!$D$31</x:f>
        <x:v>1.2</x:v>
      </x:c>
      <x:c r="L429" s="21" t="n">
        <x:f>J429*K429</x:f>
        <x:v>127.54320301757497</x:v>
      </x:c>
    </x:row>
    <x:row r="430">
      <x:c r="A430" s="17" t="str">
        <x:v>GD10</x:v>
      </x:c>
      <x:c r="B430" s="17" t="str">
        <x:v>汕尾</x:v>
      </x:c>
      <x:c r="C430" s="24" t="n">
        <x:v>115.5099937</x:v>
      </x:c>
      <x:c r="D430" s="24" t="n">
        <x:v>23.0123639</x:v>
      </x:c>
      <x:c r="E430" s="17" t="str">
        <x:v>C21</x:v>
      </x:c>
      <x:c r="F430" s="17" t="str">
        <x:v>云浮虚拟回收/检测中心</x:v>
      </x:c>
      <x:c r="G430" s="17" t="str">
        <x:v>回收中心候选</x:v>
      </x:c>
      <x:c r="H430" s="24" t="n">
        <x:v>111.8078586</x:v>
      </x:c>
      <x:c r="I430" s="24" t="n">
        <x:v>22.8546663</x:v>
      </x:c>
      <x:c r="J430" s="21" t="n">
        <x:f>6371*ACOS(MIN(1,COS(D430*PI()/180)*COS(I430*PI()/180)*COS((H430-C430)*PI()/180)+SIN(D430*PI()/180)*SIN(I430*PI()/180)))</x:f>
        <x:v>379.5152802491003</x:v>
      </x:c>
      <x:c r="K430" s="21" t="n">
        <x:f>'情景参数模板'!$D$31</x:f>
        <x:v>1.2</x:v>
      </x:c>
      <x:c r="L430" s="21" t="n">
        <x:f>J430*K430</x:f>
        <x:v>455.41833629892034</x:v>
      </x:c>
    </x:row>
    <x:row r="431">
      <x:c r="A431" s="17" t="str">
        <x:v>GD10</x:v>
      </x:c>
      <x:c r="B431" s="17" t="str">
        <x:v>汕尾</x:v>
      </x:c>
      <x:c r="C431" s="24" t="n">
        <x:v>115.5099937</x:v>
      </x:c>
      <x:c r="D431" s="24" t="n">
        <x:v>23.0123639</x:v>
      </x:c>
      <x:c r="E431" s="17" t="str">
        <x:v>P01</x:v>
      </x:c>
      <x:c r="F431" s="17" t="str">
        <x:v>汕尾比亚迪废旧动力电池回收项目</x:v>
      </x:c>
      <x:c r="G431" s="17" t="str">
        <x:v>再生利用</x:v>
      </x:c>
      <x:c r="H431" s="24" t="n">
        <x:v>115.3492668</x:v>
      </x:c>
      <x:c r="I431" s="24" t="n">
        <x:v>22.838065</x:v>
      </x:c>
      <x:c r="J431" s="21" t="n">
        <x:f>6371*ACOS(MIN(1,COS(D431*PI()/180)*COS(I431*PI()/180)*COS((H431-C431)*PI()/180)+SIN(D431*PI()/180)*SIN(I431*PI()/180)))</x:f>
        <x:v>25.427795943356234</x:v>
      </x:c>
      <x:c r="K431" s="21" t="n">
        <x:f>'情景参数模板'!$D$31</x:f>
        <x:v>1.2</x:v>
      </x:c>
      <x:c r="L431" s="21" t="n">
        <x:f>J431*K431</x:f>
        <x:v>30.513355132027478</x:v>
      </x:c>
    </x:row>
    <x:row r="432">
      <x:c r="A432" s="17" t="str">
        <x:v>GD10</x:v>
      </x:c>
      <x:c r="B432" s="17" t="str">
        <x:v>汕尾</x:v>
      </x:c>
      <x:c r="C432" s="24" t="n">
        <x:v>115.5099937</x:v>
      </x:c>
      <x:c r="D432" s="24" t="n">
        <x:v>23.0123639</x:v>
      </x:c>
      <x:c r="E432" s="17" t="str">
        <x:v>P02E</x:v>
      </x:c>
      <x:c r="F432" s="17" t="str">
        <x:v>广东光华科技股份有限公司（梯次功能）</x:v>
      </x:c>
      <x:c r="G432" s="17" t="str">
        <x:v>梯次利用</x:v>
      </x:c>
      <x:c r="H432" s="24" t="n">
        <x:v>116.6775856</x:v>
      </x:c>
      <x:c r="I432" s="24" t="n">
        <x:v>23.3563921</x:v>
      </x:c>
      <x:c r="J432" s="21" t="n">
        <x:f>6371*ACOS(MIN(1,COS(D432*PI()/180)*COS(I432*PI()/180)*COS((H432-C432)*PI()/180)+SIN(D432*PI()/180)*SIN(I432*PI()/180)))</x:f>
        <x:v>125.32598093140014</x:v>
      </x:c>
      <x:c r="K432" s="21" t="n">
        <x:f>'情景参数模板'!$D$31</x:f>
        <x:v>1.2</x:v>
      </x:c>
      <x:c r="L432" s="21" t="n">
        <x:f>J432*K432</x:f>
        <x:v>150.39117711768017</x:v>
      </x:c>
    </x:row>
    <x:row r="433">
      <x:c r="A433" s="17" t="str">
        <x:v>GD10</x:v>
      </x:c>
      <x:c r="B433" s="17" t="str">
        <x:v>汕尾</x:v>
      </x:c>
      <x:c r="C433" s="24" t="n">
        <x:v>115.5099937</x:v>
      </x:c>
      <x:c r="D433" s="24" t="n">
        <x:v>23.0123639</x:v>
      </x:c>
      <x:c r="E433" s="17" t="str">
        <x:v>P02R</x:v>
      </x:c>
      <x:c r="F433" s="17" t="str">
        <x:v>广东光华科技股份有限公司（再生功能）</x:v>
      </x:c>
      <x:c r="G433" s="17" t="str">
        <x:v>再生利用</x:v>
      </x:c>
      <x:c r="H433" s="24" t="n">
        <x:v>116.6775856</x:v>
      </x:c>
      <x:c r="I433" s="24" t="n">
        <x:v>23.3563921</x:v>
      </x:c>
      <x:c r="J433" s="21" t="n">
        <x:f>6371*ACOS(MIN(1,COS(D433*PI()/180)*COS(I433*PI()/180)*COS((H433-C433)*PI()/180)+SIN(D433*PI()/180)*SIN(I433*PI()/180)))</x:f>
        <x:v>125.32598093140014</x:v>
      </x:c>
      <x:c r="K433" s="21" t="n">
        <x:f>'情景参数模板'!$D$31</x:f>
        <x:v>1.2</x:v>
      </x:c>
      <x:c r="L433" s="21" t="n">
        <x:f>J433*K433</x:f>
        <x:v>150.39117711768017</x:v>
      </x:c>
    </x:row>
    <x:row r="434">
      <x:c r="A434" s="17" t="str">
        <x:v>GD10</x:v>
      </x:c>
      <x:c r="B434" s="17" t="str">
        <x:v>汕尾</x:v>
      </x:c>
      <x:c r="C434" s="24" t="n">
        <x:v>115.5099937</x:v>
      </x:c>
      <x:c r="D434" s="24" t="n">
        <x:v>23.0123639</x:v>
      </x:c>
      <x:c r="E434" s="17" t="str">
        <x:v>P03</x:v>
      </x:c>
      <x:c r="F434" s="17" t="str">
        <x:v>深圳深汕特别合作区乾泰技术有限公司</x:v>
      </x:c>
      <x:c r="G434" s="17" t="str">
        <x:v>梯次利用</x:v>
      </x:c>
      <x:c r="H434" s="24" t="n">
        <x:v>115.5099937</x:v>
      </x:c>
      <x:c r="I434" s="24" t="n">
        <x:v>23.0123639</x:v>
      </x:c>
      <x:c r="J434" s="21" t="n">
        <x:f>6371*ACOS(MIN(1,COS(D434*PI()/180)*COS(I434*PI()/180)*COS((H434-C434)*PI()/180)+SIN(D434*PI()/180)*SIN(I434*PI()/180)))</x:f>
        <x:v>0</x:v>
      </x:c>
      <x:c r="K434" s="21" t="n">
        <x:f>'情景参数模板'!$D$31</x:f>
        <x:v>1.2</x:v>
      </x:c>
      <x:c r="L434" s="21" t="n">
        <x:f>J434*K434</x:f>
        <x:v>0</x:v>
      </x:c>
    </x:row>
    <x:row r="435">
      <x:c r="A435" s="17" t="str">
        <x:v>GD10</x:v>
      </x:c>
      <x:c r="B435" s="17" t="str">
        <x:v>汕尾</x:v>
      </x:c>
      <x:c r="C435" s="24" t="n">
        <x:v>115.5099937</x:v>
      </x:c>
      <x:c r="D435" s="24" t="n">
        <x:v>23.0123639</x:v>
      </x:c>
      <x:c r="E435" s="17" t="str">
        <x:v>P04</x:v>
      </x:c>
      <x:c r="F435" s="17" t="str">
        <x:v>珠海中力新能源科技有限公司</x:v>
      </x:c>
      <x:c r="G435" s="17" t="str">
        <x:v>梯次利用</x:v>
      </x:c>
      <x:c r="H435" s="24" t="n">
        <x:v>113.5721327</x:v>
      </x:c>
      <x:c r="I435" s="24" t="n">
        <x:v>22.273734</x:v>
      </x:c>
      <x:c r="J435" s="21" t="n">
        <x:f>6371*ACOS(MIN(1,COS(D435*PI()/180)*COS(I435*PI()/180)*COS((H435-C435)*PI()/180)+SIN(D435*PI()/180)*SIN(I435*PI()/180)))</x:f>
        <x:v>215.16056931228954</x:v>
      </x:c>
      <x:c r="K435" s="21" t="n">
        <x:f>'情景参数模板'!$D$31</x:f>
        <x:v>1.2</x:v>
      </x:c>
      <x:c r="L435" s="21" t="n">
        <x:f>J435*K435</x:f>
        <x:v>258.19268317474746</x:v>
      </x:c>
    </x:row>
    <x:row r="436">
      <x:c r="A436" s="17" t="str">
        <x:v>GD10</x:v>
      </x:c>
      <x:c r="B436" s="17" t="str">
        <x:v>汕尾</x:v>
      </x:c>
      <x:c r="C436" s="24" t="n">
        <x:v>115.5099937</x:v>
      </x:c>
      <x:c r="D436" s="24" t="n">
        <x:v>23.0123639</x:v>
      </x:c>
      <x:c r="E436" s="17" t="str">
        <x:v>P05</x:v>
      </x:c>
      <x:c r="F436" s="17" t="str">
        <x:v>惠州市恒创睿能环保科技有限公司</x:v>
      </x:c>
      <x:c r="G436" s="17" t="str">
        <x:v>梯次利用</x:v>
      </x:c>
      <x:c r="H436" s="24" t="n">
        <x:v>114.4127007</x:v>
      </x:c>
      <x:c r="I436" s="24" t="n">
        <x:v>23.1125153</x:v>
      </x:c>
      <x:c r="J436" s="21" t="n">
        <x:f>6371*ACOS(MIN(1,COS(D436*PI()/180)*COS(I436*PI()/180)*COS((H436-C436)*PI()/180)+SIN(D436*PI()/180)*SIN(I436*PI()/180)))</x:f>
        <x:v>112.81264213991685</x:v>
      </x:c>
      <x:c r="K436" s="21" t="n">
        <x:f>'情景参数模板'!$D$31</x:f>
        <x:v>1.2</x:v>
      </x:c>
      <x:c r="L436" s="21" t="n">
        <x:f>J436*K436</x:f>
        <x:v>135.3751705679002</x:v>
      </x:c>
    </x:row>
    <x:row r="437">
      <x:c r="A437" s="17" t="str">
        <x:v>GD10</x:v>
      </x:c>
      <x:c r="B437" s="17" t="str">
        <x:v>汕尾</x:v>
      </x:c>
      <x:c r="C437" s="24" t="n">
        <x:v>115.5099937</x:v>
      </x:c>
      <x:c r="D437" s="24" t="n">
        <x:v>23.0123639</x:v>
      </x:c>
      <x:c r="E437" s="17" t="str">
        <x:v>P06</x:v>
      </x:c>
      <x:c r="F437" s="17" t="str">
        <x:v>江门市朗达锂电池有限公司</x:v>
      </x:c>
      <x:c r="G437" s="17" t="str">
        <x:v>梯次利用</x:v>
      </x:c>
      <x:c r="H437" s="24" t="n">
        <x:v>113.0761073</x:v>
      </x:c>
      <x:c r="I437" s="24" t="n">
        <x:v>22.5816619</x:v>
      </x:c>
      <x:c r="J437" s="21" t="n">
        <x:f>6371*ACOS(MIN(1,COS(D437*PI()/180)*COS(I437*PI()/180)*COS((H437-C437)*PI()/180)+SIN(D437*PI()/180)*SIN(I437*PI()/180)))</x:f>
        <x:v>254.0459836486194</x:v>
      </x:c>
      <x:c r="K437" s="21" t="n">
        <x:f>'情景参数模板'!$D$31</x:f>
        <x:v>1.2</x:v>
      </x:c>
      <x:c r="L437" s="21" t="n">
        <x:f>J437*K437</x:f>
        <x:v>304.8551803783433</x:v>
      </x:c>
    </x:row>
    <x:row r="438">
      <x:c r="A438" s="17" t="str">
        <x:v>GD10</x:v>
      </x:c>
      <x:c r="B438" s="17" t="str">
        <x:v>汕尾</x:v>
      </x:c>
      <x:c r="C438" s="24" t="n">
        <x:v>115.5099937</x:v>
      </x:c>
      <x:c r="D438" s="24" t="n">
        <x:v>23.0123639</x:v>
      </x:c>
      <x:c r="E438" s="17" t="str">
        <x:v>P07</x:v>
      </x:c>
      <x:c r="F438" s="17" t="str">
        <x:v>广东迪度新能源有限公司</x:v>
      </x:c>
      <x:c r="G438" s="17" t="str">
        <x:v>梯次利用</x:v>
      </x:c>
      <x:c r="H438" s="24" t="n">
        <x:v>113.7452332</x:v>
      </x:c>
      <x:c r="I438" s="24" t="n">
        <x:v>23.0183568</x:v>
      </x:c>
      <x:c r="J438" s="21" t="n">
        <x:f>6371*ACOS(MIN(1,COS(D438*PI()/180)*COS(I438*PI()/180)*COS((H438-C438)*PI()/180)+SIN(D438*PI()/180)*SIN(I438*PI()/180)))</x:f>
        <x:v>180.61246561279575</x:v>
      </x:c>
      <x:c r="K438" s="21" t="n">
        <x:f>'情景参数模板'!$D$31</x:f>
        <x:v>1.2</x:v>
      </x:c>
      <x:c r="L438" s="21" t="n">
        <x:f>J438*K438</x:f>
        <x:v>216.7349587353549</x:v>
      </x:c>
    </x:row>
    <x:row r="439">
      <x:c r="A439" s="17" t="str">
        <x:v>GD10</x:v>
      </x:c>
      <x:c r="B439" s="17" t="str">
        <x:v>汕尾</x:v>
      </x:c>
      <x:c r="C439" s="24" t="n">
        <x:v>115.5099937</x:v>
      </x:c>
      <x:c r="D439" s="24" t="n">
        <x:v>23.0123639</x:v>
      </x:c>
      <x:c r="E439" s="17" t="str">
        <x:v>P08</x:v>
      </x:c>
      <x:c r="F439" s="17" t="str">
        <x:v>东莞市博森新能源有限公司</x:v>
      </x:c>
      <x:c r="G439" s="17" t="str">
        <x:v>梯次利用</x:v>
      </x:c>
      <x:c r="H439" s="24" t="n">
        <x:v>113.7452332</x:v>
      </x:c>
      <x:c r="I439" s="24" t="n">
        <x:v>23.0183568</x:v>
      </x:c>
      <x:c r="J439" s="21" t="n">
        <x:f>6371*ACOS(MIN(1,COS(D439*PI()/180)*COS(I439*PI()/180)*COS((H439-C439)*PI()/180)+SIN(D439*PI()/180)*SIN(I439*PI()/180)))</x:f>
        <x:v>180.61246561279575</x:v>
      </x:c>
      <x:c r="K439" s="21" t="n">
        <x:f>'情景参数模板'!$D$31</x:f>
        <x:v>1.2</x:v>
      </x:c>
      <x:c r="L439" s="21" t="n">
        <x:f>J439*K439</x:f>
        <x:v>216.7349587353549</x:v>
      </x:c>
    </x:row>
    <x:row r="440">
      <x:c r="A440" s="17" t="str">
        <x:v>GD10</x:v>
      </x:c>
      <x:c r="B440" s="17" t="str">
        <x:v>汕尾</x:v>
      </x:c>
      <x:c r="C440" s="24" t="n">
        <x:v>115.5099937</x:v>
      </x:c>
      <x:c r="D440" s="24" t="n">
        <x:v>23.0123639</x:v>
      </x:c>
      <x:c r="E440" s="17" t="str">
        <x:v>P09</x:v>
      </x:c>
      <x:c r="F440" s="17" t="str">
        <x:v>广东宇阳新能源有限公司</x:v>
      </x:c>
      <x:c r="G440" s="17" t="str">
        <x:v>梯次利用</x:v>
      </x:c>
      <x:c r="H440" s="24" t="n">
        <x:v>113.7452332</x:v>
      </x:c>
      <x:c r="I440" s="24" t="n">
        <x:v>23.0183568</x:v>
      </x:c>
      <x:c r="J440" s="21" t="n">
        <x:f>6371*ACOS(MIN(1,COS(D440*PI()/180)*COS(I440*PI()/180)*COS((H440-C440)*PI()/180)+SIN(D440*PI()/180)*SIN(I440*PI()/180)))</x:f>
        <x:v>180.61246561279575</x:v>
      </x:c>
      <x:c r="K440" s="21" t="n">
        <x:f>'情景参数模板'!$D$31</x:f>
        <x:v>1.2</x:v>
      </x:c>
      <x:c r="L440" s="21" t="n">
        <x:f>J440*K440</x:f>
        <x:v>216.7349587353549</x:v>
      </x:c>
    </x:row>
    <x:row r="441">
      <x:c r="A441" s="17" t="str">
        <x:v>GD10</x:v>
      </x:c>
      <x:c r="B441" s="17" t="str">
        <x:v>汕尾</x:v>
      </x:c>
      <x:c r="C441" s="24" t="n">
        <x:v>115.5099937</x:v>
      </x:c>
      <x:c r="D441" s="24" t="n">
        <x:v>23.0123639</x:v>
      </x:c>
      <x:c r="E441" s="17" t="str">
        <x:v>P10</x:v>
      </x:c>
      <x:c r="F441" s="17" t="str">
        <x:v>广州广汽商贸再生资源有限公司</x:v>
      </x:c>
      <x:c r="G441" s="17" t="str">
        <x:v>梯次利用</x:v>
      </x:c>
      <x:c r="H441" s="24" t="n">
        <x:v>113.2589581</x:v>
      </x:c>
      <x:c r="I441" s="24" t="n">
        <x:v>23.1288429</x:v>
      </x:c>
      <x:c r="J441" s="21" t="n">
        <x:f>6371*ACOS(MIN(1,COS(D441*PI()/180)*COS(I441*PI()/180)*COS((H441-C441)*PI()/180)+SIN(D441*PI()/180)*SIN(I441*PI()/180)))</x:f>
        <x:v>230.6467190844284</x:v>
      </x:c>
      <x:c r="K441" s="21" t="n">
        <x:f>'情景参数模板'!$D$31</x:f>
        <x:v>1.2</x:v>
      </x:c>
      <x:c r="L441" s="21" t="n">
        <x:f>J441*K441</x:f>
        <x:v>276.7760629013141</x:v>
      </x:c>
    </x:row>
    <x:row r="442">
      <x:c r="A442" s="17" t="str">
        <x:v>GD10</x:v>
      </x:c>
      <x:c r="B442" s="17" t="str">
        <x:v>汕尾</x:v>
      </x:c>
      <x:c r="C442" s="24" t="n">
        <x:v>115.5099937</x:v>
      </x:c>
      <x:c r="D442" s="24" t="n">
        <x:v>23.0123639</x:v>
      </x:c>
      <x:c r="E442" s="17" t="str">
        <x:v>P11</x:v>
      </x:c>
      <x:c r="F442" s="17" t="str">
        <x:v>深圳市杰成镍钴新能源科技有限公司</x:v>
      </x:c>
      <x:c r="G442" s="17" t="str">
        <x:v>梯次利用</x:v>
      </x:c>
      <x:c r="H442" s="24" t="n">
        <x:v>114.0545429</x:v>
      </x:c>
      <x:c r="I442" s="24" t="n">
        <x:v>22.5445741</x:v>
      </x:c>
      <x:c r="J442" s="21" t="n">
        <x:f>6371*ACOS(MIN(1,COS(D442*PI()/180)*COS(I442*PI()/180)*COS((H442-C442)*PI()/180)+SIN(D442*PI()/180)*SIN(I442*PI()/180)))</x:f>
        <x:v>158.02187678789332</x:v>
      </x:c>
      <x:c r="K442" s="21" t="n">
        <x:f>'情景参数模板'!$D$31</x:f>
        <x:v>1.2</x:v>
      </x:c>
      <x:c r="L442" s="21" t="n">
        <x:f>J442*K442</x:f>
        <x:v>189.62625214547197</x:v>
      </x:c>
    </x:row>
    <x:row r="443">
      <x:c r="A443" s="17" t="str">
        <x:v>GD10</x:v>
      </x:c>
      <x:c r="B443" s="17" t="str">
        <x:v>汕尾</x:v>
      </x:c>
      <x:c r="C443" s="24" t="n">
        <x:v>115.5099937</x:v>
      </x:c>
      <x:c r="D443" s="24" t="n">
        <x:v>23.0123639</x:v>
      </x:c>
      <x:c r="E443" s="17" t="str">
        <x:v>P12</x:v>
      </x:c>
      <x:c r="F443" s="17" t="str">
        <x:v>江门市恒创睿能环保科技有限公司</x:v>
      </x:c>
      <x:c r="G443" s="17" t="str">
        <x:v>再生利用</x:v>
      </x:c>
      <x:c r="H443" s="24" t="n">
        <x:v>113.0761073</x:v>
      </x:c>
      <x:c r="I443" s="24" t="n">
        <x:v>22.5816619</x:v>
      </x:c>
      <x:c r="J443" s="21" t="n">
        <x:f>6371*ACOS(MIN(1,COS(D443*PI()/180)*COS(I443*PI()/180)*COS((H443-C443)*PI()/180)+SIN(D443*PI()/180)*SIN(I443*PI()/180)))</x:f>
        <x:v>254.0459836486194</x:v>
      </x:c>
      <x:c r="K443" s="21" t="n">
        <x:f>'情景参数模板'!$D$31</x:f>
        <x:v>1.2</x:v>
      </x:c>
      <x:c r="L443" s="21" t="n">
        <x:f>J443*K443</x:f>
        <x:v>304.8551803783433</x:v>
      </x:c>
    </x:row>
    <x:row r="444">
      <x:c r="A444" s="17" t="str">
        <x:v>GD10</x:v>
      </x:c>
      <x:c r="B444" s="17" t="str">
        <x:v>汕尾</x:v>
      </x:c>
      <x:c r="C444" s="24" t="n">
        <x:v>115.5099937</x:v>
      </x:c>
      <x:c r="D444" s="24" t="n">
        <x:v>23.0123639</x:v>
      </x:c>
      <x:c r="E444" s="17" t="str">
        <x:v>P13</x:v>
      </x:c>
      <x:c r="F444" s="17" t="str">
        <x:v>广东佳纳能源科技有限公司</x:v>
      </x:c>
      <x:c r="G444" s="17" t="str">
        <x:v>再生利用</x:v>
      </x:c>
      <x:c r="H444" s="24" t="n">
        <x:v>113.0505994</x:v>
      </x:c>
      <x:c r="I444" s="24" t="n">
        <x:v>23.6832984</x:v>
      </x:c>
      <x:c r="J444" s="21" t="n">
        <x:f>6371*ACOS(MIN(1,COS(D444*PI()/180)*COS(I444*PI()/180)*COS((H444-C444)*PI()/180)+SIN(D444*PI()/180)*SIN(I444*PI()/180)))</x:f>
        <x:v>261.9235028063955</x:v>
      </x:c>
      <x:c r="K444" s="21" t="n">
        <x:f>'情景参数模板'!$D$31</x:f>
        <x:v>1.2</x:v>
      </x:c>
      <x:c r="L444" s="21" t="n">
        <x:f>J444*K444</x:f>
        <x:v>314.3082033676746</x:v>
      </x:c>
    </x:row>
    <x:row r="445">
      <x:c r="A445" s="17" t="str">
        <x:v>GD10</x:v>
      </x:c>
      <x:c r="B445" s="17" t="str">
        <x:v>汕尾</x:v>
      </x:c>
      <x:c r="C445" s="24" t="n">
        <x:v>115.5099937</x:v>
      </x:c>
      <x:c r="D445" s="24" t="n">
        <x:v>23.0123639</x:v>
      </x:c>
      <x:c r="E445" s="17" t="str">
        <x:v>P14</x:v>
      </x:c>
      <x:c r="F445" s="17" t="str">
        <x:v>格林美（深圳）循环科技有限公司</x:v>
      </x:c>
      <x:c r="G445" s="17" t="str">
        <x:v>梯次利用</x:v>
      </x:c>
      <x:c r="H445" s="24" t="n">
        <x:v>114.0545429</x:v>
      </x:c>
      <x:c r="I445" s="24" t="n">
        <x:v>22.5445741</x:v>
      </x:c>
      <x:c r="J445" s="21" t="n">
        <x:f>6371*ACOS(MIN(1,COS(D445*PI()/180)*COS(I445*PI()/180)*COS((H445-C445)*PI()/180)+SIN(D445*PI()/180)*SIN(I445*PI()/180)))</x:f>
        <x:v>158.02187678789332</x:v>
      </x:c>
      <x:c r="K445" s="21" t="n">
        <x:f>'情景参数模板'!$D$31</x:f>
        <x:v>1.2</x:v>
      </x:c>
      <x:c r="L445" s="21" t="n">
        <x:f>J445*K445</x:f>
        <x:v>189.62625214547197</x:v>
      </x:c>
    </x:row>
    <x:row r="446">
      <x:c r="A446" s="17" t="str">
        <x:v>GD10</x:v>
      </x:c>
      <x:c r="B446" s="17" t="str">
        <x:v>汕尾</x:v>
      </x:c>
      <x:c r="C446" s="24" t="n">
        <x:v>115.5099937</x:v>
      </x:c>
      <x:c r="D446" s="24" t="n">
        <x:v>23.0123639</x:v>
      </x:c>
      <x:c r="E446" s="17" t="str">
        <x:v>P15</x:v>
      </x:c>
      <x:c r="F446" s="17" t="str">
        <x:v>绿循新能源科技（佛山）有限责任公司</x:v>
      </x:c>
      <x:c r="G446" s="17" t="str">
        <x:v>梯次利用</x:v>
      </x:c>
      <x:c r="H446" s="24" t="n">
        <x:v>113.1159558</x:v>
      </x:c>
      <x:c r="I446" s="24" t="n">
        <x:v>23.0239788</x:v>
      </x:c>
      <x:c r="J446" s="21" t="n">
        <x:f>6371*ACOS(MIN(1,COS(D446*PI()/180)*COS(I446*PI()/180)*COS((H446-C446)*PI()/180)+SIN(D446*PI()/180)*SIN(I446*PI()/180)))</x:f>
        <x:v>245.01055089313536</x:v>
      </x:c>
      <x:c r="K446" s="21" t="n">
        <x:f>'情景参数模板'!$D$31</x:f>
        <x:v>1.2</x:v>
      </x:c>
      <x:c r="L446" s="21" t="n">
        <x:f>J446*K446</x:f>
        <x:v>294.0126610717624</x:v>
      </x:c>
    </x:row>
    <x:row r="447">
      <x:c r="A447" s="17" t="str">
        <x:v>GD10</x:v>
      </x:c>
      <x:c r="B447" s="17" t="str">
        <x:v>汕尾</x:v>
      </x:c>
      <x:c r="C447" s="24" t="n">
        <x:v>115.5099937</x:v>
      </x:c>
      <x:c r="D447" s="24" t="n">
        <x:v>23.0123639</x:v>
      </x:c>
      <x:c r="E447" s="17" t="str">
        <x:v>P16</x:v>
      </x:c>
      <x:c r="F447" s="17" t="str">
        <x:v>深圳艾云动智慧科技有限公司</x:v>
      </x:c>
      <x:c r="G447" s="17" t="str">
        <x:v>梯次利用</x:v>
      </x:c>
      <x:c r="H447" s="24" t="n">
        <x:v>114.0545429</x:v>
      </x:c>
      <x:c r="I447" s="24" t="n">
        <x:v>22.5445741</x:v>
      </x:c>
      <x:c r="J447" s="21" t="n">
        <x:f>6371*ACOS(MIN(1,COS(D447*PI()/180)*COS(I447*PI()/180)*COS((H447-C447)*PI()/180)+SIN(D447*PI()/180)*SIN(I447*PI()/180)))</x:f>
        <x:v>158.02187678789332</x:v>
      </x:c>
      <x:c r="K447" s="21" t="n">
        <x:f>'情景参数模板'!$D$31</x:f>
        <x:v>1.2</x:v>
      </x:c>
      <x:c r="L447" s="21" t="n">
        <x:f>J447*K447</x:f>
        <x:v>189.62625214547197</x:v>
      </x:c>
    </x:row>
    <x:row r="448">
      <x:c r="A448" s="17" t="str">
        <x:v>GD10</x:v>
      </x:c>
      <x:c r="B448" s="17" t="str">
        <x:v>汕尾</x:v>
      </x:c>
      <x:c r="C448" s="24" t="n">
        <x:v>115.5099937</x:v>
      </x:c>
      <x:c r="D448" s="24" t="n">
        <x:v>23.0123639</x:v>
      </x:c>
      <x:c r="E448" s="17" t="str">
        <x:v>P17</x:v>
      </x:c>
      <x:c r="F448" s="17" t="str">
        <x:v>深圳市荣高晟新能源科技有限公司</x:v>
      </x:c>
      <x:c r="G448" s="17" t="str">
        <x:v>梯次利用</x:v>
      </x:c>
      <x:c r="H448" s="24" t="n">
        <x:v>114.0545429</x:v>
      </x:c>
      <x:c r="I448" s="24" t="n">
        <x:v>22.5445741</x:v>
      </x:c>
      <x:c r="J448" s="21" t="n">
        <x:f>6371*ACOS(MIN(1,COS(D448*PI()/180)*COS(I448*PI()/180)*COS((H448-C448)*PI()/180)+SIN(D448*PI()/180)*SIN(I448*PI()/180)))</x:f>
        <x:v>158.02187678789332</x:v>
      </x:c>
      <x:c r="K448" s="21" t="n">
        <x:f>'情景参数模板'!$D$31</x:f>
        <x:v>1.2</x:v>
      </x:c>
      <x:c r="L448" s="21" t="n">
        <x:f>J448*K448</x:f>
        <x:v>189.62625214547197</x:v>
      </x:c>
    </x:row>
    <x:row r="449">
      <x:c r="A449" s="17" t="str">
        <x:v>GD10</x:v>
      </x:c>
      <x:c r="B449" s="17" t="str">
        <x:v>汕尾</x:v>
      </x:c>
      <x:c r="C449" s="24" t="n">
        <x:v>115.5099937</x:v>
      </x:c>
      <x:c r="D449" s="24" t="n">
        <x:v>23.0123639</x:v>
      </x:c>
      <x:c r="E449" s="17" t="str">
        <x:v>P18</x:v>
      </x:c>
      <x:c r="F449" s="17" t="str">
        <x:v>中商锂新能源科技（惠州）有限公司</x:v>
      </x:c>
      <x:c r="G449" s="17" t="str">
        <x:v>梯次利用</x:v>
      </x:c>
      <x:c r="H449" s="24" t="n">
        <x:v>114.4127007</x:v>
      </x:c>
      <x:c r="I449" s="24" t="n">
        <x:v>23.1125153</x:v>
      </x:c>
      <x:c r="J449" s="21" t="n">
        <x:f>6371*ACOS(MIN(1,COS(D449*PI()/180)*COS(I449*PI()/180)*COS((H449-C449)*PI()/180)+SIN(D449*PI()/180)*SIN(I449*PI()/180)))</x:f>
        <x:v>112.81264213991685</x:v>
      </x:c>
      <x:c r="K449" s="21" t="n">
        <x:f>'情景参数模板'!$D$31</x:f>
        <x:v>1.2</x:v>
      </x:c>
      <x:c r="L449" s="21" t="n">
        <x:f>J449*K449</x:f>
        <x:v>135.3751705679002</x:v>
      </x:c>
    </x:row>
    <x:row r="450">
      <x:c r="A450" s="17" t="str">
        <x:v>GD10</x:v>
      </x:c>
      <x:c r="B450" s="17" t="str">
        <x:v>汕尾</x:v>
      </x:c>
      <x:c r="C450" s="24" t="n">
        <x:v>115.5099937</x:v>
      </x:c>
      <x:c r="D450" s="24" t="n">
        <x:v>23.0123639</x:v>
      </x:c>
      <x:c r="E450" s="17" t="str">
        <x:v>P19</x:v>
      </x:c>
      <x:c r="F450" s="17" t="str">
        <x:v>广东盛祥新材料科技有限公司</x:v>
      </x:c>
      <x:c r="G450" s="17" t="str">
        <x:v>再生利用</x:v>
      </x:c>
      <x:c r="H450" s="24" t="n">
        <x:v>113.8155263</x:v>
      </x:c>
      <x:c r="I450" s="24" t="n">
        <x:v>24.8309489</x:v>
      </x:c>
      <x:c r="J450" s="21" t="n">
        <x:f>6371*ACOS(MIN(1,COS(D450*PI()/180)*COS(I450*PI()/180)*COS((H450-C450)*PI()/180)+SIN(D450*PI()/180)*SIN(I450*PI()/180)))</x:f>
        <x:v>265.61478907353063</x:v>
      </x:c>
      <x:c r="K450" s="21" t="n">
        <x:f>'情景参数模板'!$D$31</x:f>
        <x:v>1.2</x:v>
      </x:c>
      <x:c r="L450" s="21" t="n">
        <x:f>J450*K450</x:f>
        <x:v>318.73774688823676</x:v>
      </x:c>
    </x:row>
    <x:row r="451">
      <x:c r="A451" s="17" t="str">
        <x:v>GD10</x:v>
      </x:c>
      <x:c r="B451" s="17" t="str">
        <x:v>汕尾</x:v>
      </x:c>
      <x:c r="C451" s="24" t="n">
        <x:v>115.5099937</x:v>
      </x:c>
      <x:c r="D451" s="24" t="n">
        <x:v>23.0123639</x:v>
      </x:c>
      <x:c r="E451" s="17" t="str">
        <x:v>P20E</x:v>
      </x:c>
      <x:c r="F451" s="17" t="str">
        <x:v>广东金晟新能源股份有限公司（梯次功能）</x:v>
      </x:c>
      <x:c r="G451" s="17" t="str">
        <x:v>梯次利用</x:v>
      </x:c>
      <x:c r="H451" s="24" t="n">
        <x:v>112.4603629</x:v>
      </x:c>
      <x:c r="I451" s="24" t="n">
        <x:v>23.0501661</x:v>
      </x:c>
      <x:c r="J451" s="21" t="n">
        <x:f>6371*ACOS(MIN(1,COS(D451*PI()/180)*COS(I451*PI()/180)*COS((H451-C451)*PI()/180)+SIN(D451*PI()/180)*SIN(I451*PI()/180)))</x:f>
        <x:v>312.0967041495048</x:v>
      </x:c>
      <x:c r="K451" s="21" t="n">
        <x:f>'情景参数模板'!$D$31</x:f>
        <x:v>1.2</x:v>
      </x:c>
      <x:c r="L451" s="21" t="n">
        <x:f>J451*K451</x:f>
        <x:v>374.5160449794057</x:v>
      </x:c>
    </x:row>
    <x:row r="452">
      <x:c r="A452" s="17" t="str">
        <x:v>GD10</x:v>
      </x:c>
      <x:c r="B452" s="17" t="str">
        <x:v>汕尾</x:v>
      </x:c>
      <x:c r="C452" s="24" t="n">
        <x:v>115.5099937</x:v>
      </x:c>
      <x:c r="D452" s="24" t="n">
        <x:v>23.0123639</x:v>
      </x:c>
      <x:c r="E452" s="17" t="str">
        <x:v>P20R</x:v>
      </x:c>
      <x:c r="F452" s="17" t="str">
        <x:v>广东金晟新能源股份有限公司（再生功能）</x:v>
      </x:c>
      <x:c r="G452" s="17" t="str">
        <x:v>再生利用</x:v>
      </x:c>
      <x:c r="H452" s="24" t="n">
        <x:v>112.4603629</x:v>
      </x:c>
      <x:c r="I452" s="24" t="n">
        <x:v>23.0501661</x:v>
      </x:c>
      <x:c r="J452" s="21" t="n">
        <x:f>6371*ACOS(MIN(1,COS(D452*PI()/180)*COS(I452*PI()/180)*COS((H452-C452)*PI()/180)+SIN(D452*PI()/180)*SIN(I452*PI()/180)))</x:f>
        <x:v>312.0967041495048</x:v>
      </x:c>
      <x:c r="K452" s="21" t="n">
        <x:f>'情景参数模板'!$D$31</x:f>
        <x:v>1.2</x:v>
      </x:c>
      <x:c r="L452" s="21" t="n">
        <x:f>J452*K452</x:f>
        <x:v>374.5160449794057</x:v>
      </x:c>
    </x:row>
    <x:row r="453">
      <x:c r="A453" s="17" t="str">
        <x:v>GD10</x:v>
      </x:c>
      <x:c r="B453" s="17" t="str">
        <x:v>汕尾</x:v>
      </x:c>
      <x:c r="C453" s="24" t="n">
        <x:v>115.5099937</x:v>
      </x:c>
      <x:c r="D453" s="24" t="n">
        <x:v>23.0123639</x:v>
      </x:c>
      <x:c r="E453" s="17" t="str">
        <x:v>P21E</x:v>
      </x:c>
      <x:c r="F453" s="17" t="str">
        <x:v>广东瑞科美电源技术有限公司（梯次功能）</x:v>
      </x:c>
      <x:c r="G453" s="17" t="str">
        <x:v>梯次利用</x:v>
      </x:c>
      <x:c r="H453" s="24" t="n">
        <x:v>113.1159558</x:v>
      </x:c>
      <x:c r="I453" s="24" t="n">
        <x:v>23.0239788</x:v>
      </x:c>
      <x:c r="J453" s="21" t="n">
        <x:f>6371*ACOS(MIN(1,COS(D453*PI()/180)*COS(I453*PI()/180)*COS((H453-C453)*PI()/180)+SIN(D453*PI()/180)*SIN(I453*PI()/180)))</x:f>
        <x:v>245.01055089313536</x:v>
      </x:c>
      <x:c r="K453" s="21" t="n">
        <x:f>'情景参数模板'!$D$31</x:f>
        <x:v>1.2</x:v>
      </x:c>
      <x:c r="L453" s="21" t="n">
        <x:f>J453*K453</x:f>
        <x:v>294.0126610717624</x:v>
      </x:c>
    </x:row>
    <x:row r="454">
      <x:c r="A454" s="17" t="str">
        <x:v>GD10</x:v>
      </x:c>
      <x:c r="B454" s="17" t="str">
        <x:v>汕尾</x:v>
      </x:c>
      <x:c r="C454" s="24" t="n">
        <x:v>115.5099937</x:v>
      </x:c>
      <x:c r="D454" s="24" t="n">
        <x:v>23.0123639</x:v>
      </x:c>
      <x:c r="E454" s="17" t="str">
        <x:v>P21R</x:v>
      </x:c>
      <x:c r="F454" s="17" t="str">
        <x:v>广东瑞科美电源技术有限公司（再生功能）</x:v>
      </x:c>
      <x:c r="G454" s="17" t="str">
        <x:v>再生利用</x:v>
      </x:c>
      <x:c r="H454" s="24" t="n">
        <x:v>113.1159558</x:v>
      </x:c>
      <x:c r="I454" s="24" t="n">
        <x:v>23.0239788</x:v>
      </x:c>
      <x:c r="J454" s="21" t="n">
        <x:f>6371*ACOS(MIN(1,COS(D454*PI()/180)*COS(I454*PI()/180)*COS((H454-C454)*PI()/180)+SIN(D454*PI()/180)*SIN(I454*PI()/180)))</x:f>
        <x:v>245.01055089313536</x:v>
      </x:c>
      <x:c r="K454" s="21" t="n">
        <x:f>'情景参数模板'!$D$31</x:f>
        <x:v>1.2</x:v>
      </x:c>
      <x:c r="L454" s="21" t="n">
        <x:f>J454*K454</x:f>
        <x:v>294.0126610717624</x:v>
      </x:c>
    </x:row>
    <x:row r="455">
      <x:c r="A455" s="17" t="str">
        <x:v>GD11</x:v>
      </x:c>
      <x:c r="B455" s="17" t="str">
        <x:v>东莞</x:v>
      </x:c>
      <x:c r="C455" s="24" t="n">
        <x:v>113.7452332</x:v>
      </x:c>
      <x:c r="D455" s="24" t="n">
        <x:v>23.0183568</x:v>
      </x:c>
      <x:c r="E455" s="17" t="str">
        <x:v>C01</x:v>
      </x:c>
      <x:c r="F455" s="17" t="str">
        <x:v>广州虚拟回收/检测中心</x:v>
      </x:c>
      <x:c r="G455" s="17" t="str">
        <x:v>回收中心候选</x:v>
      </x:c>
      <x:c r="H455" s="24" t="n">
        <x:v>113.2589581</x:v>
      </x:c>
      <x:c r="I455" s="24" t="n">
        <x:v>23.1288429</x:v>
      </x:c>
      <x:c r="J455" s="21" t="n">
        <x:f>6371*ACOS(MIN(1,COS(D455*PI()/180)*COS(I455*PI()/180)*COS((H455-C455)*PI()/180)+SIN(D455*PI()/180)*SIN(I455*PI()/180)))</x:f>
        <x:v>51.240297874016186</x:v>
      </x:c>
      <x:c r="K455" s="21" t="n">
        <x:f>'情景参数模板'!$D$31</x:f>
        <x:v>1.2</x:v>
      </x:c>
      <x:c r="L455" s="21" t="n">
        <x:f>J455*K455</x:f>
        <x:v>61.48835744881942</x:v>
      </x:c>
    </x:row>
    <x:row r="456">
      <x:c r="A456" s="17" t="str">
        <x:v>GD11</x:v>
      </x:c>
      <x:c r="B456" s="17" t="str">
        <x:v>东莞</x:v>
      </x:c>
      <x:c r="C456" s="24" t="n">
        <x:v>113.7452332</x:v>
      </x:c>
      <x:c r="D456" s="24" t="n">
        <x:v>23.0183568</x:v>
      </x:c>
      <x:c r="E456" s="17" t="str">
        <x:v>C02</x:v>
      </x:c>
      <x:c r="F456" s="17" t="str">
        <x:v>深圳虚拟回收/检测中心</x:v>
      </x:c>
      <x:c r="G456" s="17" t="str">
        <x:v>回收中心候选</x:v>
      </x:c>
      <x:c r="H456" s="24" t="n">
        <x:v>114.0545429</x:v>
      </x:c>
      <x:c r="I456" s="24" t="n">
        <x:v>22.5445741</x:v>
      </x:c>
      <x:c r="J456" s="21" t="n">
        <x:f>6371*ACOS(MIN(1,COS(D456*PI()/180)*COS(I456*PI()/180)*COS((H456-C456)*PI()/180)+SIN(D456*PI()/180)*SIN(I456*PI()/180)))</x:f>
        <x:v>61.48958054626042</x:v>
      </x:c>
      <x:c r="K456" s="21" t="n">
        <x:f>'情景参数模板'!$D$31</x:f>
        <x:v>1.2</x:v>
      </x:c>
      <x:c r="L456" s="21" t="n">
        <x:f>J456*K456</x:f>
        <x:v>73.7874966555125</x:v>
      </x:c>
    </x:row>
    <x:row r="457">
      <x:c r="A457" s="17" t="str">
        <x:v>GD11</x:v>
      </x:c>
      <x:c r="B457" s="17" t="str">
        <x:v>东莞</x:v>
      </x:c>
      <x:c r="C457" s="24" t="n">
        <x:v>113.7452332</x:v>
      </x:c>
      <x:c r="D457" s="24" t="n">
        <x:v>23.0183568</x:v>
      </x:c>
      <x:c r="E457" s="17" t="str">
        <x:v>C03</x:v>
      </x:c>
      <x:c r="F457" s="17" t="str">
        <x:v>珠海虚拟回收/检测中心</x:v>
      </x:c>
      <x:c r="G457" s="17" t="str">
        <x:v>回收中心候选</x:v>
      </x:c>
      <x:c r="H457" s="24" t="n">
        <x:v>113.5721327</x:v>
      </x:c>
      <x:c r="I457" s="24" t="n">
        <x:v>22.273734</x:v>
      </x:c>
      <x:c r="J457" s="21" t="n">
        <x:f>6371*ACOS(MIN(1,COS(D457*PI()/180)*COS(I457*PI()/180)*COS((H457-C457)*PI()/180)+SIN(D457*PI()/180)*SIN(I457*PI()/180)))</x:f>
        <x:v>84.68237310278309</x:v>
      </x:c>
      <x:c r="K457" s="21" t="n">
        <x:f>'情景参数模板'!$D$31</x:f>
        <x:v>1.2</x:v>
      </x:c>
      <x:c r="L457" s="21" t="n">
        <x:f>J457*K457</x:f>
        <x:v>101.6188477233397</x:v>
      </x:c>
    </x:row>
    <x:row r="458">
      <x:c r="A458" s="17" t="str">
        <x:v>GD11</x:v>
      </x:c>
      <x:c r="B458" s="17" t="str">
        <x:v>东莞</x:v>
      </x:c>
      <x:c r="C458" s="24" t="n">
        <x:v>113.7452332</x:v>
      </x:c>
      <x:c r="D458" s="24" t="n">
        <x:v>23.0183568</x:v>
      </x:c>
      <x:c r="E458" s="17" t="str">
        <x:v>C04</x:v>
      </x:c>
      <x:c r="F458" s="17" t="str">
        <x:v>汕头虚拟回收/检测中心</x:v>
      </x:c>
      <x:c r="G458" s="17" t="str">
        <x:v>回收中心候选</x:v>
      </x:c>
      <x:c r="H458" s="24" t="n">
        <x:v>116.6775856</x:v>
      </x:c>
      <x:c r="I458" s="24" t="n">
        <x:v>23.3563921</x:v>
      </x:c>
      <x:c r="J458" s="21" t="n">
        <x:f>6371*ACOS(MIN(1,COS(D458*PI()/180)*COS(I458*PI()/180)*COS((H458-C458)*PI()/180)+SIN(D458*PI()/180)*SIN(I458*PI()/180)))</x:f>
        <x:v>302.0660678063366</x:v>
      </x:c>
      <x:c r="K458" s="21" t="n">
        <x:f>'情景参数模板'!$D$31</x:f>
        <x:v>1.2</x:v>
      </x:c>
      <x:c r="L458" s="21" t="n">
        <x:f>J458*K458</x:f>
        <x:v>362.4792813676039</x:v>
      </x:c>
    </x:row>
    <x:row r="459">
      <x:c r="A459" s="17" t="str">
        <x:v>GD11</x:v>
      </x:c>
      <x:c r="B459" s="17" t="str">
        <x:v>东莞</x:v>
      </x:c>
      <x:c r="C459" s="24" t="n">
        <x:v>113.7452332</x:v>
      </x:c>
      <x:c r="D459" s="24" t="n">
        <x:v>23.0183568</x:v>
      </x:c>
      <x:c r="E459" s="17" t="str">
        <x:v>C05</x:v>
      </x:c>
      <x:c r="F459" s="17" t="str">
        <x:v>佛山虚拟回收/检测中心</x:v>
      </x:c>
      <x:c r="G459" s="17" t="str">
        <x:v>回收中心候选</x:v>
      </x:c>
      <x:c r="H459" s="24" t="n">
        <x:v>113.1159558</x:v>
      </x:c>
      <x:c r="I459" s="24" t="n">
        <x:v>23.0239788</x:v>
      </x:c>
      <x:c r="J459" s="21" t="n">
        <x:f>6371*ACOS(MIN(1,COS(D459*PI()/180)*COS(I459*PI()/180)*COS((H459-C459)*PI()/180)+SIN(D459*PI()/180)*SIN(I459*PI()/180)))</x:f>
        <x:v>64.40286310353615</x:v>
      </x:c>
      <x:c r="K459" s="21" t="n">
        <x:f>'情景参数模板'!$D$31</x:f>
        <x:v>1.2</x:v>
      </x:c>
      <x:c r="L459" s="21" t="n">
        <x:f>J459*K459</x:f>
        <x:v>77.28343572424338</x:v>
      </x:c>
    </x:row>
    <x:row r="460">
      <x:c r="A460" s="17" t="str">
        <x:v>GD11</x:v>
      </x:c>
      <x:c r="B460" s="17" t="str">
        <x:v>东莞</x:v>
      </x:c>
      <x:c r="C460" s="24" t="n">
        <x:v>113.7452332</x:v>
      </x:c>
      <x:c r="D460" s="24" t="n">
        <x:v>23.0183568</x:v>
      </x:c>
      <x:c r="E460" s="17" t="str">
        <x:v>C06</x:v>
      </x:c>
      <x:c r="F460" s="17" t="str">
        <x:v>韶关虚拟回收/检测中心</x:v>
      </x:c>
      <x:c r="G460" s="17" t="str">
        <x:v>回收中心候选</x:v>
      </x:c>
      <x:c r="H460" s="24" t="n">
        <x:v>113.8155263</x:v>
      </x:c>
      <x:c r="I460" s="24" t="n">
        <x:v>24.8309489</x:v>
      </x:c>
      <x:c r="J460" s="21" t="n">
        <x:f>6371*ACOS(MIN(1,COS(D460*PI()/180)*COS(I460*PI()/180)*COS((H460-C460)*PI()/180)+SIN(D460*PI()/180)*SIN(I460*PI()/180)))</x:f>
        <x:v>201.67762245027922</x:v>
      </x:c>
      <x:c r="K460" s="21" t="n">
        <x:f>'情景参数模板'!$D$31</x:f>
        <x:v>1.2</x:v>
      </x:c>
      <x:c r="L460" s="21" t="n">
        <x:f>J460*K460</x:f>
        <x:v>242.01314694033505</x:v>
      </x:c>
    </x:row>
    <x:row r="461">
      <x:c r="A461" s="17" t="str">
        <x:v>GD11</x:v>
      </x:c>
      <x:c r="B461" s="17" t="str">
        <x:v>东莞</x:v>
      </x:c>
      <x:c r="C461" s="24" t="n">
        <x:v>113.7452332</x:v>
      </x:c>
      <x:c r="D461" s="24" t="n">
        <x:v>23.0183568</x:v>
      </x:c>
      <x:c r="E461" s="17" t="str">
        <x:v>C07</x:v>
      </x:c>
      <x:c r="F461" s="17" t="str">
        <x:v>河源虚拟回收/检测中心</x:v>
      </x:c>
      <x:c r="G461" s="17" t="str">
        <x:v>回收中心候选</x:v>
      </x:c>
      <x:c r="H461" s="24" t="n">
        <x:v>115.0577538</x:v>
      </x:c>
      <x:c r="I461" s="24" t="n">
        <x:v>24.1014769</x:v>
      </x:c>
      <x:c r="J461" s="21" t="n">
        <x:f>6371*ACOS(MIN(1,COS(D461*PI()/180)*COS(I461*PI()/180)*COS((H461-C461)*PI()/180)+SIN(D461*PI()/180)*SIN(I461*PI()/180)))</x:f>
        <x:v>180.00361940870866</x:v>
      </x:c>
      <x:c r="K461" s="21" t="n">
        <x:f>'情景参数模板'!$D$31</x:f>
        <x:v>1.2</x:v>
      </x:c>
      <x:c r="L461" s="21" t="n">
        <x:f>J461*K461</x:f>
        <x:v>216.00434329045038</x:v>
      </x:c>
    </x:row>
    <x:row r="462">
      <x:c r="A462" s="17" t="str">
        <x:v>GD11</x:v>
      </x:c>
      <x:c r="B462" s="17" t="str">
        <x:v>东莞</x:v>
      </x:c>
      <x:c r="C462" s="24" t="n">
        <x:v>113.7452332</x:v>
      </x:c>
      <x:c r="D462" s="24" t="n">
        <x:v>23.0183568</x:v>
      </x:c>
      <x:c r="E462" s="17" t="str">
        <x:v>C08</x:v>
      </x:c>
      <x:c r="F462" s="17" t="str">
        <x:v>梅州虚拟回收/检测中心</x:v>
      </x:c>
      <x:c r="G462" s="17" t="str">
        <x:v>回收中心候选</x:v>
      </x:c>
      <x:c r="H462" s="24" t="n">
        <x:v>116.1171428</x:v>
      </x:c>
      <x:c r="I462" s="24" t="n">
        <x:v>24.2918414</x:v>
      </x:c>
      <x:c r="J462" s="21" t="n">
        <x:f>6371*ACOS(MIN(1,COS(D462*PI()/180)*COS(I462*PI()/180)*COS((H462-C462)*PI()/180)+SIN(D462*PI()/180)*SIN(I462*PI()/180)))</x:f>
        <x:v>280.0171263652132</x:v>
      </x:c>
      <x:c r="K462" s="21" t="n">
        <x:f>'情景参数模板'!$D$31</x:f>
        <x:v>1.2</x:v>
      </x:c>
      <x:c r="L462" s="21" t="n">
        <x:f>J462*K462</x:f>
        <x:v>336.0205516382558</x:v>
      </x:c>
    </x:row>
    <x:row r="463">
      <x:c r="A463" s="17" t="str">
        <x:v>GD11</x:v>
      </x:c>
      <x:c r="B463" s="17" t="str">
        <x:v>东莞</x:v>
      </x:c>
      <x:c r="C463" s="24" t="n">
        <x:v>113.7452332</x:v>
      </x:c>
      <x:c r="D463" s="24" t="n">
        <x:v>23.0183568</x:v>
      </x:c>
      <x:c r="E463" s="17" t="str">
        <x:v>C09</x:v>
      </x:c>
      <x:c r="F463" s="17" t="str">
        <x:v>惠州虚拟回收/检测中心</x:v>
      </x:c>
      <x:c r="G463" s="17" t="str">
        <x:v>回收中心候选</x:v>
      </x:c>
      <x:c r="H463" s="24" t="n">
        <x:v>114.4127007</x:v>
      </x:c>
      <x:c r="I463" s="24" t="n">
        <x:v>23.1125153</x:v>
      </x:c>
      <x:c r="J463" s="21" t="n">
        <x:f>6371*ACOS(MIN(1,COS(D463*PI()/180)*COS(I463*PI()/180)*COS((H463-C463)*PI()/180)+SIN(D463*PI()/180)*SIN(I463*PI()/180)))</x:f>
        <x:v>69.08370671447607</x:v>
      </x:c>
      <x:c r="K463" s="21" t="n">
        <x:f>'情景参数模板'!$D$31</x:f>
        <x:v>1.2</x:v>
      </x:c>
      <x:c r="L463" s="21" t="n">
        <x:f>J463*K463</x:f>
        <x:v>82.90044805737128</x:v>
      </x:c>
    </x:row>
    <x:row r="464">
      <x:c r="A464" s="17" t="str">
        <x:v>GD11</x:v>
      </x:c>
      <x:c r="B464" s="17" t="str">
        <x:v>东莞</x:v>
      </x:c>
      <x:c r="C464" s="24" t="n">
        <x:v>113.7452332</x:v>
      </x:c>
      <x:c r="D464" s="24" t="n">
        <x:v>23.0183568</x:v>
      </x:c>
      <x:c r="E464" s="17" t="str">
        <x:v>C10</x:v>
      </x:c>
      <x:c r="F464" s="17" t="str">
        <x:v>汕尾虚拟回收/检测中心</x:v>
      </x:c>
      <x:c r="G464" s="17" t="str">
        <x:v>回收中心候选</x:v>
      </x:c>
      <x:c r="H464" s="24" t="n">
        <x:v>115.5099937</x:v>
      </x:c>
      <x:c r="I464" s="24" t="n">
        <x:v>23.0123639</x:v>
      </x:c>
      <x:c r="J464" s="21" t="n">
        <x:f>6371*ACOS(MIN(1,COS(D464*PI()/180)*COS(I464*PI()/180)*COS((H464-C464)*PI()/180)+SIN(D464*PI()/180)*SIN(I464*PI()/180)))</x:f>
        <x:v>180.61246561279575</x:v>
      </x:c>
      <x:c r="K464" s="21" t="n">
        <x:f>'情景参数模板'!$D$31</x:f>
        <x:v>1.2</x:v>
      </x:c>
      <x:c r="L464" s="21" t="n">
        <x:f>J464*K464</x:f>
        <x:v>216.7349587353549</x:v>
      </x:c>
    </x:row>
    <x:row r="465">
      <x:c r="A465" s="17" t="str">
        <x:v>GD11</x:v>
      </x:c>
      <x:c r="B465" s="17" t="str">
        <x:v>东莞</x:v>
      </x:c>
      <x:c r="C465" s="24" t="n">
        <x:v>113.7452332</x:v>
      </x:c>
      <x:c r="D465" s="24" t="n">
        <x:v>23.0183568</x:v>
      </x:c>
      <x:c r="E465" s="17" t="str">
        <x:v>C11</x:v>
      </x:c>
      <x:c r="F465" s="17" t="str">
        <x:v>东莞虚拟回收/检测中心</x:v>
      </x:c>
      <x:c r="G465" s="17" t="str">
        <x:v>回收中心候选</x:v>
      </x:c>
      <x:c r="H465" s="24" t="n">
        <x:v>113.7452332</x:v>
      </x:c>
      <x:c r="I465" s="24" t="n">
        <x:v>23.0183568</x:v>
      </x:c>
      <x:c r="J465" s="21" t="n">
        <x:f>6371*ACOS(MIN(1,COS(D465*PI()/180)*COS(I465*PI()/180)*COS((H465-C465)*PI()/180)+SIN(D465*PI()/180)*SIN(I465*PI()/180)))</x:f>
        <x:v>0</x:v>
      </x:c>
      <x:c r="K465" s="21" t="n">
        <x:f>'情景参数模板'!$D$31</x:f>
        <x:v>1.2</x:v>
      </x:c>
      <x:c r="L465" s="21" t="n">
        <x:f>J465*K465</x:f>
        <x:v>0</x:v>
      </x:c>
    </x:row>
    <x:row r="466">
      <x:c r="A466" s="17" t="str">
        <x:v>GD11</x:v>
      </x:c>
      <x:c r="B466" s="17" t="str">
        <x:v>东莞</x:v>
      </x:c>
      <x:c r="C466" s="24" t="n">
        <x:v>113.7452332</x:v>
      </x:c>
      <x:c r="D466" s="24" t="n">
        <x:v>23.0183568</x:v>
      </x:c>
      <x:c r="E466" s="17" t="str">
        <x:v>C12</x:v>
      </x:c>
      <x:c r="F466" s="17" t="str">
        <x:v>中山虚拟回收/检测中心</x:v>
      </x:c>
      <x:c r="G466" s="17" t="str">
        <x:v>回收中心候选</x:v>
      </x:c>
      <x:c r="H466" s="24" t="n">
        <x:v>113.3872302</x:v>
      </x:c>
      <x:c r="I466" s="24" t="n">
        <x:v>22.5197073</x:v>
      </x:c>
      <x:c r="J466" s="21" t="n">
        <x:f>6371*ACOS(MIN(1,COS(D466*PI()/180)*COS(I466*PI()/180)*COS((H466-C466)*PI()/180)+SIN(D466*PI()/180)*SIN(I466*PI()/180)))</x:f>
        <x:v>66.49599216706548</x:v>
      </x:c>
      <x:c r="K466" s="21" t="n">
        <x:f>'情景参数模板'!$D$31</x:f>
        <x:v>1.2</x:v>
      </x:c>
      <x:c r="L466" s="21" t="n">
        <x:f>J466*K466</x:f>
        <x:v>79.79519060047858</x:v>
      </x:c>
    </x:row>
    <x:row r="467">
      <x:c r="A467" s="17" t="str">
        <x:v>GD11</x:v>
      </x:c>
      <x:c r="B467" s="17" t="str">
        <x:v>东莞</x:v>
      </x:c>
      <x:c r="C467" s="24" t="n">
        <x:v>113.7452332</x:v>
      </x:c>
      <x:c r="D467" s="24" t="n">
        <x:v>23.0183568</x:v>
      </x:c>
      <x:c r="E467" s="17" t="str">
        <x:v>C13</x:v>
      </x:c>
      <x:c r="F467" s="17" t="str">
        <x:v>江门虚拟回收/检测中心</x:v>
      </x:c>
      <x:c r="G467" s="17" t="str">
        <x:v>回收中心候选</x:v>
      </x:c>
      <x:c r="H467" s="24" t="n">
        <x:v>113.0761073</x:v>
      </x:c>
      <x:c r="I467" s="24" t="n">
        <x:v>22.5816619</x:v>
      </x:c>
      <x:c r="J467" s="21" t="n">
        <x:f>6371*ACOS(MIN(1,COS(D467*PI()/180)*COS(I467*PI()/180)*COS((H467-C467)*PI()/180)+SIN(D467*PI()/180)*SIN(I467*PI()/180)))</x:f>
        <x:v>84.0381800487033</x:v>
      </x:c>
      <x:c r="K467" s="21" t="n">
        <x:f>'情景参数模板'!$D$31</x:f>
        <x:v>1.2</x:v>
      </x:c>
      <x:c r="L467" s="21" t="n">
        <x:f>J467*K467</x:f>
        <x:v>100.84581605844396</x:v>
      </x:c>
    </x:row>
    <x:row r="468">
      <x:c r="A468" s="17" t="str">
        <x:v>GD11</x:v>
      </x:c>
      <x:c r="B468" s="17" t="str">
        <x:v>东莞</x:v>
      </x:c>
      <x:c r="C468" s="24" t="n">
        <x:v>113.7452332</x:v>
      </x:c>
      <x:c r="D468" s="24" t="n">
        <x:v>23.0183568</x:v>
      </x:c>
      <x:c r="E468" s="17" t="str">
        <x:v>C14</x:v>
      </x:c>
      <x:c r="F468" s="17" t="str">
        <x:v>阳江虚拟回收/检测中心</x:v>
      </x:c>
      <x:c r="G468" s="17" t="str">
        <x:v>回收中心候选</x:v>
      </x:c>
      <x:c r="H468" s="24" t="n">
        <x:v>111.7831393</x:v>
      </x:c>
      <x:c r="I468" s="24" t="n">
        <x:v>22.0958223</x:v>
      </x:c>
      <x:c r="J468" s="21" t="n">
        <x:f>6371*ACOS(MIN(1,COS(D468*PI()/180)*COS(I468*PI()/180)*COS((H468-C468)*PI()/180)+SIN(D468*PI()/180)*SIN(I468*PI()/180)))</x:f>
        <x:v>226.09022435971104</x:v>
      </x:c>
      <x:c r="K468" s="21" t="n">
        <x:f>'情景参数模板'!$D$31</x:f>
        <x:v>1.2</x:v>
      </x:c>
      <x:c r="L468" s="21" t="n">
        <x:f>J468*K468</x:f>
        <x:v>271.30826923165324</x:v>
      </x:c>
    </x:row>
    <x:row r="469">
      <x:c r="A469" s="17" t="str">
        <x:v>GD11</x:v>
      </x:c>
      <x:c r="B469" s="17" t="str">
        <x:v>东莞</x:v>
      </x:c>
      <x:c r="C469" s="24" t="n">
        <x:v>113.7452332</x:v>
      </x:c>
      <x:c r="D469" s="24" t="n">
        <x:v>23.0183568</x:v>
      </x:c>
      <x:c r="E469" s="17" t="str">
        <x:v>C15</x:v>
      </x:c>
      <x:c r="F469" s="17" t="str">
        <x:v>湛江虚拟回收/检测中心</x:v>
      </x:c>
      <x:c r="G469" s="17" t="str">
        <x:v>回收中心候选</x:v>
      </x:c>
      <x:c r="H469" s="24" t="n">
        <x:v>110.3548318</x:v>
      </x:c>
      <x:c r="I469" s="24" t="n">
        <x:v>21.2737079</x:v>
      </x:c>
      <x:c r="J469" s="21" t="n">
        <x:f>6371*ACOS(MIN(1,COS(D469*PI()/180)*COS(I469*PI()/180)*COS((H469-C469)*PI()/180)+SIN(D469*PI()/180)*SIN(I469*PI()/180)))</x:f>
        <x:v>399.42971195966777</x:v>
      </x:c>
      <x:c r="K469" s="21" t="n">
        <x:f>'情景参数模板'!$D$31</x:f>
        <x:v>1.2</x:v>
      </x:c>
      <x:c r="L469" s="21" t="n">
        <x:f>J469*K469</x:f>
        <x:v>479.3156543516013</x:v>
      </x:c>
    </x:row>
    <x:row r="470">
      <x:c r="A470" s="17" t="str">
        <x:v>GD11</x:v>
      </x:c>
      <x:c r="B470" s="17" t="str">
        <x:v>东莞</x:v>
      </x:c>
      <x:c r="C470" s="24" t="n">
        <x:v>113.7452332</x:v>
      </x:c>
      <x:c r="D470" s="24" t="n">
        <x:v>23.0183568</x:v>
      </x:c>
      <x:c r="E470" s="17" t="str">
        <x:v>C16</x:v>
      </x:c>
      <x:c r="F470" s="17" t="str">
        <x:v>茂名虚拟回收/检测中心</x:v>
      </x:c>
      <x:c r="G470" s="17" t="str">
        <x:v>回收中心候选</x:v>
      </x:c>
      <x:c r="H470" s="24" t="n">
        <x:v>110.9209511</x:v>
      </x:c>
      <x:c r="I470" s="24" t="n">
        <x:v>21.6656961</x:v>
      </x:c>
      <x:c r="J470" s="21" t="n">
        <x:f>6371*ACOS(MIN(1,COS(D470*PI()/180)*COS(I470*PI()/180)*COS((H470-C470)*PI()/180)+SIN(D470*PI()/180)*SIN(I470*PI()/180)))</x:f>
        <x:v>327.0898464197607</x:v>
      </x:c>
      <x:c r="K470" s="21" t="n">
        <x:f>'情景参数模板'!$D$31</x:f>
        <x:v>1.2</x:v>
      </x:c>
      <x:c r="L470" s="21" t="n">
        <x:f>J470*K470</x:f>
        <x:v>392.5078157037128</x:v>
      </x:c>
    </x:row>
    <x:row r="471">
      <x:c r="A471" s="17" t="str">
        <x:v>GD11</x:v>
      </x:c>
      <x:c r="B471" s="17" t="str">
        <x:v>东莞</x:v>
      </x:c>
      <x:c r="C471" s="24" t="n">
        <x:v>113.7452332</x:v>
      </x:c>
      <x:c r="D471" s="24" t="n">
        <x:v>23.0183568</x:v>
      </x:c>
      <x:c r="E471" s="17" t="str">
        <x:v>C17</x:v>
      </x:c>
      <x:c r="F471" s="17" t="str">
        <x:v>肇庆虚拟回收/检测中心</x:v>
      </x:c>
      <x:c r="G471" s="17" t="str">
        <x:v>回收中心候选</x:v>
      </x:c>
      <x:c r="H471" s="24" t="n">
        <x:v>112.4603629</x:v>
      </x:c>
      <x:c r="I471" s="24" t="n">
        <x:v>23.0501661</x:v>
      </x:c>
      <x:c r="J471" s="21" t="n">
        <x:f>6371*ACOS(MIN(1,COS(D471*PI()/180)*COS(I471*PI()/180)*COS((H471-C471)*PI()/180)+SIN(D471*PI()/180)*SIN(I471*PI()/180)))</x:f>
        <x:v>131.52724118580286</x:v>
      </x:c>
      <x:c r="K471" s="21" t="n">
        <x:f>'情景参数模板'!$D$31</x:f>
        <x:v>1.2</x:v>
      </x:c>
      <x:c r="L471" s="21" t="n">
        <x:f>J471*K471</x:f>
        <x:v>157.83268942296343</x:v>
      </x:c>
    </x:row>
    <x:row r="472">
      <x:c r="A472" s="17" t="str">
        <x:v>GD11</x:v>
      </x:c>
      <x:c r="B472" s="17" t="str">
        <x:v>东莞</x:v>
      </x:c>
      <x:c r="C472" s="24" t="n">
        <x:v>113.7452332</x:v>
      </x:c>
      <x:c r="D472" s="24" t="n">
        <x:v>23.0183568</x:v>
      </x:c>
      <x:c r="E472" s="17" t="str">
        <x:v>C18</x:v>
      </x:c>
      <x:c r="F472" s="17" t="str">
        <x:v>清远虚拟回收/检测中心</x:v>
      </x:c>
      <x:c r="G472" s="17" t="str">
        <x:v>回收中心候选</x:v>
      </x:c>
      <x:c r="H472" s="24" t="n">
        <x:v>113.0505994</x:v>
      </x:c>
      <x:c r="I472" s="24" t="n">
        <x:v>23.6832984</x:v>
      </x:c>
      <x:c r="J472" s="21" t="n">
        <x:f>6371*ACOS(MIN(1,COS(D472*PI()/180)*COS(I472*PI()/180)*COS((H472-C472)*PI()/180)+SIN(D472*PI()/180)*SIN(I472*PI()/180)))</x:f>
        <x:v>102.44738181217072</x:v>
      </x:c>
      <x:c r="K472" s="21" t="n">
        <x:f>'情景参数模板'!$D$31</x:f>
        <x:v>1.2</x:v>
      </x:c>
      <x:c r="L472" s="21" t="n">
        <x:f>J472*K472</x:f>
        <x:v>122.93685817460485</x:v>
      </x:c>
    </x:row>
    <x:row r="473">
      <x:c r="A473" s="17" t="str">
        <x:v>GD11</x:v>
      </x:c>
      <x:c r="B473" s="17" t="str">
        <x:v>东莞</x:v>
      </x:c>
      <x:c r="C473" s="24" t="n">
        <x:v>113.7452332</x:v>
      </x:c>
      <x:c r="D473" s="24" t="n">
        <x:v>23.0183568</x:v>
      </x:c>
      <x:c r="E473" s="17" t="str">
        <x:v>C19</x:v>
      </x:c>
      <x:c r="F473" s="17" t="str">
        <x:v>潮州虚拟回收/检测中心</x:v>
      </x:c>
      <x:c r="G473" s="17" t="str">
        <x:v>回收中心候选</x:v>
      </x:c>
      <x:c r="H473" s="24" t="n">
        <x:v>116.6204223</x:v>
      </x:c>
      <x:c r="I473" s="24" t="n">
        <x:v>23.656593</x:v>
      </x:c>
      <x:c r="J473" s="21" t="n">
        <x:f>6371*ACOS(MIN(1,COS(D473*PI()/180)*COS(I473*PI()/180)*COS((H473-C473)*PI()/180)+SIN(D473*PI()/180)*SIN(I473*PI()/180)))</x:f>
        <x:v>302.0003070616597</x:v>
      </x:c>
      <x:c r="K473" s="21" t="n">
        <x:f>'情景参数模板'!$D$31</x:f>
        <x:v>1.2</x:v>
      </x:c>
      <x:c r="L473" s="21" t="n">
        <x:f>J473*K473</x:f>
        <x:v>362.40036847399165</x:v>
      </x:c>
    </x:row>
    <x:row r="474">
      <x:c r="A474" s="17" t="str">
        <x:v>GD11</x:v>
      </x:c>
      <x:c r="B474" s="17" t="str">
        <x:v>东莞</x:v>
      </x:c>
      <x:c r="C474" s="24" t="n">
        <x:v>113.7452332</x:v>
      </x:c>
      <x:c r="D474" s="24" t="n">
        <x:v>23.0183568</x:v>
      </x:c>
      <x:c r="E474" s="17" t="str">
        <x:v>C20</x:v>
      </x:c>
      <x:c r="F474" s="17" t="str">
        <x:v>揭阳虚拟回收/检测中心</x:v>
      </x:c>
      <x:c r="G474" s="17" t="str">
        <x:v>回收中心候选</x:v>
      </x:c>
      <x:c r="H474" s="24" t="n">
        <x:v>116.3680354</x:v>
      </x:c>
      <x:c r="I474" s="24" t="n">
        <x:v>23.553156</x:v>
      </x:c>
      <x:c r="J474" s="21" t="n">
        <x:f>6371*ACOS(MIN(1,COS(D474*PI()/180)*COS(I474*PI()/180)*COS((H474-C474)*PI()/180)+SIN(D474*PI()/180)*SIN(I474*PI()/180)))</x:f>
        <x:v>274.4024735528984</x:v>
      </x:c>
      <x:c r="K474" s="21" t="n">
        <x:f>'情景参数模板'!$D$31</x:f>
        <x:v>1.2</x:v>
      </x:c>
      <x:c r="L474" s="21" t="n">
        <x:f>J474*K474</x:f>
        <x:v>329.2829682634781</x:v>
      </x:c>
    </x:row>
    <x:row r="475">
      <x:c r="A475" s="17" t="str">
        <x:v>GD11</x:v>
      </x:c>
      <x:c r="B475" s="17" t="str">
        <x:v>东莞</x:v>
      </x:c>
      <x:c r="C475" s="24" t="n">
        <x:v>113.7452332</x:v>
      </x:c>
      <x:c r="D475" s="24" t="n">
        <x:v>23.0183568</x:v>
      </x:c>
      <x:c r="E475" s="17" t="str">
        <x:v>C21</x:v>
      </x:c>
      <x:c r="F475" s="17" t="str">
        <x:v>云浮虚拟回收/检测中心</x:v>
      </x:c>
      <x:c r="G475" s="17" t="str">
        <x:v>回收中心候选</x:v>
      </x:c>
      <x:c r="H475" s="24" t="n">
        <x:v>111.8078586</x:v>
      </x:c>
      <x:c r="I475" s="24" t="n">
        <x:v>22.8546663</x:v>
      </x:c>
      <x:c r="J475" s="21" t="n">
        <x:f>6371*ACOS(MIN(1,COS(D475*PI()/180)*COS(I475*PI()/180)*COS((H475-C475)*PI()/180)+SIN(D475*PI()/180)*SIN(I475*PI()/180)))</x:f>
        <x:v>199.2257001173399</x:v>
      </x:c>
      <x:c r="K475" s="21" t="n">
        <x:f>'情景参数模板'!$D$31</x:f>
        <x:v>1.2</x:v>
      </x:c>
      <x:c r="L475" s="21" t="n">
        <x:f>J475*K475</x:f>
        <x:v>239.07084014080786</x:v>
      </x:c>
    </x:row>
    <x:row r="476">
      <x:c r="A476" s="17" t="str">
        <x:v>GD11</x:v>
      </x:c>
      <x:c r="B476" s="17" t="str">
        <x:v>东莞</x:v>
      </x:c>
      <x:c r="C476" s="24" t="n">
        <x:v>113.7452332</x:v>
      </x:c>
      <x:c r="D476" s="24" t="n">
        <x:v>23.0183568</x:v>
      </x:c>
      <x:c r="E476" s="17" t="str">
        <x:v>P01</x:v>
      </x:c>
      <x:c r="F476" s="17" t="str">
        <x:v>汕尾比亚迪废旧动力电池回收项目</x:v>
      </x:c>
      <x:c r="G476" s="17" t="str">
        <x:v>再生利用</x:v>
      </x:c>
      <x:c r="H476" s="24" t="n">
        <x:v>115.3492668</x:v>
      </x:c>
      <x:c r="I476" s="24" t="n">
        <x:v>22.838065</x:v>
      </x:c>
      <x:c r="J476" s="21" t="n">
        <x:f>6371*ACOS(MIN(1,COS(D476*PI()/180)*COS(I476*PI()/180)*COS((H476-C476)*PI()/180)+SIN(D476*PI()/180)*SIN(I476*PI()/180)))</x:f>
        <x:v>165.48668107845458</x:v>
      </x:c>
      <x:c r="K476" s="21" t="n">
        <x:f>'情景参数模板'!$D$31</x:f>
        <x:v>1.2</x:v>
      </x:c>
      <x:c r="L476" s="21" t="n">
        <x:f>J476*K476</x:f>
        <x:v>198.5840172941455</x:v>
      </x:c>
    </x:row>
    <x:row r="477">
      <x:c r="A477" s="17" t="str">
        <x:v>GD11</x:v>
      </x:c>
      <x:c r="B477" s="17" t="str">
        <x:v>东莞</x:v>
      </x:c>
      <x:c r="C477" s="24" t="n">
        <x:v>113.7452332</x:v>
      </x:c>
      <x:c r="D477" s="24" t="n">
        <x:v>23.0183568</x:v>
      </x:c>
      <x:c r="E477" s="17" t="str">
        <x:v>P02E</x:v>
      </x:c>
      <x:c r="F477" s="17" t="str">
        <x:v>广东光华科技股份有限公司（梯次功能）</x:v>
      </x:c>
      <x:c r="G477" s="17" t="str">
        <x:v>梯次利用</x:v>
      </x:c>
      <x:c r="H477" s="24" t="n">
        <x:v>116.6775856</x:v>
      </x:c>
      <x:c r="I477" s="24" t="n">
        <x:v>23.3563921</x:v>
      </x:c>
      <x:c r="J477" s="21" t="n">
        <x:f>6371*ACOS(MIN(1,COS(D477*PI()/180)*COS(I477*PI()/180)*COS((H477-C477)*PI()/180)+SIN(D477*PI()/180)*SIN(I477*PI()/180)))</x:f>
        <x:v>302.0660678063366</x:v>
      </x:c>
      <x:c r="K477" s="21" t="n">
        <x:f>'情景参数模板'!$D$31</x:f>
        <x:v>1.2</x:v>
      </x:c>
      <x:c r="L477" s="21" t="n">
        <x:f>J477*K477</x:f>
        <x:v>362.4792813676039</x:v>
      </x:c>
    </x:row>
    <x:row r="478">
      <x:c r="A478" s="17" t="str">
        <x:v>GD11</x:v>
      </x:c>
      <x:c r="B478" s="17" t="str">
        <x:v>东莞</x:v>
      </x:c>
      <x:c r="C478" s="24" t="n">
        <x:v>113.7452332</x:v>
      </x:c>
      <x:c r="D478" s="24" t="n">
        <x:v>23.0183568</x:v>
      </x:c>
      <x:c r="E478" s="17" t="str">
        <x:v>P02R</x:v>
      </x:c>
      <x:c r="F478" s="17" t="str">
        <x:v>广东光华科技股份有限公司（再生功能）</x:v>
      </x:c>
      <x:c r="G478" s="17" t="str">
        <x:v>再生利用</x:v>
      </x:c>
      <x:c r="H478" s="24" t="n">
        <x:v>116.6775856</x:v>
      </x:c>
      <x:c r="I478" s="24" t="n">
        <x:v>23.3563921</x:v>
      </x:c>
      <x:c r="J478" s="21" t="n">
        <x:f>6371*ACOS(MIN(1,COS(D478*PI()/180)*COS(I478*PI()/180)*COS((H478-C478)*PI()/180)+SIN(D478*PI()/180)*SIN(I478*PI()/180)))</x:f>
        <x:v>302.0660678063366</x:v>
      </x:c>
      <x:c r="K478" s="21" t="n">
        <x:f>'情景参数模板'!$D$31</x:f>
        <x:v>1.2</x:v>
      </x:c>
      <x:c r="L478" s="21" t="n">
        <x:f>J478*K478</x:f>
        <x:v>362.4792813676039</x:v>
      </x:c>
    </x:row>
    <x:row r="479">
      <x:c r="A479" s="17" t="str">
        <x:v>GD11</x:v>
      </x:c>
      <x:c r="B479" s="17" t="str">
        <x:v>东莞</x:v>
      </x:c>
      <x:c r="C479" s="24" t="n">
        <x:v>113.7452332</x:v>
      </x:c>
      <x:c r="D479" s="24" t="n">
        <x:v>23.0183568</x:v>
      </x:c>
      <x:c r="E479" s="17" t="str">
        <x:v>P03</x:v>
      </x:c>
      <x:c r="F479" s="17" t="str">
        <x:v>深圳深汕特别合作区乾泰技术有限公司</x:v>
      </x:c>
      <x:c r="G479" s="17" t="str">
        <x:v>梯次利用</x:v>
      </x:c>
      <x:c r="H479" s="24" t="n">
        <x:v>115.5099937</x:v>
      </x:c>
      <x:c r="I479" s="24" t="n">
        <x:v>23.0123639</x:v>
      </x:c>
      <x:c r="J479" s="21" t="n">
        <x:f>6371*ACOS(MIN(1,COS(D479*PI()/180)*COS(I479*PI()/180)*COS((H479-C479)*PI()/180)+SIN(D479*PI()/180)*SIN(I479*PI()/180)))</x:f>
        <x:v>180.61246561279575</x:v>
      </x:c>
      <x:c r="K479" s="21" t="n">
        <x:f>'情景参数模板'!$D$31</x:f>
        <x:v>1.2</x:v>
      </x:c>
      <x:c r="L479" s="21" t="n">
        <x:f>J479*K479</x:f>
        <x:v>216.7349587353549</x:v>
      </x:c>
    </x:row>
    <x:row r="480">
      <x:c r="A480" s="17" t="str">
        <x:v>GD11</x:v>
      </x:c>
      <x:c r="B480" s="17" t="str">
        <x:v>东莞</x:v>
      </x:c>
      <x:c r="C480" s="24" t="n">
        <x:v>113.7452332</x:v>
      </x:c>
      <x:c r="D480" s="24" t="n">
        <x:v>23.0183568</x:v>
      </x:c>
      <x:c r="E480" s="17" t="str">
        <x:v>P04</x:v>
      </x:c>
      <x:c r="F480" s="17" t="str">
        <x:v>珠海中力新能源科技有限公司</x:v>
      </x:c>
      <x:c r="G480" s="17" t="str">
        <x:v>梯次利用</x:v>
      </x:c>
      <x:c r="H480" s="24" t="n">
        <x:v>113.5721327</x:v>
      </x:c>
      <x:c r="I480" s="24" t="n">
        <x:v>22.273734</x:v>
      </x:c>
      <x:c r="J480" s="21" t="n">
        <x:f>6371*ACOS(MIN(1,COS(D480*PI()/180)*COS(I480*PI()/180)*COS((H480-C480)*PI()/180)+SIN(D480*PI()/180)*SIN(I480*PI()/180)))</x:f>
        <x:v>84.68237310278309</x:v>
      </x:c>
      <x:c r="K480" s="21" t="n">
        <x:f>'情景参数模板'!$D$31</x:f>
        <x:v>1.2</x:v>
      </x:c>
      <x:c r="L480" s="21" t="n">
        <x:f>J480*K480</x:f>
        <x:v>101.6188477233397</x:v>
      </x:c>
    </x:row>
    <x:row r="481">
      <x:c r="A481" s="17" t="str">
        <x:v>GD11</x:v>
      </x:c>
      <x:c r="B481" s="17" t="str">
        <x:v>东莞</x:v>
      </x:c>
      <x:c r="C481" s="24" t="n">
        <x:v>113.7452332</x:v>
      </x:c>
      <x:c r="D481" s="24" t="n">
        <x:v>23.0183568</x:v>
      </x:c>
      <x:c r="E481" s="17" t="str">
        <x:v>P05</x:v>
      </x:c>
      <x:c r="F481" s="17" t="str">
        <x:v>惠州市恒创睿能环保科技有限公司</x:v>
      </x:c>
      <x:c r="G481" s="17" t="str">
        <x:v>梯次利用</x:v>
      </x:c>
      <x:c r="H481" s="24" t="n">
        <x:v>114.4127007</x:v>
      </x:c>
      <x:c r="I481" s="24" t="n">
        <x:v>23.1125153</x:v>
      </x:c>
      <x:c r="J481" s="21" t="n">
        <x:f>6371*ACOS(MIN(1,COS(D481*PI()/180)*COS(I481*PI()/180)*COS((H481-C481)*PI()/180)+SIN(D481*PI()/180)*SIN(I481*PI()/180)))</x:f>
        <x:v>69.08370671447607</x:v>
      </x:c>
      <x:c r="K481" s="21" t="n">
        <x:f>'情景参数模板'!$D$31</x:f>
        <x:v>1.2</x:v>
      </x:c>
      <x:c r="L481" s="21" t="n">
        <x:f>J481*K481</x:f>
        <x:v>82.90044805737128</x:v>
      </x:c>
    </x:row>
    <x:row r="482">
      <x:c r="A482" s="17" t="str">
        <x:v>GD11</x:v>
      </x:c>
      <x:c r="B482" s="17" t="str">
        <x:v>东莞</x:v>
      </x:c>
      <x:c r="C482" s="24" t="n">
        <x:v>113.7452332</x:v>
      </x:c>
      <x:c r="D482" s="24" t="n">
        <x:v>23.0183568</x:v>
      </x:c>
      <x:c r="E482" s="17" t="str">
        <x:v>P06</x:v>
      </x:c>
      <x:c r="F482" s="17" t="str">
        <x:v>江门市朗达锂电池有限公司</x:v>
      </x:c>
      <x:c r="G482" s="17" t="str">
        <x:v>梯次利用</x:v>
      </x:c>
      <x:c r="H482" s="24" t="n">
        <x:v>113.0761073</x:v>
      </x:c>
      <x:c r="I482" s="24" t="n">
        <x:v>22.5816619</x:v>
      </x:c>
      <x:c r="J482" s="21" t="n">
        <x:f>6371*ACOS(MIN(1,COS(D482*PI()/180)*COS(I482*PI()/180)*COS((H482-C482)*PI()/180)+SIN(D482*PI()/180)*SIN(I482*PI()/180)))</x:f>
        <x:v>84.0381800487033</x:v>
      </x:c>
      <x:c r="K482" s="21" t="n">
        <x:f>'情景参数模板'!$D$31</x:f>
        <x:v>1.2</x:v>
      </x:c>
      <x:c r="L482" s="21" t="n">
        <x:f>J482*K482</x:f>
        <x:v>100.84581605844396</x:v>
      </x:c>
    </x:row>
    <x:row r="483">
      <x:c r="A483" s="17" t="str">
        <x:v>GD11</x:v>
      </x:c>
      <x:c r="B483" s="17" t="str">
        <x:v>东莞</x:v>
      </x:c>
      <x:c r="C483" s="24" t="n">
        <x:v>113.7452332</x:v>
      </x:c>
      <x:c r="D483" s="24" t="n">
        <x:v>23.0183568</x:v>
      </x:c>
      <x:c r="E483" s="17" t="str">
        <x:v>P07</x:v>
      </x:c>
      <x:c r="F483" s="17" t="str">
        <x:v>广东迪度新能源有限公司</x:v>
      </x:c>
      <x:c r="G483" s="17" t="str">
        <x:v>梯次利用</x:v>
      </x:c>
      <x:c r="H483" s="24" t="n">
        <x:v>113.7452332</x:v>
      </x:c>
      <x:c r="I483" s="24" t="n">
        <x:v>23.0183568</x:v>
      </x:c>
      <x:c r="J483" s="21" t="n">
        <x:f>6371*ACOS(MIN(1,COS(D483*PI()/180)*COS(I483*PI()/180)*COS((H483-C483)*PI()/180)+SIN(D483*PI()/180)*SIN(I483*PI()/180)))</x:f>
        <x:v>0</x:v>
      </x:c>
      <x:c r="K483" s="21" t="n">
        <x:f>'情景参数模板'!$D$31</x:f>
        <x:v>1.2</x:v>
      </x:c>
      <x:c r="L483" s="21" t="n">
        <x:f>J483*K483</x:f>
        <x:v>0</x:v>
      </x:c>
    </x:row>
    <x:row r="484">
      <x:c r="A484" s="17" t="str">
        <x:v>GD11</x:v>
      </x:c>
      <x:c r="B484" s="17" t="str">
        <x:v>东莞</x:v>
      </x:c>
      <x:c r="C484" s="24" t="n">
        <x:v>113.7452332</x:v>
      </x:c>
      <x:c r="D484" s="24" t="n">
        <x:v>23.0183568</x:v>
      </x:c>
      <x:c r="E484" s="17" t="str">
        <x:v>P08</x:v>
      </x:c>
      <x:c r="F484" s="17" t="str">
        <x:v>东莞市博森新能源有限公司</x:v>
      </x:c>
      <x:c r="G484" s="17" t="str">
        <x:v>梯次利用</x:v>
      </x:c>
      <x:c r="H484" s="24" t="n">
        <x:v>113.7452332</x:v>
      </x:c>
      <x:c r="I484" s="24" t="n">
        <x:v>23.0183568</x:v>
      </x:c>
      <x:c r="J484" s="21" t="n">
        <x:f>6371*ACOS(MIN(1,COS(D484*PI()/180)*COS(I484*PI()/180)*COS((H484-C484)*PI()/180)+SIN(D484*PI()/180)*SIN(I484*PI()/180)))</x:f>
        <x:v>0</x:v>
      </x:c>
      <x:c r="K484" s="21" t="n">
        <x:f>'情景参数模板'!$D$31</x:f>
        <x:v>1.2</x:v>
      </x:c>
      <x:c r="L484" s="21" t="n">
        <x:f>J484*K484</x:f>
        <x:v>0</x:v>
      </x:c>
    </x:row>
    <x:row r="485">
      <x:c r="A485" s="17" t="str">
        <x:v>GD11</x:v>
      </x:c>
      <x:c r="B485" s="17" t="str">
        <x:v>东莞</x:v>
      </x:c>
      <x:c r="C485" s="24" t="n">
        <x:v>113.7452332</x:v>
      </x:c>
      <x:c r="D485" s="24" t="n">
        <x:v>23.0183568</x:v>
      </x:c>
      <x:c r="E485" s="17" t="str">
        <x:v>P09</x:v>
      </x:c>
      <x:c r="F485" s="17" t="str">
        <x:v>广东宇阳新能源有限公司</x:v>
      </x:c>
      <x:c r="G485" s="17" t="str">
        <x:v>梯次利用</x:v>
      </x:c>
      <x:c r="H485" s="24" t="n">
        <x:v>113.7452332</x:v>
      </x:c>
      <x:c r="I485" s="24" t="n">
        <x:v>23.0183568</x:v>
      </x:c>
      <x:c r="J485" s="21" t="n">
        <x:f>6371*ACOS(MIN(1,COS(D485*PI()/180)*COS(I485*PI()/180)*COS((H485-C485)*PI()/180)+SIN(D485*PI()/180)*SIN(I485*PI()/180)))</x:f>
        <x:v>0</x:v>
      </x:c>
      <x:c r="K485" s="21" t="n">
        <x:f>'情景参数模板'!$D$31</x:f>
        <x:v>1.2</x:v>
      </x:c>
      <x:c r="L485" s="21" t="n">
        <x:f>J485*K485</x:f>
        <x:v>0</x:v>
      </x:c>
    </x:row>
    <x:row r="486">
      <x:c r="A486" s="17" t="str">
        <x:v>GD11</x:v>
      </x:c>
      <x:c r="B486" s="17" t="str">
        <x:v>东莞</x:v>
      </x:c>
      <x:c r="C486" s="24" t="n">
        <x:v>113.7452332</x:v>
      </x:c>
      <x:c r="D486" s="24" t="n">
        <x:v>23.0183568</x:v>
      </x:c>
      <x:c r="E486" s="17" t="str">
        <x:v>P10</x:v>
      </x:c>
      <x:c r="F486" s="17" t="str">
        <x:v>广州广汽商贸再生资源有限公司</x:v>
      </x:c>
      <x:c r="G486" s="17" t="str">
        <x:v>梯次利用</x:v>
      </x:c>
      <x:c r="H486" s="24" t="n">
        <x:v>113.2589581</x:v>
      </x:c>
      <x:c r="I486" s="24" t="n">
        <x:v>23.1288429</x:v>
      </x:c>
      <x:c r="J486" s="21" t="n">
        <x:f>6371*ACOS(MIN(1,COS(D486*PI()/180)*COS(I486*PI()/180)*COS((H486-C486)*PI()/180)+SIN(D486*PI()/180)*SIN(I486*PI()/180)))</x:f>
        <x:v>51.240297874016186</x:v>
      </x:c>
      <x:c r="K486" s="21" t="n">
        <x:f>'情景参数模板'!$D$31</x:f>
        <x:v>1.2</x:v>
      </x:c>
      <x:c r="L486" s="21" t="n">
        <x:f>J486*K486</x:f>
        <x:v>61.48835744881942</x:v>
      </x:c>
    </x:row>
    <x:row r="487">
      <x:c r="A487" s="17" t="str">
        <x:v>GD11</x:v>
      </x:c>
      <x:c r="B487" s="17" t="str">
        <x:v>东莞</x:v>
      </x:c>
      <x:c r="C487" s="24" t="n">
        <x:v>113.7452332</x:v>
      </x:c>
      <x:c r="D487" s="24" t="n">
        <x:v>23.0183568</x:v>
      </x:c>
      <x:c r="E487" s="17" t="str">
        <x:v>P11</x:v>
      </x:c>
      <x:c r="F487" s="17" t="str">
        <x:v>深圳市杰成镍钴新能源科技有限公司</x:v>
      </x:c>
      <x:c r="G487" s="17" t="str">
        <x:v>梯次利用</x:v>
      </x:c>
      <x:c r="H487" s="24" t="n">
        <x:v>114.0545429</x:v>
      </x:c>
      <x:c r="I487" s="24" t="n">
        <x:v>22.5445741</x:v>
      </x:c>
      <x:c r="J487" s="21" t="n">
        <x:f>6371*ACOS(MIN(1,COS(D487*PI()/180)*COS(I487*PI()/180)*COS((H487-C487)*PI()/180)+SIN(D487*PI()/180)*SIN(I487*PI()/180)))</x:f>
        <x:v>61.48958054626042</x:v>
      </x:c>
      <x:c r="K487" s="21" t="n">
        <x:f>'情景参数模板'!$D$31</x:f>
        <x:v>1.2</x:v>
      </x:c>
      <x:c r="L487" s="21" t="n">
        <x:f>J487*K487</x:f>
        <x:v>73.7874966555125</x:v>
      </x:c>
    </x:row>
    <x:row r="488">
      <x:c r="A488" s="17" t="str">
        <x:v>GD11</x:v>
      </x:c>
      <x:c r="B488" s="17" t="str">
        <x:v>东莞</x:v>
      </x:c>
      <x:c r="C488" s="24" t="n">
        <x:v>113.7452332</x:v>
      </x:c>
      <x:c r="D488" s="24" t="n">
        <x:v>23.0183568</x:v>
      </x:c>
      <x:c r="E488" s="17" t="str">
        <x:v>P12</x:v>
      </x:c>
      <x:c r="F488" s="17" t="str">
        <x:v>江门市恒创睿能环保科技有限公司</x:v>
      </x:c>
      <x:c r="G488" s="17" t="str">
        <x:v>再生利用</x:v>
      </x:c>
      <x:c r="H488" s="24" t="n">
        <x:v>113.0761073</x:v>
      </x:c>
      <x:c r="I488" s="24" t="n">
        <x:v>22.5816619</x:v>
      </x:c>
      <x:c r="J488" s="21" t="n">
        <x:f>6371*ACOS(MIN(1,COS(D488*PI()/180)*COS(I488*PI()/180)*COS((H488-C488)*PI()/180)+SIN(D488*PI()/180)*SIN(I488*PI()/180)))</x:f>
        <x:v>84.0381800487033</x:v>
      </x:c>
      <x:c r="K488" s="21" t="n">
        <x:f>'情景参数模板'!$D$31</x:f>
        <x:v>1.2</x:v>
      </x:c>
      <x:c r="L488" s="21" t="n">
        <x:f>J488*K488</x:f>
        <x:v>100.84581605844396</x:v>
      </x:c>
    </x:row>
    <x:row r="489">
      <x:c r="A489" s="17" t="str">
        <x:v>GD11</x:v>
      </x:c>
      <x:c r="B489" s="17" t="str">
        <x:v>东莞</x:v>
      </x:c>
      <x:c r="C489" s="24" t="n">
        <x:v>113.7452332</x:v>
      </x:c>
      <x:c r="D489" s="24" t="n">
        <x:v>23.0183568</x:v>
      </x:c>
      <x:c r="E489" s="17" t="str">
        <x:v>P13</x:v>
      </x:c>
      <x:c r="F489" s="17" t="str">
        <x:v>广东佳纳能源科技有限公司</x:v>
      </x:c>
      <x:c r="G489" s="17" t="str">
        <x:v>再生利用</x:v>
      </x:c>
      <x:c r="H489" s="24" t="n">
        <x:v>113.0505994</x:v>
      </x:c>
      <x:c r="I489" s="24" t="n">
        <x:v>23.6832984</x:v>
      </x:c>
      <x:c r="J489" s="21" t="n">
        <x:f>6371*ACOS(MIN(1,COS(D489*PI()/180)*COS(I489*PI()/180)*COS((H489-C489)*PI()/180)+SIN(D489*PI()/180)*SIN(I489*PI()/180)))</x:f>
        <x:v>102.44738181217072</x:v>
      </x:c>
      <x:c r="K489" s="21" t="n">
        <x:f>'情景参数模板'!$D$31</x:f>
        <x:v>1.2</x:v>
      </x:c>
      <x:c r="L489" s="21" t="n">
        <x:f>J489*K489</x:f>
        <x:v>122.93685817460485</x:v>
      </x:c>
    </x:row>
    <x:row r="490">
      <x:c r="A490" s="17" t="str">
        <x:v>GD11</x:v>
      </x:c>
      <x:c r="B490" s="17" t="str">
        <x:v>东莞</x:v>
      </x:c>
      <x:c r="C490" s="24" t="n">
        <x:v>113.7452332</x:v>
      </x:c>
      <x:c r="D490" s="24" t="n">
        <x:v>23.0183568</x:v>
      </x:c>
      <x:c r="E490" s="17" t="str">
        <x:v>P14</x:v>
      </x:c>
      <x:c r="F490" s="17" t="str">
        <x:v>格林美（深圳）循环科技有限公司</x:v>
      </x:c>
      <x:c r="G490" s="17" t="str">
        <x:v>梯次利用</x:v>
      </x:c>
      <x:c r="H490" s="24" t="n">
        <x:v>114.0545429</x:v>
      </x:c>
      <x:c r="I490" s="24" t="n">
        <x:v>22.5445741</x:v>
      </x:c>
      <x:c r="J490" s="21" t="n">
        <x:f>6371*ACOS(MIN(1,COS(D490*PI()/180)*COS(I490*PI()/180)*COS((H490-C490)*PI()/180)+SIN(D490*PI()/180)*SIN(I490*PI()/180)))</x:f>
        <x:v>61.48958054626042</x:v>
      </x:c>
      <x:c r="K490" s="21" t="n">
        <x:f>'情景参数模板'!$D$31</x:f>
        <x:v>1.2</x:v>
      </x:c>
      <x:c r="L490" s="21" t="n">
        <x:f>J490*K490</x:f>
        <x:v>73.7874966555125</x:v>
      </x:c>
    </x:row>
    <x:row r="491">
      <x:c r="A491" s="17" t="str">
        <x:v>GD11</x:v>
      </x:c>
      <x:c r="B491" s="17" t="str">
        <x:v>东莞</x:v>
      </x:c>
      <x:c r="C491" s="24" t="n">
        <x:v>113.7452332</x:v>
      </x:c>
      <x:c r="D491" s="24" t="n">
        <x:v>23.0183568</x:v>
      </x:c>
      <x:c r="E491" s="17" t="str">
        <x:v>P15</x:v>
      </x:c>
      <x:c r="F491" s="17" t="str">
        <x:v>绿循新能源科技（佛山）有限责任公司</x:v>
      </x:c>
      <x:c r="G491" s="17" t="str">
        <x:v>梯次利用</x:v>
      </x:c>
      <x:c r="H491" s="24" t="n">
        <x:v>113.1159558</x:v>
      </x:c>
      <x:c r="I491" s="24" t="n">
        <x:v>23.0239788</x:v>
      </x:c>
      <x:c r="J491" s="21" t="n">
        <x:f>6371*ACOS(MIN(1,COS(D491*PI()/180)*COS(I491*PI()/180)*COS((H491-C491)*PI()/180)+SIN(D491*PI()/180)*SIN(I491*PI()/180)))</x:f>
        <x:v>64.40286310353615</x:v>
      </x:c>
      <x:c r="K491" s="21" t="n">
        <x:f>'情景参数模板'!$D$31</x:f>
        <x:v>1.2</x:v>
      </x:c>
      <x:c r="L491" s="21" t="n">
        <x:f>J491*K491</x:f>
        <x:v>77.28343572424338</x:v>
      </x:c>
    </x:row>
    <x:row r="492">
      <x:c r="A492" s="17" t="str">
        <x:v>GD11</x:v>
      </x:c>
      <x:c r="B492" s="17" t="str">
        <x:v>东莞</x:v>
      </x:c>
      <x:c r="C492" s="24" t="n">
        <x:v>113.7452332</x:v>
      </x:c>
      <x:c r="D492" s="24" t="n">
        <x:v>23.0183568</x:v>
      </x:c>
      <x:c r="E492" s="17" t="str">
        <x:v>P16</x:v>
      </x:c>
      <x:c r="F492" s="17" t="str">
        <x:v>深圳艾云动智慧科技有限公司</x:v>
      </x:c>
      <x:c r="G492" s="17" t="str">
        <x:v>梯次利用</x:v>
      </x:c>
      <x:c r="H492" s="24" t="n">
        <x:v>114.0545429</x:v>
      </x:c>
      <x:c r="I492" s="24" t="n">
        <x:v>22.5445741</x:v>
      </x:c>
      <x:c r="J492" s="21" t="n">
        <x:f>6371*ACOS(MIN(1,COS(D492*PI()/180)*COS(I492*PI()/180)*COS((H492-C492)*PI()/180)+SIN(D492*PI()/180)*SIN(I492*PI()/180)))</x:f>
        <x:v>61.48958054626042</x:v>
      </x:c>
      <x:c r="K492" s="21" t="n">
        <x:f>'情景参数模板'!$D$31</x:f>
        <x:v>1.2</x:v>
      </x:c>
      <x:c r="L492" s="21" t="n">
        <x:f>J492*K492</x:f>
        <x:v>73.7874966555125</x:v>
      </x:c>
    </x:row>
    <x:row r="493">
      <x:c r="A493" s="17" t="str">
        <x:v>GD11</x:v>
      </x:c>
      <x:c r="B493" s="17" t="str">
        <x:v>东莞</x:v>
      </x:c>
      <x:c r="C493" s="24" t="n">
        <x:v>113.7452332</x:v>
      </x:c>
      <x:c r="D493" s="24" t="n">
        <x:v>23.0183568</x:v>
      </x:c>
      <x:c r="E493" s="17" t="str">
        <x:v>P17</x:v>
      </x:c>
      <x:c r="F493" s="17" t="str">
        <x:v>深圳市荣高晟新能源科技有限公司</x:v>
      </x:c>
      <x:c r="G493" s="17" t="str">
        <x:v>梯次利用</x:v>
      </x:c>
      <x:c r="H493" s="24" t="n">
        <x:v>114.0545429</x:v>
      </x:c>
      <x:c r="I493" s="24" t="n">
        <x:v>22.5445741</x:v>
      </x:c>
      <x:c r="J493" s="21" t="n">
        <x:f>6371*ACOS(MIN(1,COS(D493*PI()/180)*COS(I493*PI()/180)*COS((H493-C493)*PI()/180)+SIN(D493*PI()/180)*SIN(I493*PI()/180)))</x:f>
        <x:v>61.48958054626042</x:v>
      </x:c>
      <x:c r="K493" s="21" t="n">
        <x:f>'情景参数模板'!$D$31</x:f>
        <x:v>1.2</x:v>
      </x:c>
      <x:c r="L493" s="21" t="n">
        <x:f>J493*K493</x:f>
        <x:v>73.7874966555125</x:v>
      </x:c>
    </x:row>
    <x:row r="494">
      <x:c r="A494" s="17" t="str">
        <x:v>GD11</x:v>
      </x:c>
      <x:c r="B494" s="17" t="str">
        <x:v>东莞</x:v>
      </x:c>
      <x:c r="C494" s="24" t="n">
        <x:v>113.7452332</x:v>
      </x:c>
      <x:c r="D494" s="24" t="n">
        <x:v>23.0183568</x:v>
      </x:c>
      <x:c r="E494" s="17" t="str">
        <x:v>P18</x:v>
      </x:c>
      <x:c r="F494" s="17" t="str">
        <x:v>中商锂新能源科技（惠州）有限公司</x:v>
      </x:c>
      <x:c r="G494" s="17" t="str">
        <x:v>梯次利用</x:v>
      </x:c>
      <x:c r="H494" s="24" t="n">
        <x:v>114.4127007</x:v>
      </x:c>
      <x:c r="I494" s="24" t="n">
        <x:v>23.1125153</x:v>
      </x:c>
      <x:c r="J494" s="21" t="n">
        <x:f>6371*ACOS(MIN(1,COS(D494*PI()/180)*COS(I494*PI()/180)*COS((H494-C494)*PI()/180)+SIN(D494*PI()/180)*SIN(I494*PI()/180)))</x:f>
        <x:v>69.08370671447607</x:v>
      </x:c>
      <x:c r="K494" s="21" t="n">
        <x:f>'情景参数模板'!$D$31</x:f>
        <x:v>1.2</x:v>
      </x:c>
      <x:c r="L494" s="21" t="n">
        <x:f>J494*K494</x:f>
        <x:v>82.90044805737128</x:v>
      </x:c>
    </x:row>
    <x:row r="495">
      <x:c r="A495" s="17" t="str">
        <x:v>GD11</x:v>
      </x:c>
      <x:c r="B495" s="17" t="str">
        <x:v>东莞</x:v>
      </x:c>
      <x:c r="C495" s="24" t="n">
        <x:v>113.7452332</x:v>
      </x:c>
      <x:c r="D495" s="24" t="n">
        <x:v>23.0183568</x:v>
      </x:c>
      <x:c r="E495" s="17" t="str">
        <x:v>P19</x:v>
      </x:c>
      <x:c r="F495" s="17" t="str">
        <x:v>广东盛祥新材料科技有限公司</x:v>
      </x:c>
      <x:c r="G495" s="17" t="str">
        <x:v>再生利用</x:v>
      </x:c>
      <x:c r="H495" s="24" t="n">
        <x:v>113.8155263</x:v>
      </x:c>
      <x:c r="I495" s="24" t="n">
        <x:v>24.8309489</x:v>
      </x:c>
      <x:c r="J495" s="21" t="n">
        <x:f>6371*ACOS(MIN(1,COS(D495*PI()/180)*COS(I495*PI()/180)*COS((H495-C495)*PI()/180)+SIN(D495*PI()/180)*SIN(I495*PI()/180)))</x:f>
        <x:v>201.67762245027922</x:v>
      </x:c>
      <x:c r="K495" s="21" t="n">
        <x:f>'情景参数模板'!$D$31</x:f>
        <x:v>1.2</x:v>
      </x:c>
      <x:c r="L495" s="21" t="n">
        <x:f>J495*K495</x:f>
        <x:v>242.01314694033505</x:v>
      </x:c>
    </x:row>
    <x:row r="496">
      <x:c r="A496" s="17" t="str">
        <x:v>GD11</x:v>
      </x:c>
      <x:c r="B496" s="17" t="str">
        <x:v>东莞</x:v>
      </x:c>
      <x:c r="C496" s="24" t="n">
        <x:v>113.7452332</x:v>
      </x:c>
      <x:c r="D496" s="24" t="n">
        <x:v>23.0183568</x:v>
      </x:c>
      <x:c r="E496" s="17" t="str">
        <x:v>P20E</x:v>
      </x:c>
      <x:c r="F496" s="17" t="str">
        <x:v>广东金晟新能源股份有限公司（梯次功能）</x:v>
      </x:c>
      <x:c r="G496" s="17" t="str">
        <x:v>梯次利用</x:v>
      </x:c>
      <x:c r="H496" s="24" t="n">
        <x:v>112.4603629</x:v>
      </x:c>
      <x:c r="I496" s="24" t="n">
        <x:v>23.0501661</x:v>
      </x:c>
      <x:c r="J496" s="21" t="n">
        <x:f>6371*ACOS(MIN(1,COS(D496*PI()/180)*COS(I496*PI()/180)*COS((H496-C496)*PI()/180)+SIN(D496*PI()/180)*SIN(I496*PI()/180)))</x:f>
        <x:v>131.52724118580286</x:v>
      </x:c>
      <x:c r="K496" s="21" t="n">
        <x:f>'情景参数模板'!$D$31</x:f>
        <x:v>1.2</x:v>
      </x:c>
      <x:c r="L496" s="21" t="n">
        <x:f>J496*K496</x:f>
        <x:v>157.83268942296343</x:v>
      </x:c>
    </x:row>
    <x:row r="497">
      <x:c r="A497" s="17" t="str">
        <x:v>GD11</x:v>
      </x:c>
      <x:c r="B497" s="17" t="str">
        <x:v>东莞</x:v>
      </x:c>
      <x:c r="C497" s="24" t="n">
        <x:v>113.7452332</x:v>
      </x:c>
      <x:c r="D497" s="24" t="n">
        <x:v>23.0183568</x:v>
      </x:c>
      <x:c r="E497" s="17" t="str">
        <x:v>P20R</x:v>
      </x:c>
      <x:c r="F497" s="17" t="str">
        <x:v>广东金晟新能源股份有限公司（再生功能）</x:v>
      </x:c>
      <x:c r="G497" s="17" t="str">
        <x:v>再生利用</x:v>
      </x:c>
      <x:c r="H497" s="24" t="n">
        <x:v>112.4603629</x:v>
      </x:c>
      <x:c r="I497" s="24" t="n">
        <x:v>23.0501661</x:v>
      </x:c>
      <x:c r="J497" s="21" t="n">
        <x:f>6371*ACOS(MIN(1,COS(D497*PI()/180)*COS(I497*PI()/180)*COS((H497-C497)*PI()/180)+SIN(D497*PI()/180)*SIN(I497*PI()/180)))</x:f>
        <x:v>131.52724118580286</x:v>
      </x:c>
      <x:c r="K497" s="21" t="n">
        <x:f>'情景参数模板'!$D$31</x:f>
        <x:v>1.2</x:v>
      </x:c>
      <x:c r="L497" s="21" t="n">
        <x:f>J497*K497</x:f>
        <x:v>157.83268942296343</x:v>
      </x:c>
    </x:row>
    <x:row r="498">
      <x:c r="A498" s="17" t="str">
        <x:v>GD11</x:v>
      </x:c>
      <x:c r="B498" s="17" t="str">
        <x:v>东莞</x:v>
      </x:c>
      <x:c r="C498" s="24" t="n">
        <x:v>113.7452332</x:v>
      </x:c>
      <x:c r="D498" s="24" t="n">
        <x:v>23.0183568</x:v>
      </x:c>
      <x:c r="E498" s="17" t="str">
        <x:v>P21E</x:v>
      </x:c>
      <x:c r="F498" s="17" t="str">
        <x:v>广东瑞科美电源技术有限公司（梯次功能）</x:v>
      </x:c>
      <x:c r="G498" s="17" t="str">
        <x:v>梯次利用</x:v>
      </x:c>
      <x:c r="H498" s="24" t="n">
        <x:v>113.1159558</x:v>
      </x:c>
      <x:c r="I498" s="24" t="n">
        <x:v>23.0239788</x:v>
      </x:c>
      <x:c r="J498" s="21" t="n">
        <x:f>6371*ACOS(MIN(1,COS(D498*PI()/180)*COS(I498*PI()/180)*COS((H498-C498)*PI()/180)+SIN(D498*PI()/180)*SIN(I498*PI()/180)))</x:f>
        <x:v>64.40286310353615</x:v>
      </x:c>
      <x:c r="K498" s="21" t="n">
        <x:f>'情景参数模板'!$D$31</x:f>
        <x:v>1.2</x:v>
      </x:c>
      <x:c r="L498" s="21" t="n">
        <x:f>J498*K498</x:f>
        <x:v>77.28343572424338</x:v>
      </x:c>
    </x:row>
    <x:row r="499">
      <x:c r="A499" s="17" t="str">
        <x:v>GD11</x:v>
      </x:c>
      <x:c r="B499" s="17" t="str">
        <x:v>东莞</x:v>
      </x:c>
      <x:c r="C499" s="24" t="n">
        <x:v>113.7452332</x:v>
      </x:c>
      <x:c r="D499" s="24" t="n">
        <x:v>23.0183568</x:v>
      </x:c>
      <x:c r="E499" s="17" t="str">
        <x:v>P21R</x:v>
      </x:c>
      <x:c r="F499" s="17" t="str">
        <x:v>广东瑞科美电源技术有限公司（再生功能）</x:v>
      </x:c>
      <x:c r="G499" s="17" t="str">
        <x:v>再生利用</x:v>
      </x:c>
      <x:c r="H499" s="24" t="n">
        <x:v>113.1159558</x:v>
      </x:c>
      <x:c r="I499" s="24" t="n">
        <x:v>23.0239788</x:v>
      </x:c>
      <x:c r="J499" s="21" t="n">
        <x:f>6371*ACOS(MIN(1,COS(D499*PI()/180)*COS(I499*PI()/180)*COS((H499-C499)*PI()/180)+SIN(D499*PI()/180)*SIN(I499*PI()/180)))</x:f>
        <x:v>64.40286310353615</x:v>
      </x:c>
      <x:c r="K499" s="21" t="n">
        <x:f>'情景参数模板'!$D$31</x:f>
        <x:v>1.2</x:v>
      </x:c>
      <x:c r="L499" s="21" t="n">
        <x:f>J499*K499</x:f>
        <x:v>77.28343572424338</x:v>
      </x:c>
    </x:row>
    <x:row r="500">
      <x:c r="A500" s="17" t="str">
        <x:v>GD12</x:v>
      </x:c>
      <x:c r="B500" s="17" t="str">
        <x:v>中山</x:v>
      </x:c>
      <x:c r="C500" s="24" t="n">
        <x:v>113.3872302</x:v>
      </x:c>
      <x:c r="D500" s="24" t="n">
        <x:v>22.5197073</x:v>
      </x:c>
      <x:c r="E500" s="17" t="str">
        <x:v>C01</x:v>
      </x:c>
      <x:c r="F500" s="17" t="str">
        <x:v>广州虚拟回收/检测中心</x:v>
      </x:c>
      <x:c r="G500" s="17" t="str">
        <x:v>回收中心候选</x:v>
      </x:c>
      <x:c r="H500" s="24" t="n">
        <x:v>113.2589581</x:v>
      </x:c>
      <x:c r="I500" s="24" t="n">
        <x:v>23.1288429</x:v>
      </x:c>
      <x:c r="J500" s="21" t="n">
        <x:f>6371*ACOS(MIN(1,COS(D500*PI()/180)*COS(I500*PI()/180)*COS((H500-C500)*PI()/180)+SIN(D500*PI()/180)*SIN(I500*PI()/180)))</x:f>
        <x:v>68.99677868461173</x:v>
      </x:c>
      <x:c r="K500" s="21" t="n">
        <x:f>'情景参数模板'!$D$31</x:f>
        <x:v>1.2</x:v>
      </x:c>
      <x:c r="L500" s="21" t="n">
        <x:f>J500*K500</x:f>
        <x:v>82.79613442153406</x:v>
      </x:c>
    </x:row>
    <x:row r="501">
      <x:c r="A501" s="17" t="str">
        <x:v>GD12</x:v>
      </x:c>
      <x:c r="B501" s="17" t="str">
        <x:v>中山</x:v>
      </x:c>
      <x:c r="C501" s="24" t="n">
        <x:v>113.3872302</x:v>
      </x:c>
      <x:c r="D501" s="24" t="n">
        <x:v>22.5197073</x:v>
      </x:c>
      <x:c r="E501" s="17" t="str">
        <x:v>C02</x:v>
      </x:c>
      <x:c r="F501" s="17" t="str">
        <x:v>深圳虚拟回收/检测中心</x:v>
      </x:c>
      <x:c r="G501" s="17" t="str">
        <x:v>回收中心候选</x:v>
      </x:c>
      <x:c r="H501" s="24" t="n">
        <x:v>114.0545429</x:v>
      </x:c>
      <x:c r="I501" s="24" t="n">
        <x:v>22.5445741</x:v>
      </x:c>
      <x:c r="J501" s="21" t="n">
        <x:f>6371*ACOS(MIN(1,COS(D501*PI()/180)*COS(I501*PI()/180)*COS((H501-C501)*PI()/180)+SIN(D501*PI()/180)*SIN(I501*PI()/180)))</x:f>
        <x:v>68.59326845307118</x:v>
      </x:c>
      <x:c r="K501" s="21" t="n">
        <x:f>'情景参数模板'!$D$31</x:f>
        <x:v>1.2</x:v>
      </x:c>
      <x:c r="L501" s="21" t="n">
        <x:f>J501*K501</x:f>
        <x:v>82.31192214368541</x:v>
      </x:c>
    </x:row>
    <x:row r="502">
      <x:c r="A502" s="17" t="str">
        <x:v>GD12</x:v>
      </x:c>
      <x:c r="B502" s="17" t="str">
        <x:v>中山</x:v>
      </x:c>
      <x:c r="C502" s="24" t="n">
        <x:v>113.3872302</x:v>
      </x:c>
      <x:c r="D502" s="24" t="n">
        <x:v>22.5197073</x:v>
      </x:c>
      <x:c r="E502" s="17" t="str">
        <x:v>C03</x:v>
      </x:c>
      <x:c r="F502" s="17" t="str">
        <x:v>珠海虚拟回收/检测中心</x:v>
      </x:c>
      <x:c r="G502" s="17" t="str">
        <x:v>回收中心候选</x:v>
      </x:c>
      <x:c r="H502" s="24" t="n">
        <x:v>113.5721327</x:v>
      </x:c>
      <x:c r="I502" s="24" t="n">
        <x:v>22.273734</x:v>
      </x:c>
      <x:c r="J502" s="21" t="n">
        <x:f>6371*ACOS(MIN(1,COS(D502*PI()/180)*COS(I502*PI()/180)*COS((H502-C502)*PI()/180)+SIN(D502*PI()/180)*SIN(I502*PI()/180)))</x:f>
        <x:v>33.308100641100665</x:v>
      </x:c>
      <x:c r="K502" s="21" t="n">
        <x:f>'情景参数模板'!$D$31</x:f>
        <x:v>1.2</x:v>
      </x:c>
      <x:c r="L502" s="21" t="n">
        <x:f>J502*K502</x:f>
        <x:v>39.969720769320794</x:v>
      </x:c>
    </x:row>
    <x:row r="503">
      <x:c r="A503" s="17" t="str">
        <x:v>GD12</x:v>
      </x:c>
      <x:c r="B503" s="17" t="str">
        <x:v>中山</x:v>
      </x:c>
      <x:c r="C503" s="24" t="n">
        <x:v>113.3872302</x:v>
      </x:c>
      <x:c r="D503" s="24" t="n">
        <x:v>22.5197073</x:v>
      </x:c>
      <x:c r="E503" s="17" t="str">
        <x:v>C04</x:v>
      </x:c>
      <x:c r="F503" s="17" t="str">
        <x:v>汕头虚拟回收/检测中心</x:v>
      </x:c>
      <x:c r="G503" s="17" t="str">
        <x:v>回收中心候选</x:v>
      </x:c>
      <x:c r="H503" s="24" t="n">
        <x:v>116.6775856</x:v>
      </x:c>
      <x:c r="I503" s="24" t="n">
        <x:v>23.3563921</x:v>
      </x:c>
      <x:c r="J503" s="21" t="n">
        <x:f>6371*ACOS(MIN(1,COS(D503*PI()/180)*COS(I503*PI()/180)*COS((H503-C503)*PI()/180)+SIN(D503*PI()/180)*SIN(I503*PI()/180)))</x:f>
        <x:v>349.537434266799</x:v>
      </x:c>
      <x:c r="K503" s="21" t="n">
        <x:f>'情景参数模板'!$D$31</x:f>
        <x:v>1.2</x:v>
      </x:c>
      <x:c r="L503" s="21" t="n">
        <x:f>J503*K503</x:f>
        <x:v>419.44492112015877</x:v>
      </x:c>
    </x:row>
    <x:row r="504">
      <x:c r="A504" s="17" t="str">
        <x:v>GD12</x:v>
      </x:c>
      <x:c r="B504" s="17" t="str">
        <x:v>中山</x:v>
      </x:c>
      <x:c r="C504" s="24" t="n">
        <x:v>113.3872302</x:v>
      </x:c>
      <x:c r="D504" s="24" t="n">
        <x:v>22.5197073</x:v>
      </x:c>
      <x:c r="E504" s="17" t="str">
        <x:v>C05</x:v>
      </x:c>
      <x:c r="F504" s="17" t="str">
        <x:v>佛山虚拟回收/检测中心</x:v>
      </x:c>
      <x:c r="G504" s="17" t="str">
        <x:v>回收中心候选</x:v>
      </x:c>
      <x:c r="H504" s="24" t="n">
        <x:v>113.1159558</x:v>
      </x:c>
      <x:c r="I504" s="24" t="n">
        <x:v>23.0239788</x:v>
      </x:c>
      <x:c r="J504" s="21" t="n">
        <x:f>6371*ACOS(MIN(1,COS(D504*PI()/180)*COS(I504*PI()/180)*COS((H504-C504)*PI()/180)+SIN(D504*PI()/180)*SIN(I504*PI()/180)))</x:f>
        <x:v>62.59137427718621</x:v>
      </x:c>
      <x:c r="K504" s="21" t="n">
        <x:f>'情景参数模板'!$D$31</x:f>
        <x:v>1.2</x:v>
      </x:c>
      <x:c r="L504" s="21" t="n">
        <x:f>J504*K504</x:f>
        <x:v>75.10964913262345</x:v>
      </x:c>
    </x:row>
    <x:row r="505">
      <x:c r="A505" s="17" t="str">
        <x:v>GD12</x:v>
      </x:c>
      <x:c r="B505" s="17" t="str">
        <x:v>中山</x:v>
      </x:c>
      <x:c r="C505" s="24" t="n">
        <x:v>113.3872302</x:v>
      </x:c>
      <x:c r="D505" s="24" t="n">
        <x:v>22.5197073</x:v>
      </x:c>
      <x:c r="E505" s="17" t="str">
        <x:v>C06</x:v>
      </x:c>
      <x:c r="F505" s="17" t="str">
        <x:v>韶关虚拟回收/检测中心</x:v>
      </x:c>
      <x:c r="G505" s="17" t="str">
        <x:v>回收中心候选</x:v>
      </x:c>
      <x:c r="H505" s="24" t="n">
        <x:v>113.8155263</x:v>
      </x:c>
      <x:c r="I505" s="24" t="n">
        <x:v>24.8309489</x:v>
      </x:c>
      <x:c r="J505" s="21" t="n">
        <x:f>6371*ACOS(MIN(1,COS(D505*PI()/180)*COS(I505*PI()/180)*COS((H505-C505)*PI()/180)+SIN(D505*PI()/180)*SIN(I505*PI()/180)))</x:f>
        <x:v>260.67240148858207</x:v>
      </x:c>
      <x:c r="K505" s="21" t="n">
        <x:f>'情景参数模板'!$D$31</x:f>
        <x:v>1.2</x:v>
      </x:c>
      <x:c r="L505" s="21" t="n">
        <x:f>J505*K505</x:f>
        <x:v>312.80688178629845</x:v>
      </x:c>
    </x:row>
    <x:row r="506">
      <x:c r="A506" s="17" t="str">
        <x:v>GD12</x:v>
      </x:c>
      <x:c r="B506" s="17" t="str">
        <x:v>中山</x:v>
      </x:c>
      <x:c r="C506" s="24" t="n">
        <x:v>113.3872302</x:v>
      </x:c>
      <x:c r="D506" s="24" t="n">
        <x:v>22.5197073</x:v>
      </x:c>
      <x:c r="E506" s="17" t="str">
        <x:v>C07</x:v>
      </x:c>
      <x:c r="F506" s="17" t="str">
        <x:v>河源虚拟回收/检测中心</x:v>
      </x:c>
      <x:c r="G506" s="17" t="str">
        <x:v>回收中心候选</x:v>
      </x:c>
      <x:c r="H506" s="24" t="n">
        <x:v>115.0577538</x:v>
      </x:c>
      <x:c r="I506" s="24" t="n">
        <x:v>24.1014769</x:v>
      </x:c>
      <x:c r="J506" s="21" t="n">
        <x:f>6371*ACOS(MIN(1,COS(D506*PI()/180)*COS(I506*PI()/180)*COS((H506-C506)*PI()/180)+SIN(D506*PI()/180)*SIN(I506*PI()/180)))</x:f>
        <x:v>245.0176086055503</x:v>
      </x:c>
      <x:c r="K506" s="21" t="n">
        <x:f>'情景参数模板'!$D$31</x:f>
        <x:v>1.2</x:v>
      </x:c>
      <x:c r="L506" s="21" t="n">
        <x:f>J506*K506</x:f>
        <x:v>294.02113032666034</x:v>
      </x:c>
    </x:row>
    <x:row r="507">
      <x:c r="A507" s="17" t="str">
        <x:v>GD12</x:v>
      </x:c>
      <x:c r="B507" s="17" t="str">
        <x:v>中山</x:v>
      </x:c>
      <x:c r="C507" s="24" t="n">
        <x:v>113.3872302</x:v>
      </x:c>
      <x:c r="D507" s="24" t="n">
        <x:v>22.5197073</x:v>
      </x:c>
      <x:c r="E507" s="17" t="str">
        <x:v>C08</x:v>
      </x:c>
      <x:c r="F507" s="17" t="str">
        <x:v>梅州虚拟回收/检测中心</x:v>
      </x:c>
      <x:c r="G507" s="17" t="str">
        <x:v>回收中心候选</x:v>
      </x:c>
      <x:c r="H507" s="24" t="n">
        <x:v>116.1171428</x:v>
      </x:c>
      <x:c r="I507" s="24" t="n">
        <x:v>24.2918414</x:v>
      </x:c>
      <x:c r="J507" s="21" t="n">
        <x:f>6371*ACOS(MIN(1,COS(D507*PI()/180)*COS(I507*PI()/180)*COS((H507-C507)*PI()/180)+SIN(D507*PI()/180)*SIN(I507*PI()/180)))</x:f>
        <x:v>341.20578199622616</x:v>
      </x:c>
      <x:c r="K507" s="21" t="n">
        <x:f>'情景参数模板'!$D$31</x:f>
        <x:v>1.2</x:v>
      </x:c>
      <x:c r="L507" s="21" t="n">
        <x:f>J507*K507</x:f>
        <x:v>409.44693839547136</x:v>
      </x:c>
    </x:row>
    <x:row r="508">
      <x:c r="A508" s="17" t="str">
        <x:v>GD12</x:v>
      </x:c>
      <x:c r="B508" s="17" t="str">
        <x:v>中山</x:v>
      </x:c>
      <x:c r="C508" s="24" t="n">
        <x:v>113.3872302</x:v>
      </x:c>
      <x:c r="D508" s="24" t="n">
        <x:v>22.5197073</x:v>
      </x:c>
      <x:c r="E508" s="17" t="str">
        <x:v>C09</x:v>
      </x:c>
      <x:c r="F508" s="17" t="str">
        <x:v>惠州虚拟回收/检测中心</x:v>
      </x:c>
      <x:c r="G508" s="17" t="str">
        <x:v>回收中心候选</x:v>
      </x:c>
      <x:c r="H508" s="24" t="n">
        <x:v>114.4127007</x:v>
      </x:c>
      <x:c r="I508" s="24" t="n">
        <x:v>23.1125153</x:v>
      </x:c>
      <x:c r="J508" s="21" t="n">
        <x:f>6371*ACOS(MIN(1,COS(D508*PI()/180)*COS(I508*PI()/180)*COS((H508-C508)*PI()/180)+SIN(D508*PI()/180)*SIN(I508*PI()/180)))</x:f>
        <x:v>124.06426518231</x:v>
      </x:c>
      <x:c r="K508" s="21" t="n">
        <x:f>'情景参数模板'!$D$31</x:f>
        <x:v>1.2</x:v>
      </x:c>
      <x:c r="L508" s="21" t="n">
        <x:f>J508*K508</x:f>
        <x:v>148.87711821877198</x:v>
      </x:c>
    </x:row>
    <x:row r="509">
      <x:c r="A509" s="17" t="str">
        <x:v>GD12</x:v>
      </x:c>
      <x:c r="B509" s="17" t="str">
        <x:v>中山</x:v>
      </x:c>
      <x:c r="C509" s="24" t="n">
        <x:v>113.3872302</x:v>
      </x:c>
      <x:c r="D509" s="24" t="n">
        <x:v>22.5197073</x:v>
      </x:c>
      <x:c r="E509" s="17" t="str">
        <x:v>C10</x:v>
      </x:c>
      <x:c r="F509" s="17" t="str">
        <x:v>汕尾虚拟回收/检测中心</x:v>
      </x:c>
      <x:c r="G509" s="17" t="str">
        <x:v>回收中心候选</x:v>
      </x:c>
      <x:c r="H509" s="24" t="n">
        <x:v>115.5099937</x:v>
      </x:c>
      <x:c r="I509" s="24" t="n">
        <x:v>23.0123639</x:v>
      </x:c>
      <x:c r="J509" s="21" t="n">
        <x:f>6371*ACOS(MIN(1,COS(D509*PI()/180)*COS(I509*PI()/180)*COS((H509-C509)*PI()/180)+SIN(D509*PI()/180)*SIN(I509*PI()/180)))</x:f>
        <x:v>224.4365359002932</x:v>
      </x:c>
      <x:c r="K509" s="21" t="n">
        <x:f>'情景参数模板'!$D$31</x:f>
        <x:v>1.2</x:v>
      </x:c>
      <x:c r="L509" s="21" t="n">
        <x:f>J509*K509</x:f>
        <x:v>269.3238430803518</x:v>
      </x:c>
    </x:row>
    <x:row r="510">
      <x:c r="A510" s="17" t="str">
        <x:v>GD12</x:v>
      </x:c>
      <x:c r="B510" s="17" t="str">
        <x:v>中山</x:v>
      </x:c>
      <x:c r="C510" s="24" t="n">
        <x:v>113.3872302</x:v>
      </x:c>
      <x:c r="D510" s="24" t="n">
        <x:v>22.5197073</x:v>
      </x:c>
      <x:c r="E510" s="17" t="str">
        <x:v>C11</x:v>
      </x:c>
      <x:c r="F510" s="17" t="str">
        <x:v>东莞虚拟回收/检测中心</x:v>
      </x:c>
      <x:c r="G510" s="17" t="str">
        <x:v>回收中心候选</x:v>
      </x:c>
      <x:c r="H510" s="24" t="n">
        <x:v>113.7452332</x:v>
      </x:c>
      <x:c r="I510" s="24" t="n">
        <x:v>23.0183568</x:v>
      </x:c>
      <x:c r="J510" s="21" t="n">
        <x:f>6371*ACOS(MIN(1,COS(D510*PI()/180)*COS(I510*PI()/180)*COS((H510-C510)*PI()/180)+SIN(D510*PI()/180)*SIN(I510*PI()/180)))</x:f>
        <x:v>66.49599216706548</x:v>
      </x:c>
      <x:c r="K510" s="21" t="n">
        <x:f>'情景参数模板'!$D$31</x:f>
        <x:v>1.2</x:v>
      </x:c>
      <x:c r="L510" s="21" t="n">
        <x:f>J510*K510</x:f>
        <x:v>79.79519060047858</x:v>
      </x:c>
    </x:row>
    <x:row r="511">
      <x:c r="A511" s="17" t="str">
        <x:v>GD12</x:v>
      </x:c>
      <x:c r="B511" s="17" t="str">
        <x:v>中山</x:v>
      </x:c>
      <x:c r="C511" s="24" t="n">
        <x:v>113.3872302</x:v>
      </x:c>
      <x:c r="D511" s="24" t="n">
        <x:v>22.5197073</x:v>
      </x:c>
      <x:c r="E511" s="17" t="str">
        <x:v>C12</x:v>
      </x:c>
      <x:c r="F511" s="17" t="str">
        <x:v>中山虚拟回收/检测中心</x:v>
      </x:c>
      <x:c r="G511" s="17" t="str">
        <x:v>回收中心候选</x:v>
      </x:c>
      <x:c r="H511" s="24" t="n">
        <x:v>113.3872302</x:v>
      </x:c>
      <x:c r="I511" s="24" t="n">
        <x:v>22.5197073</x:v>
      </x:c>
      <x:c r="J511" s="21" t="n">
        <x:f>6371*ACOS(MIN(1,COS(D511*PI()/180)*COS(I511*PI()/180)*COS((H511-C511)*PI()/180)+SIN(D511*PI()/180)*SIN(I511*PI()/180)))</x:f>
        <x:v>0</x:v>
      </x:c>
      <x:c r="K511" s="21" t="n">
        <x:f>'情景参数模板'!$D$31</x:f>
        <x:v>1.2</x:v>
      </x:c>
      <x:c r="L511" s="21" t="n">
        <x:f>J511*K511</x:f>
        <x:v>0</x:v>
      </x:c>
    </x:row>
    <x:row r="512">
      <x:c r="A512" s="17" t="str">
        <x:v>GD12</x:v>
      </x:c>
      <x:c r="B512" s="17" t="str">
        <x:v>中山</x:v>
      </x:c>
      <x:c r="C512" s="24" t="n">
        <x:v>113.3872302</x:v>
      </x:c>
      <x:c r="D512" s="24" t="n">
        <x:v>22.5197073</x:v>
      </x:c>
      <x:c r="E512" s="17" t="str">
        <x:v>C13</x:v>
      </x:c>
      <x:c r="F512" s="17" t="str">
        <x:v>江门虚拟回收/检测中心</x:v>
      </x:c>
      <x:c r="G512" s="17" t="str">
        <x:v>回收中心候选</x:v>
      </x:c>
      <x:c r="H512" s="24" t="n">
        <x:v>113.0761073</x:v>
      </x:c>
      <x:c r="I512" s="24" t="n">
        <x:v>22.5816619</x:v>
      </x:c>
      <x:c r="J512" s="21" t="n">
        <x:f>6371*ACOS(MIN(1,COS(D512*PI()/180)*COS(I512*PI()/180)*COS((H512-C512)*PI()/180)+SIN(D512*PI()/180)*SIN(I512*PI()/180)))</x:f>
        <x:v>32.6844105535489</x:v>
      </x:c>
      <x:c r="K512" s="21" t="n">
        <x:f>'情景参数模板'!$D$31</x:f>
        <x:v>1.2</x:v>
      </x:c>
      <x:c r="L512" s="21" t="n">
        <x:f>J512*K512</x:f>
        <x:v>39.22129266425868</x:v>
      </x:c>
    </x:row>
    <x:row r="513">
      <x:c r="A513" s="17" t="str">
        <x:v>GD12</x:v>
      </x:c>
      <x:c r="B513" s="17" t="str">
        <x:v>中山</x:v>
      </x:c>
      <x:c r="C513" s="24" t="n">
        <x:v>113.3872302</x:v>
      </x:c>
      <x:c r="D513" s="24" t="n">
        <x:v>22.5197073</x:v>
      </x:c>
      <x:c r="E513" s="17" t="str">
        <x:v>C14</x:v>
      </x:c>
      <x:c r="F513" s="17" t="str">
        <x:v>阳江虚拟回收/检测中心</x:v>
      </x:c>
      <x:c r="G513" s="17" t="str">
        <x:v>回收中心候选</x:v>
      </x:c>
      <x:c r="H513" s="24" t="n">
        <x:v>111.7831393</x:v>
      </x:c>
      <x:c r="I513" s="24" t="n">
        <x:v>22.0958223</x:v>
      </x:c>
      <x:c r="J513" s="21" t="n">
        <x:f>6371*ACOS(MIN(1,COS(D513*PI()/180)*COS(I513*PI()/180)*COS((H513-C513)*PI()/180)+SIN(D513*PI()/180)*SIN(I513*PI()/180)))</x:f>
        <x:v>171.61565011193275</x:v>
      </x:c>
      <x:c r="K513" s="21" t="n">
        <x:f>'情景参数模板'!$D$31</x:f>
        <x:v>1.2</x:v>
      </x:c>
      <x:c r="L513" s="21" t="n">
        <x:f>J513*K513</x:f>
        <x:v>205.9387801343193</x:v>
      </x:c>
    </x:row>
    <x:row r="514">
      <x:c r="A514" s="17" t="str">
        <x:v>GD12</x:v>
      </x:c>
      <x:c r="B514" s="17" t="str">
        <x:v>中山</x:v>
      </x:c>
      <x:c r="C514" s="24" t="n">
        <x:v>113.3872302</x:v>
      </x:c>
      <x:c r="D514" s="24" t="n">
        <x:v>22.5197073</x:v>
      </x:c>
      <x:c r="E514" s="17" t="str">
        <x:v>C15</x:v>
      </x:c>
      <x:c r="F514" s="17" t="str">
        <x:v>湛江虚拟回收/检测中心</x:v>
      </x:c>
      <x:c r="G514" s="17" t="str">
        <x:v>回收中心候选</x:v>
      </x:c>
      <x:c r="H514" s="24" t="n">
        <x:v>110.3548318</x:v>
      </x:c>
      <x:c r="I514" s="24" t="n">
        <x:v>21.2737079</x:v>
      </x:c>
      <x:c r="J514" s="21" t="n">
        <x:f>6371*ACOS(MIN(1,COS(D514*PI()/180)*COS(I514*PI()/180)*COS((H514-C514)*PI()/180)+SIN(D514*PI()/180)*SIN(I514*PI()/180)))</x:f>
        <x:v>342.1540599613105</x:v>
      </x:c>
      <x:c r="K514" s="21" t="n">
        <x:f>'情景参数模板'!$D$31</x:f>
        <x:v>1.2</x:v>
      </x:c>
      <x:c r="L514" s="21" t="n">
        <x:f>J514*K514</x:f>
        <x:v>410.5848719535726</x:v>
      </x:c>
    </x:row>
    <x:row r="515">
      <x:c r="A515" s="17" t="str">
        <x:v>GD12</x:v>
      </x:c>
      <x:c r="B515" s="17" t="str">
        <x:v>中山</x:v>
      </x:c>
      <x:c r="C515" s="24" t="n">
        <x:v>113.3872302</x:v>
      </x:c>
      <x:c r="D515" s="24" t="n">
        <x:v>22.5197073</x:v>
      </x:c>
      <x:c r="E515" s="17" t="str">
        <x:v>C16</x:v>
      </x:c>
      <x:c r="F515" s="17" t="str">
        <x:v>茂名虚拟回收/检测中心</x:v>
      </x:c>
      <x:c r="G515" s="17" t="str">
        <x:v>回收中心候选</x:v>
      </x:c>
      <x:c r="H515" s="24" t="n">
        <x:v>110.9209511</x:v>
      </x:c>
      <x:c r="I515" s="24" t="n">
        <x:v>21.6656961</x:v>
      </x:c>
      <x:c r="J515" s="21" t="n">
        <x:f>6371*ACOS(MIN(1,COS(D515*PI()/180)*COS(I515*PI()/180)*COS((H515-C515)*PI()/180)+SIN(D515*PI()/180)*SIN(I515*PI()/180)))</x:f>
        <x:v>271.26090740261486</x:v>
      </x:c>
      <x:c r="K515" s="21" t="n">
        <x:f>'情景参数模板'!$D$31</x:f>
        <x:v>1.2</x:v>
      </x:c>
      <x:c r="L515" s="21" t="n">
        <x:f>J515*K515</x:f>
        <x:v>325.5130888831378</x:v>
      </x:c>
    </x:row>
    <x:row r="516">
      <x:c r="A516" s="17" t="str">
        <x:v>GD12</x:v>
      </x:c>
      <x:c r="B516" s="17" t="str">
        <x:v>中山</x:v>
      </x:c>
      <x:c r="C516" s="24" t="n">
        <x:v>113.3872302</x:v>
      </x:c>
      <x:c r="D516" s="24" t="n">
        <x:v>22.5197073</x:v>
      </x:c>
      <x:c r="E516" s="17" t="str">
        <x:v>C17</x:v>
      </x:c>
      <x:c r="F516" s="17" t="str">
        <x:v>肇庆虚拟回收/检测中心</x:v>
      </x:c>
      <x:c r="G516" s="17" t="str">
        <x:v>回收中心候选</x:v>
      </x:c>
      <x:c r="H516" s="24" t="n">
        <x:v>112.4603629</x:v>
      </x:c>
      <x:c r="I516" s="24" t="n">
        <x:v>23.0501661</x:v>
      </x:c>
      <x:c r="J516" s="21" t="n">
        <x:f>6371*ACOS(MIN(1,COS(D516*PI()/180)*COS(I516*PI()/180)*COS((H516-C516)*PI()/180)+SIN(D516*PI()/180)*SIN(I516*PI()/180)))</x:f>
        <x:v>111.83874026153268</x:v>
      </x:c>
      <x:c r="K516" s="21" t="n">
        <x:f>'情景参数模板'!$D$31</x:f>
        <x:v>1.2</x:v>
      </x:c>
      <x:c r="L516" s="21" t="n">
        <x:f>J516*K516</x:f>
        <x:v>134.2064883138392</x:v>
      </x:c>
    </x:row>
    <x:row r="517">
      <x:c r="A517" s="17" t="str">
        <x:v>GD12</x:v>
      </x:c>
      <x:c r="B517" s="17" t="str">
        <x:v>中山</x:v>
      </x:c>
      <x:c r="C517" s="24" t="n">
        <x:v>113.3872302</x:v>
      </x:c>
      <x:c r="D517" s="24" t="n">
        <x:v>22.5197073</x:v>
      </x:c>
      <x:c r="E517" s="17" t="str">
        <x:v>C18</x:v>
      </x:c>
      <x:c r="F517" s="17" t="str">
        <x:v>清远虚拟回收/检测中心</x:v>
      </x:c>
      <x:c r="G517" s="17" t="str">
        <x:v>回收中心候选</x:v>
      </x:c>
      <x:c r="H517" s="24" t="n">
        <x:v>113.0505994</x:v>
      </x:c>
      <x:c r="I517" s="24" t="n">
        <x:v>23.6832984</x:v>
      </x:c>
      <x:c r="J517" s="21" t="n">
        <x:f>6371*ACOS(MIN(1,COS(D517*PI()/180)*COS(I517*PI()/180)*COS((H517-C517)*PI()/180)+SIN(D517*PI()/180)*SIN(I517*PI()/180)))</x:f>
        <x:v>133.88783670594157</x:v>
      </x:c>
      <x:c r="K517" s="21" t="n">
        <x:f>'情景参数模板'!$D$31</x:f>
        <x:v>1.2</x:v>
      </x:c>
      <x:c r="L517" s="21" t="n">
        <x:f>J517*K517</x:f>
        <x:v>160.66540404712987</x:v>
      </x:c>
    </x:row>
    <x:row r="518">
      <x:c r="A518" s="17" t="str">
        <x:v>GD12</x:v>
      </x:c>
      <x:c r="B518" s="17" t="str">
        <x:v>中山</x:v>
      </x:c>
      <x:c r="C518" s="24" t="n">
        <x:v>113.3872302</x:v>
      </x:c>
      <x:c r="D518" s="24" t="n">
        <x:v>22.5197073</x:v>
      </x:c>
      <x:c r="E518" s="17" t="str">
        <x:v>C19</x:v>
      </x:c>
      <x:c r="F518" s="17" t="str">
        <x:v>潮州虚拟回收/检测中心</x:v>
      </x:c>
      <x:c r="G518" s="17" t="str">
        <x:v>回收中心候选</x:v>
      </x:c>
      <x:c r="H518" s="24" t="n">
        <x:v>116.6204223</x:v>
      </x:c>
      <x:c r="I518" s="24" t="n">
        <x:v>23.656593</x:v>
      </x:c>
      <x:c r="J518" s="21" t="n">
        <x:f>6371*ACOS(MIN(1,COS(D518*PI()/180)*COS(I518*PI()/180)*COS((H518-C518)*PI()/180)+SIN(D518*PI()/180)*SIN(I518*PI()/180)))</x:f>
        <x:v>354.041841083676</x:v>
      </x:c>
      <x:c r="K518" s="21" t="n">
        <x:f>'情景参数模板'!$D$31</x:f>
        <x:v>1.2</x:v>
      </x:c>
      <x:c r="L518" s="21" t="n">
        <x:f>J518*K518</x:f>
        <x:v>424.85020930041117</x:v>
      </x:c>
    </x:row>
    <x:row r="519">
      <x:c r="A519" s="17" t="str">
        <x:v>GD12</x:v>
      </x:c>
      <x:c r="B519" s="17" t="str">
        <x:v>中山</x:v>
      </x:c>
      <x:c r="C519" s="24" t="n">
        <x:v>113.3872302</x:v>
      </x:c>
      <x:c r="D519" s="24" t="n">
        <x:v>22.5197073</x:v>
      </x:c>
      <x:c r="E519" s="17" t="str">
        <x:v>C20</x:v>
      </x:c>
      <x:c r="F519" s="17" t="str">
        <x:v>揭阳虚拟回收/检测中心</x:v>
      </x:c>
      <x:c r="G519" s="17" t="str">
        <x:v>回收中心候选</x:v>
      </x:c>
      <x:c r="H519" s="24" t="n">
        <x:v>116.3680354</x:v>
      </x:c>
      <x:c r="I519" s="24" t="n">
        <x:v>23.553156</x:v>
      </x:c>
      <x:c r="J519" s="21" t="n">
        <x:f>6371*ACOS(MIN(1,COS(D519*PI()/180)*COS(I519*PI()/180)*COS((H519-C519)*PI()/180)+SIN(D519*PI()/180)*SIN(I519*PI()/180)))</x:f>
        <x:v>325.937045938016</x:v>
      </x:c>
      <x:c r="K519" s="21" t="n">
        <x:f>'情景参数模板'!$D$31</x:f>
        <x:v>1.2</x:v>
      </x:c>
      <x:c r="L519" s="21" t="n">
        <x:f>J519*K519</x:f>
        <x:v>391.1244551256192</x:v>
      </x:c>
    </x:row>
    <x:row r="520">
      <x:c r="A520" s="17" t="str">
        <x:v>GD12</x:v>
      </x:c>
      <x:c r="B520" s="17" t="str">
        <x:v>中山</x:v>
      </x:c>
      <x:c r="C520" s="24" t="n">
        <x:v>113.3872302</x:v>
      </x:c>
      <x:c r="D520" s="24" t="n">
        <x:v>22.5197073</x:v>
      </x:c>
      <x:c r="E520" s="17" t="str">
        <x:v>C21</x:v>
      </x:c>
      <x:c r="F520" s="17" t="str">
        <x:v>云浮虚拟回收/检测中心</x:v>
      </x:c>
      <x:c r="G520" s="17" t="str">
        <x:v>回收中心候选</x:v>
      </x:c>
      <x:c r="H520" s="24" t="n">
        <x:v>111.8078586</x:v>
      </x:c>
      <x:c r="I520" s="24" t="n">
        <x:v>22.8546663</x:v>
      </x:c>
      <x:c r="J520" s="21" t="n">
        <x:f>6371*ACOS(MIN(1,COS(D520*PI()/180)*COS(I520*PI()/180)*COS((H520-C520)*PI()/180)+SIN(D520*PI()/180)*SIN(I520*PI()/180)))</x:f>
        <x:v>166.2541970561187</x:v>
      </x:c>
      <x:c r="K520" s="21" t="n">
        <x:f>'情景参数模板'!$D$31</x:f>
        <x:v>1.2</x:v>
      </x:c>
      <x:c r="L520" s="21" t="n">
        <x:f>J520*K520</x:f>
        <x:v>199.50503646734242</x:v>
      </x:c>
    </x:row>
    <x:row r="521">
      <x:c r="A521" s="17" t="str">
        <x:v>GD12</x:v>
      </x:c>
      <x:c r="B521" s="17" t="str">
        <x:v>中山</x:v>
      </x:c>
      <x:c r="C521" s="24" t="n">
        <x:v>113.3872302</x:v>
      </x:c>
      <x:c r="D521" s="24" t="n">
        <x:v>22.5197073</x:v>
      </x:c>
      <x:c r="E521" s="17" t="str">
        <x:v>P01</x:v>
      </x:c>
      <x:c r="F521" s="17" t="str">
        <x:v>汕尾比亚迪废旧动力电池回收项目</x:v>
      </x:c>
      <x:c r="G521" s="17" t="str">
        <x:v>再生利用</x:v>
      </x:c>
      <x:c r="H521" s="24" t="n">
        <x:v>115.3492668</x:v>
      </x:c>
      <x:c r="I521" s="24" t="n">
        <x:v>22.838065</x:v>
      </x:c>
      <x:c r="J521" s="21" t="n">
        <x:f>6371*ACOS(MIN(1,COS(D521*PI()/180)*COS(I521*PI()/180)*COS((H521-C521)*PI()/180)+SIN(D521*PI()/180)*SIN(I521*PI()/180)))</x:f>
        <x:v>204.38687809211015</x:v>
      </x:c>
      <x:c r="K521" s="21" t="n">
        <x:f>'情景参数模板'!$D$31</x:f>
        <x:v>1.2</x:v>
      </x:c>
      <x:c r="L521" s="21" t="n">
        <x:f>J521*K521</x:f>
        <x:v>245.26425371053216</x:v>
      </x:c>
    </x:row>
    <x:row r="522">
      <x:c r="A522" s="17" t="str">
        <x:v>GD12</x:v>
      </x:c>
      <x:c r="B522" s="17" t="str">
        <x:v>中山</x:v>
      </x:c>
      <x:c r="C522" s="24" t="n">
        <x:v>113.3872302</x:v>
      </x:c>
      <x:c r="D522" s="24" t="n">
        <x:v>22.5197073</x:v>
      </x:c>
      <x:c r="E522" s="17" t="str">
        <x:v>P02E</x:v>
      </x:c>
      <x:c r="F522" s="17" t="str">
        <x:v>广东光华科技股份有限公司（梯次功能）</x:v>
      </x:c>
      <x:c r="G522" s="17" t="str">
        <x:v>梯次利用</x:v>
      </x:c>
      <x:c r="H522" s="24" t="n">
        <x:v>116.6775856</x:v>
      </x:c>
      <x:c r="I522" s="24" t="n">
        <x:v>23.3563921</x:v>
      </x:c>
      <x:c r="J522" s="21" t="n">
        <x:f>6371*ACOS(MIN(1,COS(D522*PI()/180)*COS(I522*PI()/180)*COS((H522-C522)*PI()/180)+SIN(D522*PI()/180)*SIN(I522*PI()/180)))</x:f>
        <x:v>349.537434266799</x:v>
      </x:c>
      <x:c r="K522" s="21" t="n">
        <x:f>'情景参数模板'!$D$31</x:f>
        <x:v>1.2</x:v>
      </x:c>
      <x:c r="L522" s="21" t="n">
        <x:f>J522*K522</x:f>
        <x:v>419.44492112015877</x:v>
      </x:c>
    </x:row>
    <x:row r="523">
      <x:c r="A523" s="17" t="str">
        <x:v>GD12</x:v>
      </x:c>
      <x:c r="B523" s="17" t="str">
        <x:v>中山</x:v>
      </x:c>
      <x:c r="C523" s="24" t="n">
        <x:v>113.3872302</x:v>
      </x:c>
      <x:c r="D523" s="24" t="n">
        <x:v>22.5197073</x:v>
      </x:c>
      <x:c r="E523" s="17" t="str">
        <x:v>P02R</x:v>
      </x:c>
      <x:c r="F523" s="17" t="str">
        <x:v>广东光华科技股份有限公司（再生功能）</x:v>
      </x:c>
      <x:c r="G523" s="17" t="str">
        <x:v>再生利用</x:v>
      </x:c>
      <x:c r="H523" s="24" t="n">
        <x:v>116.6775856</x:v>
      </x:c>
      <x:c r="I523" s="24" t="n">
        <x:v>23.3563921</x:v>
      </x:c>
      <x:c r="J523" s="21" t="n">
        <x:f>6371*ACOS(MIN(1,COS(D523*PI()/180)*COS(I523*PI()/180)*COS((H523-C523)*PI()/180)+SIN(D523*PI()/180)*SIN(I523*PI()/180)))</x:f>
        <x:v>349.537434266799</x:v>
      </x:c>
      <x:c r="K523" s="21" t="n">
        <x:f>'情景参数模板'!$D$31</x:f>
        <x:v>1.2</x:v>
      </x:c>
      <x:c r="L523" s="21" t="n">
        <x:f>J523*K523</x:f>
        <x:v>419.44492112015877</x:v>
      </x:c>
    </x:row>
    <x:row r="524">
      <x:c r="A524" s="17" t="str">
        <x:v>GD12</x:v>
      </x:c>
      <x:c r="B524" s="17" t="str">
        <x:v>中山</x:v>
      </x:c>
      <x:c r="C524" s="24" t="n">
        <x:v>113.3872302</x:v>
      </x:c>
      <x:c r="D524" s="24" t="n">
        <x:v>22.5197073</x:v>
      </x:c>
      <x:c r="E524" s="17" t="str">
        <x:v>P03</x:v>
      </x:c>
      <x:c r="F524" s="17" t="str">
        <x:v>深圳深汕特别合作区乾泰技术有限公司</x:v>
      </x:c>
      <x:c r="G524" s="17" t="str">
        <x:v>梯次利用</x:v>
      </x:c>
      <x:c r="H524" s="24" t="n">
        <x:v>115.5099937</x:v>
      </x:c>
      <x:c r="I524" s="24" t="n">
        <x:v>23.0123639</x:v>
      </x:c>
      <x:c r="J524" s="21" t="n">
        <x:f>6371*ACOS(MIN(1,COS(D524*PI()/180)*COS(I524*PI()/180)*COS((H524-C524)*PI()/180)+SIN(D524*PI()/180)*SIN(I524*PI()/180)))</x:f>
        <x:v>224.4365359002932</x:v>
      </x:c>
      <x:c r="K524" s="21" t="n">
        <x:f>'情景参数模板'!$D$31</x:f>
        <x:v>1.2</x:v>
      </x:c>
      <x:c r="L524" s="21" t="n">
        <x:f>J524*K524</x:f>
        <x:v>269.3238430803518</x:v>
      </x:c>
    </x:row>
    <x:row r="525">
      <x:c r="A525" s="17" t="str">
        <x:v>GD12</x:v>
      </x:c>
      <x:c r="B525" s="17" t="str">
        <x:v>中山</x:v>
      </x:c>
      <x:c r="C525" s="24" t="n">
        <x:v>113.3872302</x:v>
      </x:c>
      <x:c r="D525" s="24" t="n">
        <x:v>22.5197073</x:v>
      </x:c>
      <x:c r="E525" s="17" t="str">
        <x:v>P04</x:v>
      </x:c>
      <x:c r="F525" s="17" t="str">
        <x:v>珠海中力新能源科技有限公司</x:v>
      </x:c>
      <x:c r="G525" s="17" t="str">
        <x:v>梯次利用</x:v>
      </x:c>
      <x:c r="H525" s="24" t="n">
        <x:v>113.5721327</x:v>
      </x:c>
      <x:c r="I525" s="24" t="n">
        <x:v>22.273734</x:v>
      </x:c>
      <x:c r="J525" s="21" t="n">
        <x:f>6371*ACOS(MIN(1,COS(D525*PI()/180)*COS(I525*PI()/180)*COS((H525-C525)*PI()/180)+SIN(D525*PI()/180)*SIN(I525*PI()/180)))</x:f>
        <x:v>33.308100641100665</x:v>
      </x:c>
      <x:c r="K525" s="21" t="n">
        <x:f>'情景参数模板'!$D$31</x:f>
        <x:v>1.2</x:v>
      </x:c>
      <x:c r="L525" s="21" t="n">
        <x:f>J525*K525</x:f>
        <x:v>39.969720769320794</x:v>
      </x:c>
    </x:row>
    <x:row r="526">
      <x:c r="A526" s="17" t="str">
        <x:v>GD12</x:v>
      </x:c>
      <x:c r="B526" s="17" t="str">
        <x:v>中山</x:v>
      </x:c>
      <x:c r="C526" s="24" t="n">
        <x:v>113.3872302</x:v>
      </x:c>
      <x:c r="D526" s="24" t="n">
        <x:v>22.5197073</x:v>
      </x:c>
      <x:c r="E526" s="17" t="str">
        <x:v>P05</x:v>
      </x:c>
      <x:c r="F526" s="17" t="str">
        <x:v>惠州市恒创睿能环保科技有限公司</x:v>
      </x:c>
      <x:c r="G526" s="17" t="str">
        <x:v>梯次利用</x:v>
      </x:c>
      <x:c r="H526" s="24" t="n">
        <x:v>114.4127007</x:v>
      </x:c>
      <x:c r="I526" s="24" t="n">
        <x:v>23.1125153</x:v>
      </x:c>
      <x:c r="J526" s="21" t="n">
        <x:f>6371*ACOS(MIN(1,COS(D526*PI()/180)*COS(I526*PI()/180)*COS((H526-C526)*PI()/180)+SIN(D526*PI()/180)*SIN(I526*PI()/180)))</x:f>
        <x:v>124.06426518231</x:v>
      </x:c>
      <x:c r="K526" s="21" t="n">
        <x:f>'情景参数模板'!$D$31</x:f>
        <x:v>1.2</x:v>
      </x:c>
      <x:c r="L526" s="21" t="n">
        <x:f>J526*K526</x:f>
        <x:v>148.87711821877198</x:v>
      </x:c>
    </x:row>
    <x:row r="527">
      <x:c r="A527" s="17" t="str">
        <x:v>GD12</x:v>
      </x:c>
      <x:c r="B527" s="17" t="str">
        <x:v>中山</x:v>
      </x:c>
      <x:c r="C527" s="24" t="n">
        <x:v>113.3872302</x:v>
      </x:c>
      <x:c r="D527" s="24" t="n">
        <x:v>22.5197073</x:v>
      </x:c>
      <x:c r="E527" s="17" t="str">
        <x:v>P06</x:v>
      </x:c>
      <x:c r="F527" s="17" t="str">
        <x:v>江门市朗达锂电池有限公司</x:v>
      </x:c>
      <x:c r="G527" s="17" t="str">
        <x:v>梯次利用</x:v>
      </x:c>
      <x:c r="H527" s="24" t="n">
        <x:v>113.0761073</x:v>
      </x:c>
      <x:c r="I527" s="24" t="n">
        <x:v>22.5816619</x:v>
      </x:c>
      <x:c r="J527" s="21" t="n">
        <x:f>6371*ACOS(MIN(1,COS(D527*PI()/180)*COS(I527*PI()/180)*COS((H527-C527)*PI()/180)+SIN(D527*PI()/180)*SIN(I527*PI()/180)))</x:f>
        <x:v>32.6844105535489</x:v>
      </x:c>
      <x:c r="K527" s="21" t="n">
        <x:f>'情景参数模板'!$D$31</x:f>
        <x:v>1.2</x:v>
      </x:c>
      <x:c r="L527" s="21" t="n">
        <x:f>J527*K527</x:f>
        <x:v>39.22129266425868</x:v>
      </x:c>
    </x:row>
    <x:row r="528">
      <x:c r="A528" s="17" t="str">
        <x:v>GD12</x:v>
      </x:c>
      <x:c r="B528" s="17" t="str">
        <x:v>中山</x:v>
      </x:c>
      <x:c r="C528" s="24" t="n">
        <x:v>113.3872302</x:v>
      </x:c>
      <x:c r="D528" s="24" t="n">
        <x:v>22.5197073</x:v>
      </x:c>
      <x:c r="E528" s="17" t="str">
        <x:v>P07</x:v>
      </x:c>
      <x:c r="F528" s="17" t="str">
        <x:v>广东迪度新能源有限公司</x:v>
      </x:c>
      <x:c r="G528" s="17" t="str">
        <x:v>梯次利用</x:v>
      </x:c>
      <x:c r="H528" s="24" t="n">
        <x:v>113.7452332</x:v>
      </x:c>
      <x:c r="I528" s="24" t="n">
        <x:v>23.0183568</x:v>
      </x:c>
      <x:c r="J528" s="21" t="n">
        <x:f>6371*ACOS(MIN(1,COS(D528*PI()/180)*COS(I528*PI()/180)*COS((H528-C528)*PI()/180)+SIN(D528*PI()/180)*SIN(I528*PI()/180)))</x:f>
        <x:v>66.49599216706548</x:v>
      </x:c>
      <x:c r="K528" s="21" t="n">
        <x:f>'情景参数模板'!$D$31</x:f>
        <x:v>1.2</x:v>
      </x:c>
      <x:c r="L528" s="21" t="n">
        <x:f>J528*K528</x:f>
        <x:v>79.79519060047858</x:v>
      </x:c>
    </x:row>
    <x:row r="529">
      <x:c r="A529" s="17" t="str">
        <x:v>GD12</x:v>
      </x:c>
      <x:c r="B529" s="17" t="str">
        <x:v>中山</x:v>
      </x:c>
      <x:c r="C529" s="24" t="n">
        <x:v>113.3872302</x:v>
      </x:c>
      <x:c r="D529" s="24" t="n">
        <x:v>22.5197073</x:v>
      </x:c>
      <x:c r="E529" s="17" t="str">
        <x:v>P08</x:v>
      </x:c>
      <x:c r="F529" s="17" t="str">
        <x:v>东莞市博森新能源有限公司</x:v>
      </x:c>
      <x:c r="G529" s="17" t="str">
        <x:v>梯次利用</x:v>
      </x:c>
      <x:c r="H529" s="24" t="n">
        <x:v>113.7452332</x:v>
      </x:c>
      <x:c r="I529" s="24" t="n">
        <x:v>23.0183568</x:v>
      </x:c>
      <x:c r="J529" s="21" t="n">
        <x:f>6371*ACOS(MIN(1,COS(D529*PI()/180)*COS(I529*PI()/180)*COS((H529-C529)*PI()/180)+SIN(D529*PI()/180)*SIN(I529*PI()/180)))</x:f>
        <x:v>66.49599216706548</x:v>
      </x:c>
      <x:c r="K529" s="21" t="n">
        <x:f>'情景参数模板'!$D$31</x:f>
        <x:v>1.2</x:v>
      </x:c>
      <x:c r="L529" s="21" t="n">
        <x:f>J529*K529</x:f>
        <x:v>79.79519060047858</x:v>
      </x:c>
    </x:row>
    <x:row r="530">
      <x:c r="A530" s="17" t="str">
        <x:v>GD12</x:v>
      </x:c>
      <x:c r="B530" s="17" t="str">
        <x:v>中山</x:v>
      </x:c>
      <x:c r="C530" s="24" t="n">
        <x:v>113.3872302</x:v>
      </x:c>
      <x:c r="D530" s="24" t="n">
        <x:v>22.5197073</x:v>
      </x:c>
      <x:c r="E530" s="17" t="str">
        <x:v>P09</x:v>
      </x:c>
      <x:c r="F530" s="17" t="str">
        <x:v>广东宇阳新能源有限公司</x:v>
      </x:c>
      <x:c r="G530" s="17" t="str">
        <x:v>梯次利用</x:v>
      </x:c>
      <x:c r="H530" s="24" t="n">
        <x:v>113.7452332</x:v>
      </x:c>
      <x:c r="I530" s="24" t="n">
        <x:v>23.0183568</x:v>
      </x:c>
      <x:c r="J530" s="21" t="n">
        <x:f>6371*ACOS(MIN(1,COS(D530*PI()/180)*COS(I530*PI()/180)*COS((H530-C530)*PI()/180)+SIN(D530*PI()/180)*SIN(I530*PI()/180)))</x:f>
        <x:v>66.49599216706548</x:v>
      </x:c>
      <x:c r="K530" s="21" t="n">
        <x:f>'情景参数模板'!$D$31</x:f>
        <x:v>1.2</x:v>
      </x:c>
      <x:c r="L530" s="21" t="n">
        <x:f>J530*K530</x:f>
        <x:v>79.79519060047858</x:v>
      </x:c>
    </x:row>
    <x:row r="531">
      <x:c r="A531" s="17" t="str">
        <x:v>GD12</x:v>
      </x:c>
      <x:c r="B531" s="17" t="str">
        <x:v>中山</x:v>
      </x:c>
      <x:c r="C531" s="24" t="n">
        <x:v>113.3872302</x:v>
      </x:c>
      <x:c r="D531" s="24" t="n">
        <x:v>22.5197073</x:v>
      </x:c>
      <x:c r="E531" s="17" t="str">
        <x:v>P10</x:v>
      </x:c>
      <x:c r="F531" s="17" t="str">
        <x:v>广州广汽商贸再生资源有限公司</x:v>
      </x:c>
      <x:c r="G531" s="17" t="str">
        <x:v>梯次利用</x:v>
      </x:c>
      <x:c r="H531" s="24" t="n">
        <x:v>113.2589581</x:v>
      </x:c>
      <x:c r="I531" s="24" t="n">
        <x:v>23.1288429</x:v>
      </x:c>
      <x:c r="J531" s="21" t="n">
        <x:f>6371*ACOS(MIN(1,COS(D531*PI()/180)*COS(I531*PI()/180)*COS((H531-C531)*PI()/180)+SIN(D531*PI()/180)*SIN(I531*PI()/180)))</x:f>
        <x:v>68.99677868461173</x:v>
      </x:c>
      <x:c r="K531" s="21" t="n">
        <x:f>'情景参数模板'!$D$31</x:f>
        <x:v>1.2</x:v>
      </x:c>
      <x:c r="L531" s="21" t="n">
        <x:f>J531*K531</x:f>
        <x:v>82.79613442153406</x:v>
      </x:c>
    </x:row>
    <x:row r="532">
      <x:c r="A532" s="17" t="str">
        <x:v>GD12</x:v>
      </x:c>
      <x:c r="B532" s="17" t="str">
        <x:v>中山</x:v>
      </x:c>
      <x:c r="C532" s="24" t="n">
        <x:v>113.3872302</x:v>
      </x:c>
      <x:c r="D532" s="24" t="n">
        <x:v>22.5197073</x:v>
      </x:c>
      <x:c r="E532" s="17" t="str">
        <x:v>P11</x:v>
      </x:c>
      <x:c r="F532" s="17" t="str">
        <x:v>深圳市杰成镍钴新能源科技有限公司</x:v>
      </x:c>
      <x:c r="G532" s="17" t="str">
        <x:v>梯次利用</x:v>
      </x:c>
      <x:c r="H532" s="24" t="n">
        <x:v>114.0545429</x:v>
      </x:c>
      <x:c r="I532" s="24" t="n">
        <x:v>22.5445741</x:v>
      </x:c>
      <x:c r="J532" s="21" t="n">
        <x:f>6371*ACOS(MIN(1,COS(D532*PI()/180)*COS(I532*PI()/180)*COS((H532-C532)*PI()/180)+SIN(D532*PI()/180)*SIN(I532*PI()/180)))</x:f>
        <x:v>68.59326845307118</x:v>
      </x:c>
      <x:c r="K532" s="21" t="n">
        <x:f>'情景参数模板'!$D$31</x:f>
        <x:v>1.2</x:v>
      </x:c>
      <x:c r="L532" s="21" t="n">
        <x:f>J532*K532</x:f>
        <x:v>82.31192214368541</x:v>
      </x:c>
    </x:row>
    <x:row r="533">
      <x:c r="A533" s="17" t="str">
        <x:v>GD12</x:v>
      </x:c>
      <x:c r="B533" s="17" t="str">
        <x:v>中山</x:v>
      </x:c>
      <x:c r="C533" s="24" t="n">
        <x:v>113.3872302</x:v>
      </x:c>
      <x:c r="D533" s="24" t="n">
        <x:v>22.5197073</x:v>
      </x:c>
      <x:c r="E533" s="17" t="str">
        <x:v>P12</x:v>
      </x:c>
      <x:c r="F533" s="17" t="str">
        <x:v>江门市恒创睿能环保科技有限公司</x:v>
      </x:c>
      <x:c r="G533" s="17" t="str">
        <x:v>再生利用</x:v>
      </x:c>
      <x:c r="H533" s="24" t="n">
        <x:v>113.0761073</x:v>
      </x:c>
      <x:c r="I533" s="24" t="n">
        <x:v>22.5816619</x:v>
      </x:c>
      <x:c r="J533" s="21" t="n">
        <x:f>6371*ACOS(MIN(1,COS(D533*PI()/180)*COS(I533*PI()/180)*COS((H533-C533)*PI()/180)+SIN(D533*PI()/180)*SIN(I533*PI()/180)))</x:f>
        <x:v>32.6844105535489</x:v>
      </x:c>
      <x:c r="K533" s="21" t="n">
        <x:f>'情景参数模板'!$D$31</x:f>
        <x:v>1.2</x:v>
      </x:c>
      <x:c r="L533" s="21" t="n">
        <x:f>J533*K533</x:f>
        <x:v>39.22129266425868</x:v>
      </x:c>
    </x:row>
    <x:row r="534">
      <x:c r="A534" s="17" t="str">
        <x:v>GD12</x:v>
      </x:c>
      <x:c r="B534" s="17" t="str">
        <x:v>中山</x:v>
      </x:c>
      <x:c r="C534" s="24" t="n">
        <x:v>113.3872302</x:v>
      </x:c>
      <x:c r="D534" s="24" t="n">
        <x:v>22.5197073</x:v>
      </x:c>
      <x:c r="E534" s="17" t="str">
        <x:v>P13</x:v>
      </x:c>
      <x:c r="F534" s="17" t="str">
        <x:v>广东佳纳能源科技有限公司</x:v>
      </x:c>
      <x:c r="G534" s="17" t="str">
        <x:v>再生利用</x:v>
      </x:c>
      <x:c r="H534" s="24" t="n">
        <x:v>113.0505994</x:v>
      </x:c>
      <x:c r="I534" s="24" t="n">
        <x:v>23.6832984</x:v>
      </x:c>
      <x:c r="J534" s="21" t="n">
        <x:f>6371*ACOS(MIN(1,COS(D534*PI()/180)*COS(I534*PI()/180)*COS((H534-C534)*PI()/180)+SIN(D534*PI()/180)*SIN(I534*PI()/180)))</x:f>
        <x:v>133.88783670594157</x:v>
      </x:c>
      <x:c r="K534" s="21" t="n">
        <x:f>'情景参数模板'!$D$31</x:f>
        <x:v>1.2</x:v>
      </x:c>
      <x:c r="L534" s="21" t="n">
        <x:f>J534*K534</x:f>
        <x:v>160.66540404712987</x:v>
      </x:c>
    </x:row>
    <x:row r="535">
      <x:c r="A535" s="17" t="str">
        <x:v>GD12</x:v>
      </x:c>
      <x:c r="B535" s="17" t="str">
        <x:v>中山</x:v>
      </x:c>
      <x:c r="C535" s="24" t="n">
        <x:v>113.3872302</x:v>
      </x:c>
      <x:c r="D535" s="24" t="n">
        <x:v>22.5197073</x:v>
      </x:c>
      <x:c r="E535" s="17" t="str">
        <x:v>P14</x:v>
      </x:c>
      <x:c r="F535" s="17" t="str">
        <x:v>格林美（深圳）循环科技有限公司</x:v>
      </x:c>
      <x:c r="G535" s="17" t="str">
        <x:v>梯次利用</x:v>
      </x:c>
      <x:c r="H535" s="24" t="n">
        <x:v>114.0545429</x:v>
      </x:c>
      <x:c r="I535" s="24" t="n">
        <x:v>22.5445741</x:v>
      </x:c>
      <x:c r="J535" s="21" t="n">
        <x:f>6371*ACOS(MIN(1,COS(D535*PI()/180)*COS(I535*PI()/180)*COS((H535-C535)*PI()/180)+SIN(D535*PI()/180)*SIN(I535*PI()/180)))</x:f>
        <x:v>68.59326845307118</x:v>
      </x:c>
      <x:c r="K535" s="21" t="n">
        <x:f>'情景参数模板'!$D$31</x:f>
        <x:v>1.2</x:v>
      </x:c>
      <x:c r="L535" s="21" t="n">
        <x:f>J535*K535</x:f>
        <x:v>82.31192214368541</x:v>
      </x:c>
    </x:row>
    <x:row r="536">
      <x:c r="A536" s="17" t="str">
        <x:v>GD12</x:v>
      </x:c>
      <x:c r="B536" s="17" t="str">
        <x:v>中山</x:v>
      </x:c>
      <x:c r="C536" s="24" t="n">
        <x:v>113.3872302</x:v>
      </x:c>
      <x:c r="D536" s="24" t="n">
        <x:v>22.5197073</x:v>
      </x:c>
      <x:c r="E536" s="17" t="str">
        <x:v>P15</x:v>
      </x:c>
      <x:c r="F536" s="17" t="str">
        <x:v>绿循新能源科技（佛山）有限责任公司</x:v>
      </x:c>
      <x:c r="G536" s="17" t="str">
        <x:v>梯次利用</x:v>
      </x:c>
      <x:c r="H536" s="24" t="n">
        <x:v>113.1159558</x:v>
      </x:c>
      <x:c r="I536" s="24" t="n">
        <x:v>23.0239788</x:v>
      </x:c>
      <x:c r="J536" s="21" t="n">
        <x:f>6371*ACOS(MIN(1,COS(D536*PI()/180)*COS(I536*PI()/180)*COS((H536-C536)*PI()/180)+SIN(D536*PI()/180)*SIN(I536*PI()/180)))</x:f>
        <x:v>62.59137427718621</x:v>
      </x:c>
      <x:c r="K536" s="21" t="n">
        <x:f>'情景参数模板'!$D$31</x:f>
        <x:v>1.2</x:v>
      </x:c>
      <x:c r="L536" s="21" t="n">
        <x:f>J536*K536</x:f>
        <x:v>75.10964913262345</x:v>
      </x:c>
    </x:row>
    <x:row r="537">
      <x:c r="A537" s="17" t="str">
        <x:v>GD12</x:v>
      </x:c>
      <x:c r="B537" s="17" t="str">
        <x:v>中山</x:v>
      </x:c>
      <x:c r="C537" s="24" t="n">
        <x:v>113.3872302</x:v>
      </x:c>
      <x:c r="D537" s="24" t="n">
        <x:v>22.5197073</x:v>
      </x:c>
      <x:c r="E537" s="17" t="str">
        <x:v>P16</x:v>
      </x:c>
      <x:c r="F537" s="17" t="str">
        <x:v>深圳艾云动智慧科技有限公司</x:v>
      </x:c>
      <x:c r="G537" s="17" t="str">
        <x:v>梯次利用</x:v>
      </x:c>
      <x:c r="H537" s="24" t="n">
        <x:v>114.0545429</x:v>
      </x:c>
      <x:c r="I537" s="24" t="n">
        <x:v>22.5445741</x:v>
      </x:c>
      <x:c r="J537" s="21" t="n">
        <x:f>6371*ACOS(MIN(1,COS(D537*PI()/180)*COS(I537*PI()/180)*COS((H537-C537)*PI()/180)+SIN(D537*PI()/180)*SIN(I537*PI()/180)))</x:f>
        <x:v>68.59326845307118</x:v>
      </x:c>
      <x:c r="K537" s="21" t="n">
        <x:f>'情景参数模板'!$D$31</x:f>
        <x:v>1.2</x:v>
      </x:c>
      <x:c r="L537" s="21" t="n">
        <x:f>J537*K537</x:f>
        <x:v>82.31192214368541</x:v>
      </x:c>
    </x:row>
    <x:row r="538">
      <x:c r="A538" s="17" t="str">
        <x:v>GD12</x:v>
      </x:c>
      <x:c r="B538" s="17" t="str">
        <x:v>中山</x:v>
      </x:c>
      <x:c r="C538" s="24" t="n">
        <x:v>113.3872302</x:v>
      </x:c>
      <x:c r="D538" s="24" t="n">
        <x:v>22.5197073</x:v>
      </x:c>
      <x:c r="E538" s="17" t="str">
        <x:v>P17</x:v>
      </x:c>
      <x:c r="F538" s="17" t="str">
        <x:v>深圳市荣高晟新能源科技有限公司</x:v>
      </x:c>
      <x:c r="G538" s="17" t="str">
        <x:v>梯次利用</x:v>
      </x:c>
      <x:c r="H538" s="24" t="n">
        <x:v>114.0545429</x:v>
      </x:c>
      <x:c r="I538" s="24" t="n">
        <x:v>22.5445741</x:v>
      </x:c>
      <x:c r="J538" s="21" t="n">
        <x:f>6371*ACOS(MIN(1,COS(D538*PI()/180)*COS(I538*PI()/180)*COS((H538-C538)*PI()/180)+SIN(D538*PI()/180)*SIN(I538*PI()/180)))</x:f>
        <x:v>68.59326845307118</x:v>
      </x:c>
      <x:c r="K538" s="21" t="n">
        <x:f>'情景参数模板'!$D$31</x:f>
        <x:v>1.2</x:v>
      </x:c>
      <x:c r="L538" s="21" t="n">
        <x:f>J538*K538</x:f>
        <x:v>82.31192214368541</x:v>
      </x:c>
    </x:row>
    <x:row r="539">
      <x:c r="A539" s="17" t="str">
        <x:v>GD12</x:v>
      </x:c>
      <x:c r="B539" s="17" t="str">
        <x:v>中山</x:v>
      </x:c>
      <x:c r="C539" s="24" t="n">
        <x:v>113.3872302</x:v>
      </x:c>
      <x:c r="D539" s="24" t="n">
        <x:v>22.5197073</x:v>
      </x:c>
      <x:c r="E539" s="17" t="str">
        <x:v>P18</x:v>
      </x:c>
      <x:c r="F539" s="17" t="str">
        <x:v>中商锂新能源科技（惠州）有限公司</x:v>
      </x:c>
      <x:c r="G539" s="17" t="str">
        <x:v>梯次利用</x:v>
      </x:c>
      <x:c r="H539" s="24" t="n">
        <x:v>114.4127007</x:v>
      </x:c>
      <x:c r="I539" s="24" t="n">
        <x:v>23.1125153</x:v>
      </x:c>
      <x:c r="J539" s="21" t="n">
        <x:f>6371*ACOS(MIN(1,COS(D539*PI()/180)*COS(I539*PI()/180)*COS((H539-C539)*PI()/180)+SIN(D539*PI()/180)*SIN(I539*PI()/180)))</x:f>
        <x:v>124.06426518231</x:v>
      </x:c>
      <x:c r="K539" s="21" t="n">
        <x:f>'情景参数模板'!$D$31</x:f>
        <x:v>1.2</x:v>
      </x:c>
      <x:c r="L539" s="21" t="n">
        <x:f>J539*K539</x:f>
        <x:v>148.87711821877198</x:v>
      </x:c>
    </x:row>
    <x:row r="540">
      <x:c r="A540" s="17" t="str">
        <x:v>GD12</x:v>
      </x:c>
      <x:c r="B540" s="17" t="str">
        <x:v>中山</x:v>
      </x:c>
      <x:c r="C540" s="24" t="n">
        <x:v>113.3872302</x:v>
      </x:c>
      <x:c r="D540" s="24" t="n">
        <x:v>22.5197073</x:v>
      </x:c>
      <x:c r="E540" s="17" t="str">
        <x:v>P19</x:v>
      </x:c>
      <x:c r="F540" s="17" t="str">
        <x:v>广东盛祥新材料科技有限公司</x:v>
      </x:c>
      <x:c r="G540" s="17" t="str">
        <x:v>再生利用</x:v>
      </x:c>
      <x:c r="H540" s="24" t="n">
        <x:v>113.8155263</x:v>
      </x:c>
      <x:c r="I540" s="24" t="n">
        <x:v>24.8309489</x:v>
      </x:c>
      <x:c r="J540" s="21" t="n">
        <x:f>6371*ACOS(MIN(1,COS(D540*PI()/180)*COS(I540*PI()/180)*COS((H540-C540)*PI()/180)+SIN(D540*PI()/180)*SIN(I540*PI()/180)))</x:f>
        <x:v>260.67240148858207</x:v>
      </x:c>
      <x:c r="K540" s="21" t="n">
        <x:f>'情景参数模板'!$D$31</x:f>
        <x:v>1.2</x:v>
      </x:c>
      <x:c r="L540" s="21" t="n">
        <x:f>J540*K540</x:f>
        <x:v>312.80688178629845</x:v>
      </x:c>
    </x:row>
    <x:row r="541">
      <x:c r="A541" s="17" t="str">
        <x:v>GD12</x:v>
      </x:c>
      <x:c r="B541" s="17" t="str">
        <x:v>中山</x:v>
      </x:c>
      <x:c r="C541" s="24" t="n">
        <x:v>113.3872302</x:v>
      </x:c>
      <x:c r="D541" s="24" t="n">
        <x:v>22.5197073</x:v>
      </x:c>
      <x:c r="E541" s="17" t="str">
        <x:v>P20E</x:v>
      </x:c>
      <x:c r="F541" s="17" t="str">
        <x:v>广东金晟新能源股份有限公司（梯次功能）</x:v>
      </x:c>
      <x:c r="G541" s="17" t="str">
        <x:v>梯次利用</x:v>
      </x:c>
      <x:c r="H541" s="24" t="n">
        <x:v>112.4603629</x:v>
      </x:c>
      <x:c r="I541" s="24" t="n">
        <x:v>23.0501661</x:v>
      </x:c>
      <x:c r="J541" s="21" t="n">
        <x:f>6371*ACOS(MIN(1,COS(D541*PI()/180)*COS(I541*PI()/180)*COS((H541-C541)*PI()/180)+SIN(D541*PI()/180)*SIN(I541*PI()/180)))</x:f>
        <x:v>111.83874026153268</x:v>
      </x:c>
      <x:c r="K541" s="21" t="n">
        <x:f>'情景参数模板'!$D$31</x:f>
        <x:v>1.2</x:v>
      </x:c>
      <x:c r="L541" s="21" t="n">
        <x:f>J541*K541</x:f>
        <x:v>134.2064883138392</x:v>
      </x:c>
    </x:row>
    <x:row r="542">
      <x:c r="A542" s="17" t="str">
        <x:v>GD12</x:v>
      </x:c>
      <x:c r="B542" s="17" t="str">
        <x:v>中山</x:v>
      </x:c>
      <x:c r="C542" s="24" t="n">
        <x:v>113.3872302</x:v>
      </x:c>
      <x:c r="D542" s="24" t="n">
        <x:v>22.5197073</x:v>
      </x:c>
      <x:c r="E542" s="17" t="str">
        <x:v>P20R</x:v>
      </x:c>
      <x:c r="F542" s="17" t="str">
        <x:v>广东金晟新能源股份有限公司（再生功能）</x:v>
      </x:c>
      <x:c r="G542" s="17" t="str">
        <x:v>再生利用</x:v>
      </x:c>
      <x:c r="H542" s="24" t="n">
        <x:v>112.4603629</x:v>
      </x:c>
      <x:c r="I542" s="24" t="n">
        <x:v>23.0501661</x:v>
      </x:c>
      <x:c r="J542" s="21" t="n">
        <x:f>6371*ACOS(MIN(1,COS(D542*PI()/180)*COS(I542*PI()/180)*COS((H542-C542)*PI()/180)+SIN(D542*PI()/180)*SIN(I542*PI()/180)))</x:f>
        <x:v>111.83874026153268</x:v>
      </x:c>
      <x:c r="K542" s="21" t="n">
        <x:f>'情景参数模板'!$D$31</x:f>
        <x:v>1.2</x:v>
      </x:c>
      <x:c r="L542" s="21" t="n">
        <x:f>J542*K542</x:f>
        <x:v>134.2064883138392</x:v>
      </x:c>
    </x:row>
    <x:row r="543">
      <x:c r="A543" s="17" t="str">
        <x:v>GD12</x:v>
      </x:c>
      <x:c r="B543" s="17" t="str">
        <x:v>中山</x:v>
      </x:c>
      <x:c r="C543" s="24" t="n">
        <x:v>113.3872302</x:v>
      </x:c>
      <x:c r="D543" s="24" t="n">
        <x:v>22.5197073</x:v>
      </x:c>
      <x:c r="E543" s="17" t="str">
        <x:v>P21E</x:v>
      </x:c>
      <x:c r="F543" s="17" t="str">
        <x:v>广东瑞科美电源技术有限公司（梯次功能）</x:v>
      </x:c>
      <x:c r="G543" s="17" t="str">
        <x:v>梯次利用</x:v>
      </x:c>
      <x:c r="H543" s="24" t="n">
        <x:v>113.1159558</x:v>
      </x:c>
      <x:c r="I543" s="24" t="n">
        <x:v>23.0239788</x:v>
      </x:c>
      <x:c r="J543" s="21" t="n">
        <x:f>6371*ACOS(MIN(1,COS(D543*PI()/180)*COS(I543*PI()/180)*COS((H543-C543)*PI()/180)+SIN(D543*PI()/180)*SIN(I543*PI()/180)))</x:f>
        <x:v>62.59137427718621</x:v>
      </x:c>
      <x:c r="K543" s="21" t="n">
        <x:f>'情景参数模板'!$D$31</x:f>
        <x:v>1.2</x:v>
      </x:c>
      <x:c r="L543" s="21" t="n">
        <x:f>J543*K543</x:f>
        <x:v>75.10964913262345</x:v>
      </x:c>
    </x:row>
    <x:row r="544">
      <x:c r="A544" s="17" t="str">
        <x:v>GD12</x:v>
      </x:c>
      <x:c r="B544" s="17" t="str">
        <x:v>中山</x:v>
      </x:c>
      <x:c r="C544" s="24" t="n">
        <x:v>113.3872302</x:v>
      </x:c>
      <x:c r="D544" s="24" t="n">
        <x:v>22.5197073</x:v>
      </x:c>
      <x:c r="E544" s="17" t="str">
        <x:v>P21R</x:v>
      </x:c>
      <x:c r="F544" s="17" t="str">
        <x:v>广东瑞科美电源技术有限公司（再生功能）</x:v>
      </x:c>
      <x:c r="G544" s="17" t="str">
        <x:v>再生利用</x:v>
      </x:c>
      <x:c r="H544" s="24" t="n">
        <x:v>113.1159558</x:v>
      </x:c>
      <x:c r="I544" s="24" t="n">
        <x:v>23.0239788</x:v>
      </x:c>
      <x:c r="J544" s="21" t="n">
        <x:f>6371*ACOS(MIN(1,COS(D544*PI()/180)*COS(I544*PI()/180)*COS((H544-C544)*PI()/180)+SIN(D544*PI()/180)*SIN(I544*PI()/180)))</x:f>
        <x:v>62.59137427718621</x:v>
      </x:c>
      <x:c r="K544" s="21" t="n">
        <x:f>'情景参数模板'!$D$31</x:f>
        <x:v>1.2</x:v>
      </x:c>
      <x:c r="L544" s="21" t="n">
        <x:f>J544*K544</x:f>
        <x:v>75.10964913262345</x:v>
      </x:c>
    </x:row>
    <x:row r="545">
      <x:c r="A545" s="17" t="str">
        <x:v>GD13</x:v>
      </x:c>
      <x:c r="B545" s="17" t="str">
        <x:v>江门</x:v>
      </x:c>
      <x:c r="C545" s="24" t="n">
        <x:v>113.0761073</x:v>
      </x:c>
      <x:c r="D545" s="24" t="n">
        <x:v>22.5816619</x:v>
      </x:c>
      <x:c r="E545" s="17" t="str">
        <x:v>C01</x:v>
      </x:c>
      <x:c r="F545" s="17" t="str">
        <x:v>广州虚拟回收/检测中心</x:v>
      </x:c>
      <x:c r="G545" s="17" t="str">
        <x:v>回收中心候选</x:v>
      </x:c>
      <x:c r="H545" s="24" t="n">
        <x:v>113.2589581</x:v>
      </x:c>
      <x:c r="I545" s="24" t="n">
        <x:v>23.1288429</x:v>
      </x:c>
      <x:c r="J545" s="21" t="n">
        <x:f>6371*ACOS(MIN(1,COS(D545*PI()/180)*COS(I545*PI()/180)*COS((H545-C545)*PI()/180)+SIN(D545*PI()/180)*SIN(I545*PI()/180)))</x:f>
        <x:v>63.663079882234</x:v>
      </x:c>
      <x:c r="K545" s="21" t="n">
        <x:f>'情景参数模板'!$D$31</x:f>
        <x:v>1.2</x:v>
      </x:c>
      <x:c r="L545" s="21" t="n">
        <x:f>J545*K545</x:f>
        <x:v>76.3956958586808</x:v>
      </x:c>
    </x:row>
    <x:row r="546">
      <x:c r="A546" s="17" t="str">
        <x:v>GD13</x:v>
      </x:c>
      <x:c r="B546" s="17" t="str">
        <x:v>江门</x:v>
      </x:c>
      <x:c r="C546" s="24" t="n">
        <x:v>113.0761073</x:v>
      </x:c>
      <x:c r="D546" s="24" t="n">
        <x:v>22.5816619</x:v>
      </x:c>
      <x:c r="E546" s="17" t="str">
        <x:v>C02</x:v>
      </x:c>
      <x:c r="F546" s="17" t="str">
        <x:v>深圳虚拟回收/检测中心</x:v>
      </x:c>
      <x:c r="G546" s="17" t="str">
        <x:v>回收中心候选</x:v>
      </x:c>
      <x:c r="H546" s="24" t="n">
        <x:v>114.0545429</x:v>
      </x:c>
      <x:c r="I546" s="24" t="n">
        <x:v>22.5445741</x:v>
      </x:c>
      <x:c r="J546" s="21" t="n">
        <x:f>6371*ACOS(MIN(1,COS(D546*PI()/180)*COS(I546*PI()/180)*COS((H546-C546)*PI()/180)+SIN(D546*PI()/180)*SIN(I546*PI()/180)))</x:f>
        <x:v>100.55388459485556</x:v>
      </x:c>
      <x:c r="K546" s="21" t="n">
        <x:f>'情景参数模板'!$D$31</x:f>
        <x:v>1.2</x:v>
      </x:c>
      <x:c r="L546" s="21" t="n">
        <x:f>J546*K546</x:f>
        <x:v>120.66466151382667</x:v>
      </x:c>
    </x:row>
    <x:row r="547">
      <x:c r="A547" s="17" t="str">
        <x:v>GD13</x:v>
      </x:c>
      <x:c r="B547" s="17" t="str">
        <x:v>江门</x:v>
      </x:c>
      <x:c r="C547" s="24" t="n">
        <x:v>113.0761073</x:v>
      </x:c>
      <x:c r="D547" s="24" t="n">
        <x:v>22.5816619</x:v>
      </x:c>
      <x:c r="E547" s="17" t="str">
        <x:v>C03</x:v>
      </x:c>
      <x:c r="F547" s="17" t="str">
        <x:v>珠海虚拟回收/检测中心</x:v>
      </x:c>
      <x:c r="G547" s="17" t="str">
        <x:v>回收中心候选</x:v>
      </x:c>
      <x:c r="H547" s="24" t="n">
        <x:v>113.5721327</x:v>
      </x:c>
      <x:c r="I547" s="24" t="n">
        <x:v>22.273734</x:v>
      </x:c>
      <x:c r="J547" s="21" t="n">
        <x:f>6371*ACOS(MIN(1,COS(D547*PI()/180)*COS(I547*PI()/180)*COS((H547-C547)*PI()/180)+SIN(D547*PI()/180)*SIN(I547*PI()/180)))</x:f>
        <x:v>61.4141569491265</x:v>
      </x:c>
      <x:c r="K547" s="21" t="n">
        <x:f>'情景参数模板'!$D$31</x:f>
        <x:v>1.2</x:v>
      </x:c>
      <x:c r="L547" s="21" t="n">
        <x:f>J547*K547</x:f>
        <x:v>73.6969883389518</x:v>
      </x:c>
    </x:row>
    <x:row r="548">
      <x:c r="A548" s="17" t="str">
        <x:v>GD13</x:v>
      </x:c>
      <x:c r="B548" s="17" t="str">
        <x:v>江门</x:v>
      </x:c>
      <x:c r="C548" s="24" t="n">
        <x:v>113.0761073</x:v>
      </x:c>
      <x:c r="D548" s="24" t="n">
        <x:v>22.5816619</x:v>
      </x:c>
      <x:c r="E548" s="17" t="str">
        <x:v>C04</x:v>
      </x:c>
      <x:c r="F548" s="17" t="str">
        <x:v>汕头虚拟回收/检测中心</x:v>
      </x:c>
      <x:c r="G548" s="17" t="str">
        <x:v>回收中心候选</x:v>
      </x:c>
      <x:c r="H548" s="24" t="n">
        <x:v>116.6775856</x:v>
      </x:c>
      <x:c r="I548" s="24" t="n">
        <x:v>23.3563921</x:v>
      </x:c>
      <x:c r="J548" s="21" t="n">
        <x:f>6371*ACOS(MIN(1,COS(D548*PI()/180)*COS(I548*PI()/180)*COS((H548-C548)*PI()/180)+SIN(D548*PI()/180)*SIN(I548*PI()/180)))</x:f>
        <x:v>378.6321234404451</x:v>
      </x:c>
      <x:c r="K548" s="21" t="n">
        <x:f>'情景参数模板'!$D$31</x:f>
        <x:v>1.2</x:v>
      </x:c>
      <x:c r="L548" s="21" t="n">
        <x:f>J548*K548</x:f>
        <x:v>454.35854812853415</x:v>
      </x:c>
    </x:row>
    <x:row r="549">
      <x:c r="A549" s="17" t="str">
        <x:v>GD13</x:v>
      </x:c>
      <x:c r="B549" s="17" t="str">
        <x:v>江门</x:v>
      </x:c>
      <x:c r="C549" s="24" t="n">
        <x:v>113.0761073</x:v>
      </x:c>
      <x:c r="D549" s="24" t="n">
        <x:v>22.5816619</x:v>
      </x:c>
      <x:c r="E549" s="17" t="str">
        <x:v>C05</x:v>
      </x:c>
      <x:c r="F549" s="17" t="str">
        <x:v>佛山虚拟回收/检测中心</x:v>
      </x:c>
      <x:c r="G549" s="17" t="str">
        <x:v>回收中心候选</x:v>
      </x:c>
      <x:c r="H549" s="24" t="n">
        <x:v>113.1159558</x:v>
      </x:c>
      <x:c r="I549" s="24" t="n">
        <x:v>23.0239788</x:v>
      </x:c>
      <x:c r="J549" s="21" t="n">
        <x:f>6371*ACOS(MIN(1,COS(D549*PI()/180)*COS(I549*PI()/180)*COS((H549-C549)*PI()/180)+SIN(D549*PI()/180)*SIN(I549*PI()/180)))</x:f>
        <x:v>49.35271597324547</x:v>
      </x:c>
      <x:c r="K549" s="21" t="n">
        <x:f>'情景参数模板'!$D$31</x:f>
        <x:v>1.2</x:v>
      </x:c>
      <x:c r="L549" s="21" t="n">
        <x:f>J549*K549</x:f>
        <x:v>59.22325916789457</x:v>
      </x:c>
    </x:row>
    <x:row r="550">
      <x:c r="A550" s="17" t="str">
        <x:v>GD13</x:v>
      </x:c>
      <x:c r="B550" s="17" t="str">
        <x:v>江门</x:v>
      </x:c>
      <x:c r="C550" s="24" t="n">
        <x:v>113.0761073</x:v>
      </x:c>
      <x:c r="D550" s="24" t="n">
        <x:v>22.5816619</x:v>
      </x:c>
      <x:c r="E550" s="17" t="str">
        <x:v>C06</x:v>
      </x:c>
      <x:c r="F550" s="17" t="str">
        <x:v>韶关虚拟回收/检测中心</x:v>
      </x:c>
      <x:c r="G550" s="17" t="str">
        <x:v>回收中心候选</x:v>
      </x:c>
      <x:c r="H550" s="24" t="n">
        <x:v>113.8155263</x:v>
      </x:c>
      <x:c r="I550" s="24" t="n">
        <x:v>24.8309489</x:v>
      </x:c>
      <x:c r="J550" s="21" t="n">
        <x:f>6371*ACOS(MIN(1,COS(D550*PI()/180)*COS(I550*PI()/180)*COS((H550-C550)*PI()/180)+SIN(D550*PI()/180)*SIN(I550*PI()/180)))</x:f>
        <x:v>261.1912194278549</x:v>
      </x:c>
      <x:c r="K550" s="21" t="n">
        <x:f>'情景参数模板'!$D$31</x:f>
        <x:v>1.2</x:v>
      </x:c>
      <x:c r="L550" s="21" t="n">
        <x:f>J550*K550</x:f>
        <x:v>313.42946331342586</x:v>
      </x:c>
    </x:row>
    <x:row r="551">
      <x:c r="A551" s="17" t="str">
        <x:v>GD13</x:v>
      </x:c>
      <x:c r="B551" s="17" t="str">
        <x:v>江门</x:v>
      </x:c>
      <x:c r="C551" s="24" t="n">
        <x:v>113.0761073</x:v>
      </x:c>
      <x:c r="D551" s="24" t="n">
        <x:v>22.5816619</x:v>
      </x:c>
      <x:c r="E551" s="17" t="str">
        <x:v>C07</x:v>
      </x:c>
      <x:c r="F551" s="17" t="str">
        <x:v>河源虚拟回收/检测中心</x:v>
      </x:c>
      <x:c r="G551" s="17" t="str">
        <x:v>回收中心候选</x:v>
      </x:c>
      <x:c r="H551" s="24" t="n">
        <x:v>115.0577538</x:v>
      </x:c>
      <x:c r="I551" s="24" t="n">
        <x:v>24.1014769</x:v>
      </x:c>
      <x:c r="J551" s="21" t="n">
        <x:f>6371*ACOS(MIN(1,COS(D551*PI()/180)*COS(I551*PI()/180)*COS((H551-C551)*PI()/180)+SIN(D551*PI()/180)*SIN(I551*PI()/180)))</x:f>
        <x:v>263.603352392746</x:v>
      </x:c>
      <x:c r="K551" s="21" t="n">
        <x:f>'情景参数模板'!$D$31</x:f>
        <x:v>1.2</x:v>
      </x:c>
      <x:c r="L551" s="21" t="n">
        <x:f>J551*K551</x:f>
        <x:v>316.3240228712952</x:v>
      </x:c>
    </x:row>
    <x:row r="552">
      <x:c r="A552" s="17" t="str">
        <x:v>GD13</x:v>
      </x:c>
      <x:c r="B552" s="17" t="str">
        <x:v>江门</x:v>
      </x:c>
      <x:c r="C552" s="24" t="n">
        <x:v>113.0761073</x:v>
      </x:c>
      <x:c r="D552" s="24" t="n">
        <x:v>22.5816619</x:v>
      </x:c>
      <x:c r="E552" s="17" t="str">
        <x:v>C08</x:v>
      </x:c>
      <x:c r="F552" s="17" t="str">
        <x:v>梅州虚拟回收/检测中心</x:v>
      </x:c>
      <x:c r="G552" s="17" t="str">
        <x:v>回收中心候选</x:v>
      </x:c>
      <x:c r="H552" s="24" t="n">
        <x:v>116.1171428</x:v>
      </x:c>
      <x:c r="I552" s="24" t="n">
        <x:v>24.2918414</x:v>
      </x:c>
      <x:c r="J552" s="21" t="n">
        <x:f>6371*ACOS(MIN(1,COS(D552*PI()/180)*COS(I552*PI()/180)*COS((H552-C552)*PI()/180)+SIN(D552*PI()/180)*SIN(I552*PI()/180)))</x:f>
        <x:v>363.8717509049327</x:v>
      </x:c>
      <x:c r="K552" s="21" t="n">
        <x:f>'情景参数模板'!$D$31</x:f>
        <x:v>1.2</x:v>
      </x:c>
      <x:c r="L552" s="21" t="n">
        <x:f>J552*K552</x:f>
        <x:v>436.6461010859192</x:v>
      </x:c>
    </x:row>
    <x:row r="553">
      <x:c r="A553" s="17" t="str">
        <x:v>GD13</x:v>
      </x:c>
      <x:c r="B553" s="17" t="str">
        <x:v>江门</x:v>
      </x:c>
      <x:c r="C553" s="24" t="n">
        <x:v>113.0761073</x:v>
      </x:c>
      <x:c r="D553" s="24" t="n">
        <x:v>22.5816619</x:v>
      </x:c>
      <x:c r="E553" s="17" t="str">
        <x:v>C09</x:v>
      </x:c>
      <x:c r="F553" s="17" t="str">
        <x:v>惠州虚拟回收/检测中心</x:v>
      </x:c>
      <x:c r="G553" s="17" t="str">
        <x:v>回收中心候选</x:v>
      </x:c>
      <x:c r="H553" s="24" t="n">
        <x:v>114.4127007</x:v>
      </x:c>
      <x:c r="I553" s="24" t="n">
        <x:v>23.1125153</x:v>
      </x:c>
      <x:c r="J553" s="21" t="n">
        <x:f>6371*ACOS(MIN(1,COS(D553*PI()/180)*COS(I553*PI()/180)*COS((H553-C553)*PI()/180)+SIN(D553*PI()/180)*SIN(I553*PI()/180)))</x:f>
        <x:v>149.1396078501504</x:v>
      </x:c>
      <x:c r="K553" s="21" t="n">
        <x:f>'情景参数模板'!$D$31</x:f>
        <x:v>1.2</x:v>
      </x:c>
      <x:c r="L553" s="21" t="n">
        <x:f>J553*K553</x:f>
        <x:v>178.96752942018048</x:v>
      </x:c>
    </x:row>
    <x:row r="554">
      <x:c r="A554" s="17" t="str">
        <x:v>GD13</x:v>
      </x:c>
      <x:c r="B554" s="17" t="str">
        <x:v>江门</x:v>
      </x:c>
      <x:c r="C554" s="24" t="n">
        <x:v>113.0761073</x:v>
      </x:c>
      <x:c r="D554" s="24" t="n">
        <x:v>22.5816619</x:v>
      </x:c>
      <x:c r="E554" s="17" t="str">
        <x:v>C10</x:v>
      </x:c>
      <x:c r="F554" s="17" t="str">
        <x:v>汕尾虚拟回收/检测中心</x:v>
      </x:c>
      <x:c r="G554" s="17" t="str">
        <x:v>回收中心候选</x:v>
      </x:c>
      <x:c r="H554" s="24" t="n">
        <x:v>115.5099937</x:v>
      </x:c>
      <x:c r="I554" s="24" t="n">
        <x:v>23.0123639</x:v>
      </x:c>
      <x:c r="J554" s="21" t="n">
        <x:f>6371*ACOS(MIN(1,COS(D554*PI()/180)*COS(I554*PI()/180)*COS((H554-C554)*PI()/180)+SIN(D554*PI()/180)*SIN(I554*PI()/180)))</x:f>
        <x:v>254.0459836486194</x:v>
      </x:c>
      <x:c r="K554" s="21" t="n">
        <x:f>'情景参数模板'!$D$31</x:f>
        <x:v>1.2</x:v>
      </x:c>
      <x:c r="L554" s="21" t="n">
        <x:f>J554*K554</x:f>
        <x:v>304.8551803783433</x:v>
      </x:c>
    </x:row>
    <x:row r="555">
      <x:c r="A555" s="17" t="str">
        <x:v>GD13</x:v>
      </x:c>
      <x:c r="B555" s="17" t="str">
        <x:v>江门</x:v>
      </x:c>
      <x:c r="C555" s="24" t="n">
        <x:v>113.0761073</x:v>
      </x:c>
      <x:c r="D555" s="24" t="n">
        <x:v>22.5816619</x:v>
      </x:c>
      <x:c r="E555" s="17" t="str">
        <x:v>C11</x:v>
      </x:c>
      <x:c r="F555" s="17" t="str">
        <x:v>东莞虚拟回收/检测中心</x:v>
      </x:c>
      <x:c r="G555" s="17" t="str">
        <x:v>回收中心候选</x:v>
      </x:c>
      <x:c r="H555" s="24" t="n">
        <x:v>113.7452332</x:v>
      </x:c>
      <x:c r="I555" s="24" t="n">
        <x:v>23.0183568</x:v>
      </x:c>
      <x:c r="J555" s="21" t="n">
        <x:f>6371*ACOS(MIN(1,COS(D555*PI()/180)*COS(I555*PI()/180)*COS((H555-C555)*PI()/180)+SIN(D555*PI()/180)*SIN(I555*PI()/180)))</x:f>
        <x:v>84.0381800487033</x:v>
      </x:c>
      <x:c r="K555" s="21" t="n">
        <x:f>'情景参数模板'!$D$31</x:f>
        <x:v>1.2</x:v>
      </x:c>
      <x:c r="L555" s="21" t="n">
        <x:f>J555*K555</x:f>
        <x:v>100.84581605844396</x:v>
      </x:c>
    </x:row>
    <x:row r="556">
      <x:c r="A556" s="17" t="str">
        <x:v>GD13</x:v>
      </x:c>
      <x:c r="B556" s="17" t="str">
        <x:v>江门</x:v>
      </x:c>
      <x:c r="C556" s="24" t="n">
        <x:v>113.0761073</x:v>
      </x:c>
      <x:c r="D556" s="24" t="n">
        <x:v>22.5816619</x:v>
      </x:c>
      <x:c r="E556" s="17" t="str">
        <x:v>C12</x:v>
      </x:c>
      <x:c r="F556" s="17" t="str">
        <x:v>中山虚拟回收/检测中心</x:v>
      </x:c>
      <x:c r="G556" s="17" t="str">
        <x:v>回收中心候选</x:v>
      </x:c>
      <x:c r="H556" s="24" t="n">
        <x:v>113.3872302</x:v>
      </x:c>
      <x:c r="I556" s="24" t="n">
        <x:v>22.5197073</x:v>
      </x:c>
      <x:c r="J556" s="21" t="n">
        <x:f>6371*ACOS(MIN(1,COS(D556*PI()/180)*COS(I556*PI()/180)*COS((H556-C556)*PI()/180)+SIN(D556*PI()/180)*SIN(I556*PI()/180)))</x:f>
        <x:v>32.6844105535489</x:v>
      </x:c>
      <x:c r="K556" s="21" t="n">
        <x:f>'情景参数模板'!$D$31</x:f>
        <x:v>1.2</x:v>
      </x:c>
      <x:c r="L556" s="21" t="n">
        <x:f>J556*K556</x:f>
        <x:v>39.22129266425868</x:v>
      </x:c>
    </x:row>
    <x:row r="557">
      <x:c r="A557" s="17" t="str">
        <x:v>GD13</x:v>
      </x:c>
      <x:c r="B557" s="17" t="str">
        <x:v>江门</x:v>
      </x:c>
      <x:c r="C557" s="24" t="n">
        <x:v>113.0761073</x:v>
      </x:c>
      <x:c r="D557" s="24" t="n">
        <x:v>22.5816619</x:v>
      </x:c>
      <x:c r="E557" s="17" t="str">
        <x:v>C13</x:v>
      </x:c>
      <x:c r="F557" s="17" t="str">
        <x:v>江门虚拟回收/检测中心</x:v>
      </x:c>
      <x:c r="G557" s="17" t="str">
        <x:v>回收中心候选</x:v>
      </x:c>
      <x:c r="H557" s="24" t="n">
        <x:v>113.0761073</x:v>
      </x:c>
      <x:c r="I557" s="24" t="n">
        <x:v>22.5816619</x:v>
      </x:c>
      <x:c r="J557" s="21" t="n">
        <x:f>6371*ACOS(MIN(1,COS(D557*PI()/180)*COS(I557*PI()/180)*COS((H557-C557)*PI()/180)+SIN(D557*PI()/180)*SIN(I557*PI()/180)))</x:f>
        <x:v>0</x:v>
      </x:c>
      <x:c r="K557" s="21" t="n">
        <x:f>'情景参数模板'!$D$31</x:f>
        <x:v>1.2</x:v>
      </x:c>
      <x:c r="L557" s="21" t="n">
        <x:f>J557*K557</x:f>
        <x:v>0</x:v>
      </x:c>
    </x:row>
    <x:row r="558">
      <x:c r="A558" s="17" t="str">
        <x:v>GD13</x:v>
      </x:c>
      <x:c r="B558" s="17" t="str">
        <x:v>江门</x:v>
      </x:c>
      <x:c r="C558" s="24" t="n">
        <x:v>113.0761073</x:v>
      </x:c>
      <x:c r="D558" s="24" t="n">
        <x:v>22.5816619</x:v>
      </x:c>
      <x:c r="E558" s="17" t="str">
        <x:v>C14</x:v>
      </x:c>
      <x:c r="F558" s="17" t="str">
        <x:v>阳江虚拟回收/检测中心</x:v>
      </x:c>
      <x:c r="G558" s="17" t="str">
        <x:v>回收中心候选</x:v>
      </x:c>
      <x:c r="H558" s="24" t="n">
        <x:v>111.7831393</x:v>
      </x:c>
      <x:c r="I558" s="24" t="n">
        <x:v>22.0958223</x:v>
      </x:c>
      <x:c r="J558" s="21" t="n">
        <x:f>6371*ACOS(MIN(1,COS(D558*PI()/180)*COS(I558*PI()/180)*COS((H558-C558)*PI()/180)+SIN(D558*PI()/180)*SIN(I558*PI()/180)))</x:f>
        <x:v>143.53528753193643</x:v>
      </x:c>
      <x:c r="K558" s="21" t="n">
        <x:f>'情景参数模板'!$D$31</x:f>
        <x:v>1.2</x:v>
      </x:c>
      <x:c r="L558" s="21" t="n">
        <x:f>J558*K558</x:f>
        <x:v>172.24234503832372</x:v>
      </x:c>
    </x:row>
    <x:row r="559">
      <x:c r="A559" s="17" t="str">
        <x:v>GD13</x:v>
      </x:c>
      <x:c r="B559" s="17" t="str">
        <x:v>江门</x:v>
      </x:c>
      <x:c r="C559" s="24" t="n">
        <x:v>113.0761073</x:v>
      </x:c>
      <x:c r="D559" s="24" t="n">
        <x:v>22.5816619</x:v>
      </x:c>
      <x:c r="E559" s="17" t="str">
        <x:v>C15</x:v>
      </x:c>
      <x:c r="F559" s="17" t="str">
        <x:v>湛江虚拟回收/检测中心</x:v>
      </x:c>
      <x:c r="G559" s="17" t="str">
        <x:v>回收中心候选</x:v>
      </x:c>
      <x:c r="H559" s="24" t="n">
        <x:v>110.3548318</x:v>
      </x:c>
      <x:c r="I559" s="24" t="n">
        <x:v>21.2737079</x:v>
      </x:c>
      <x:c r="J559" s="21" t="n">
        <x:f>6371*ACOS(MIN(1,COS(D559*PI()/180)*COS(I559*PI()/180)*COS((H559-C559)*PI()/180)+SIN(D559*PI()/180)*SIN(I559*PI()/180)))</x:f>
        <x:v>316.1300829743287</x:v>
      </x:c>
      <x:c r="K559" s="21" t="n">
        <x:f>'情景参数模板'!$D$31</x:f>
        <x:v>1.2</x:v>
      </x:c>
      <x:c r="L559" s="21" t="n">
        <x:f>J559*K559</x:f>
        <x:v>379.3560995691944</x:v>
      </x:c>
    </x:row>
    <x:row r="560">
      <x:c r="A560" s="17" t="str">
        <x:v>GD13</x:v>
      </x:c>
      <x:c r="B560" s="17" t="str">
        <x:v>江门</x:v>
      </x:c>
      <x:c r="C560" s="24" t="n">
        <x:v>113.0761073</x:v>
      </x:c>
      <x:c r="D560" s="24" t="n">
        <x:v>22.5816619</x:v>
      </x:c>
      <x:c r="E560" s="17" t="str">
        <x:v>C16</x:v>
      </x:c>
      <x:c r="F560" s="17" t="str">
        <x:v>茂名虚拟回收/检测中心</x:v>
      </x:c>
      <x:c r="G560" s="17" t="str">
        <x:v>回收中心候选</x:v>
      </x:c>
      <x:c r="H560" s="24" t="n">
        <x:v>110.9209511</x:v>
      </x:c>
      <x:c r="I560" s="24" t="n">
        <x:v>21.6656961</x:v>
      </x:c>
      <x:c r="J560" s="21" t="n">
        <x:f>6371*ACOS(MIN(1,COS(D560*PI()/180)*COS(I560*PI()/180)*COS((H560-C560)*PI()/180)+SIN(D560*PI()/180)*SIN(I560*PI()/180)))</x:f>
        <x:v>244.2425541235698</x:v>
      </x:c>
      <x:c r="K560" s="21" t="n">
        <x:f>'情景参数模板'!$D$31</x:f>
        <x:v>1.2</x:v>
      </x:c>
      <x:c r="L560" s="21" t="n">
        <x:f>J560*K560</x:f>
        <x:v>293.09106494828376</x:v>
      </x:c>
    </x:row>
    <x:row r="561">
      <x:c r="A561" s="17" t="str">
        <x:v>GD13</x:v>
      </x:c>
      <x:c r="B561" s="17" t="str">
        <x:v>江门</x:v>
      </x:c>
      <x:c r="C561" s="24" t="n">
        <x:v>113.0761073</x:v>
      </x:c>
      <x:c r="D561" s="24" t="n">
        <x:v>22.5816619</x:v>
      </x:c>
      <x:c r="E561" s="17" t="str">
        <x:v>C17</x:v>
      </x:c>
      <x:c r="F561" s="17" t="str">
        <x:v>肇庆虚拟回收/检测中心</x:v>
      </x:c>
      <x:c r="G561" s="17" t="str">
        <x:v>回收中心候选</x:v>
      </x:c>
      <x:c r="H561" s="24" t="n">
        <x:v>112.4603629</x:v>
      </x:c>
      <x:c r="I561" s="24" t="n">
        <x:v>23.0501661</x:v>
      </x:c>
      <x:c r="J561" s="21" t="n">
        <x:f>6371*ACOS(MIN(1,COS(D561*PI()/180)*COS(I561*PI()/180)*COS((H561-C561)*PI()/180)+SIN(D561*PI()/180)*SIN(I561*PI()/180)))</x:f>
        <x:v>81.8340180596413</x:v>
      </x:c>
      <x:c r="K561" s="21" t="n">
        <x:f>'情景参数模板'!$D$31</x:f>
        <x:v>1.2</x:v>
      </x:c>
      <x:c r="L561" s="21" t="n">
        <x:f>J561*K561</x:f>
        <x:v>98.20082167156956</x:v>
      </x:c>
    </x:row>
    <x:row r="562">
      <x:c r="A562" s="17" t="str">
        <x:v>GD13</x:v>
      </x:c>
      <x:c r="B562" s="17" t="str">
        <x:v>江门</x:v>
      </x:c>
      <x:c r="C562" s="24" t="n">
        <x:v>113.0761073</x:v>
      </x:c>
      <x:c r="D562" s="24" t="n">
        <x:v>22.5816619</x:v>
      </x:c>
      <x:c r="E562" s="17" t="str">
        <x:v>C18</x:v>
      </x:c>
      <x:c r="F562" s="17" t="str">
        <x:v>清远虚拟回收/检测中心</x:v>
      </x:c>
      <x:c r="G562" s="17" t="str">
        <x:v>回收中心候选</x:v>
      </x:c>
      <x:c r="H562" s="24" t="n">
        <x:v>113.0505994</x:v>
      </x:c>
      <x:c r="I562" s="24" t="n">
        <x:v>23.6832984</x:v>
      </x:c>
      <x:c r="J562" s="21" t="n">
        <x:f>6371*ACOS(MIN(1,COS(D562*PI()/180)*COS(I562*PI()/180)*COS((H562-C562)*PI()/180)+SIN(D562*PI()/180)*SIN(I562*PI()/180)))</x:f>
        <x:v>122.52415451208954</x:v>
      </x:c>
      <x:c r="K562" s="21" t="n">
        <x:f>'情景参数模板'!$D$31</x:f>
        <x:v>1.2</x:v>
      </x:c>
      <x:c r="L562" s="21" t="n">
        <x:f>J562*K562</x:f>
        <x:v>147.02898541450745</x:v>
      </x:c>
    </x:row>
    <x:row r="563">
      <x:c r="A563" s="17" t="str">
        <x:v>GD13</x:v>
      </x:c>
      <x:c r="B563" s="17" t="str">
        <x:v>江门</x:v>
      </x:c>
      <x:c r="C563" s="24" t="n">
        <x:v>113.0761073</x:v>
      </x:c>
      <x:c r="D563" s="24" t="n">
        <x:v>22.5816619</x:v>
      </x:c>
      <x:c r="E563" s="17" t="str">
        <x:v>C19</x:v>
      </x:c>
      <x:c r="F563" s="17" t="str">
        <x:v>潮州虚拟回收/检测中心</x:v>
      </x:c>
      <x:c r="G563" s="17" t="str">
        <x:v>回收中心候选</x:v>
      </x:c>
      <x:c r="H563" s="24" t="n">
        <x:v>116.6204223</x:v>
      </x:c>
      <x:c r="I563" s="24" t="n">
        <x:v>23.656593</x:v>
      </x:c>
      <x:c r="J563" s="21" t="n">
        <x:f>6371*ACOS(MIN(1,COS(D563*PI()/180)*COS(I563*PI()/180)*COS((H563-C563)*PI()/180)+SIN(D563*PI()/180)*SIN(I563*PI()/180)))</x:f>
        <x:v>381.64228200755093</x:v>
      </x:c>
      <x:c r="K563" s="21" t="n">
        <x:f>'情景参数模板'!$D$31</x:f>
        <x:v>1.2</x:v>
      </x:c>
      <x:c r="L563" s="21" t="n">
        <x:f>J563*K563</x:f>
        <x:v>457.9707384090611</x:v>
      </x:c>
    </x:row>
    <x:row r="564">
      <x:c r="A564" s="17" t="str">
        <x:v>GD13</x:v>
      </x:c>
      <x:c r="B564" s="17" t="str">
        <x:v>江门</x:v>
      </x:c>
      <x:c r="C564" s="24" t="n">
        <x:v>113.0761073</x:v>
      </x:c>
      <x:c r="D564" s="24" t="n">
        <x:v>22.5816619</x:v>
      </x:c>
      <x:c r="E564" s="17" t="str">
        <x:v>C20</x:v>
      </x:c>
      <x:c r="F564" s="17" t="str">
        <x:v>揭阳虚拟回收/检测中心</x:v>
      </x:c>
      <x:c r="G564" s="17" t="str">
        <x:v>回收中心候选</x:v>
      </x:c>
      <x:c r="H564" s="24" t="n">
        <x:v>116.3680354</x:v>
      </x:c>
      <x:c r="I564" s="24" t="n">
        <x:v>23.553156</x:v>
      </x:c>
      <x:c r="J564" s="21" t="n">
        <x:f>6371*ACOS(MIN(1,COS(D564*PI()/180)*COS(I564*PI()/180)*COS((H564-C564)*PI()/180)+SIN(D564*PI()/180)*SIN(I564*PI()/180)))</x:f>
        <x:v>353.6666681995238</x:v>
      </x:c>
      <x:c r="K564" s="21" t="n">
        <x:f>'情景参数模板'!$D$31</x:f>
        <x:v>1.2</x:v>
      </x:c>
      <x:c r="L564" s="21" t="n">
        <x:f>J564*K564</x:f>
        <x:v>424.40000183942857</x:v>
      </x:c>
    </x:row>
    <x:row r="565">
      <x:c r="A565" s="17" t="str">
        <x:v>GD13</x:v>
      </x:c>
      <x:c r="B565" s="17" t="str">
        <x:v>江门</x:v>
      </x:c>
      <x:c r="C565" s="24" t="n">
        <x:v>113.0761073</x:v>
      </x:c>
      <x:c r="D565" s="24" t="n">
        <x:v>22.5816619</x:v>
      </x:c>
      <x:c r="E565" s="17" t="str">
        <x:v>C21</x:v>
      </x:c>
      <x:c r="F565" s="17" t="str">
        <x:v>云浮虚拟回收/检测中心</x:v>
      </x:c>
      <x:c r="G565" s="17" t="str">
        <x:v>回收中心候选</x:v>
      </x:c>
      <x:c r="H565" s="24" t="n">
        <x:v>111.8078586</x:v>
      </x:c>
      <x:c r="I565" s="24" t="n">
        <x:v>22.8546663</x:v>
      </x:c>
      <x:c r="J565" s="21" t="n">
        <x:f>6371*ACOS(MIN(1,COS(D565*PI()/180)*COS(I565*PI()/180)*COS((H565-C565)*PI()/180)+SIN(D565*PI()/180)*SIN(I565*PI()/180)))</x:f>
        <x:v>133.57625928884747</x:v>
      </x:c>
      <x:c r="K565" s="21" t="n">
        <x:f>'情景参数模板'!$D$31</x:f>
        <x:v>1.2</x:v>
      </x:c>
      <x:c r="L565" s="21" t="n">
        <x:f>J565*K565</x:f>
        <x:v>160.29151114661695</x:v>
      </x:c>
    </x:row>
    <x:row r="566">
      <x:c r="A566" s="17" t="str">
        <x:v>GD13</x:v>
      </x:c>
      <x:c r="B566" s="17" t="str">
        <x:v>江门</x:v>
      </x:c>
      <x:c r="C566" s="24" t="n">
        <x:v>113.0761073</x:v>
      </x:c>
      <x:c r="D566" s="24" t="n">
        <x:v>22.5816619</x:v>
      </x:c>
      <x:c r="E566" s="17" t="str">
        <x:v>P01</x:v>
      </x:c>
      <x:c r="F566" s="17" t="str">
        <x:v>汕尾比亚迪废旧动力电池回收项目</x:v>
      </x:c>
      <x:c r="G566" s="17" t="str">
        <x:v>再生利用</x:v>
      </x:c>
      <x:c r="H566" s="24" t="n">
        <x:v>115.3492668</x:v>
      </x:c>
      <x:c r="I566" s="24" t="n">
        <x:v>22.838065</x:v>
      </x:c>
      <x:c r="J566" s="21" t="n">
        <x:f>6371*ACOS(MIN(1,COS(D566*PI()/180)*COS(I566*PI()/180)*COS((H566-C566)*PI()/180)+SIN(D566*PI()/180)*SIN(I566*PI()/180)))</x:f>
        <x:v>234.90150188290707</x:v>
      </x:c>
      <x:c r="K566" s="21" t="n">
        <x:f>'情景参数模板'!$D$31</x:f>
        <x:v>1.2</x:v>
      </x:c>
      <x:c r="L566" s="21" t="n">
        <x:f>J566*K566</x:f>
        <x:v>281.8818022594885</x:v>
      </x:c>
    </x:row>
    <x:row r="567">
      <x:c r="A567" s="17" t="str">
        <x:v>GD13</x:v>
      </x:c>
      <x:c r="B567" s="17" t="str">
        <x:v>江门</x:v>
      </x:c>
      <x:c r="C567" s="24" t="n">
        <x:v>113.0761073</x:v>
      </x:c>
      <x:c r="D567" s="24" t="n">
        <x:v>22.5816619</x:v>
      </x:c>
      <x:c r="E567" s="17" t="str">
        <x:v>P02E</x:v>
      </x:c>
      <x:c r="F567" s="17" t="str">
        <x:v>广东光华科技股份有限公司（梯次功能）</x:v>
      </x:c>
      <x:c r="G567" s="17" t="str">
        <x:v>梯次利用</x:v>
      </x:c>
      <x:c r="H567" s="24" t="n">
        <x:v>116.6775856</x:v>
      </x:c>
      <x:c r="I567" s="24" t="n">
        <x:v>23.3563921</x:v>
      </x:c>
      <x:c r="J567" s="21" t="n">
        <x:f>6371*ACOS(MIN(1,COS(D567*PI()/180)*COS(I567*PI()/180)*COS((H567-C567)*PI()/180)+SIN(D567*PI()/180)*SIN(I567*PI()/180)))</x:f>
        <x:v>378.6321234404451</x:v>
      </x:c>
      <x:c r="K567" s="21" t="n">
        <x:f>'情景参数模板'!$D$31</x:f>
        <x:v>1.2</x:v>
      </x:c>
      <x:c r="L567" s="21" t="n">
        <x:f>J567*K567</x:f>
        <x:v>454.35854812853415</x:v>
      </x:c>
    </x:row>
    <x:row r="568">
      <x:c r="A568" s="17" t="str">
        <x:v>GD13</x:v>
      </x:c>
      <x:c r="B568" s="17" t="str">
        <x:v>江门</x:v>
      </x:c>
      <x:c r="C568" s="24" t="n">
        <x:v>113.0761073</x:v>
      </x:c>
      <x:c r="D568" s="24" t="n">
        <x:v>22.5816619</x:v>
      </x:c>
      <x:c r="E568" s="17" t="str">
        <x:v>P02R</x:v>
      </x:c>
      <x:c r="F568" s="17" t="str">
        <x:v>广东光华科技股份有限公司（再生功能）</x:v>
      </x:c>
      <x:c r="G568" s="17" t="str">
        <x:v>再生利用</x:v>
      </x:c>
      <x:c r="H568" s="24" t="n">
        <x:v>116.6775856</x:v>
      </x:c>
      <x:c r="I568" s="24" t="n">
        <x:v>23.3563921</x:v>
      </x:c>
      <x:c r="J568" s="21" t="n">
        <x:f>6371*ACOS(MIN(1,COS(D568*PI()/180)*COS(I568*PI()/180)*COS((H568-C568)*PI()/180)+SIN(D568*PI()/180)*SIN(I568*PI()/180)))</x:f>
        <x:v>378.6321234404451</x:v>
      </x:c>
      <x:c r="K568" s="21" t="n">
        <x:f>'情景参数模板'!$D$31</x:f>
        <x:v>1.2</x:v>
      </x:c>
      <x:c r="L568" s="21" t="n">
        <x:f>J568*K568</x:f>
        <x:v>454.35854812853415</x:v>
      </x:c>
    </x:row>
    <x:row r="569">
      <x:c r="A569" s="17" t="str">
        <x:v>GD13</x:v>
      </x:c>
      <x:c r="B569" s="17" t="str">
        <x:v>江门</x:v>
      </x:c>
      <x:c r="C569" s="24" t="n">
        <x:v>113.0761073</x:v>
      </x:c>
      <x:c r="D569" s="24" t="n">
        <x:v>22.5816619</x:v>
      </x:c>
      <x:c r="E569" s="17" t="str">
        <x:v>P03</x:v>
      </x:c>
      <x:c r="F569" s="17" t="str">
        <x:v>深圳深汕特别合作区乾泰技术有限公司</x:v>
      </x:c>
      <x:c r="G569" s="17" t="str">
        <x:v>梯次利用</x:v>
      </x:c>
      <x:c r="H569" s="24" t="n">
        <x:v>115.5099937</x:v>
      </x:c>
      <x:c r="I569" s="24" t="n">
        <x:v>23.0123639</x:v>
      </x:c>
      <x:c r="J569" s="21" t="n">
        <x:f>6371*ACOS(MIN(1,COS(D569*PI()/180)*COS(I569*PI()/180)*COS((H569-C569)*PI()/180)+SIN(D569*PI()/180)*SIN(I569*PI()/180)))</x:f>
        <x:v>254.0459836486194</x:v>
      </x:c>
      <x:c r="K569" s="21" t="n">
        <x:f>'情景参数模板'!$D$31</x:f>
        <x:v>1.2</x:v>
      </x:c>
      <x:c r="L569" s="21" t="n">
        <x:f>J569*K569</x:f>
        <x:v>304.8551803783433</x:v>
      </x:c>
    </x:row>
    <x:row r="570">
      <x:c r="A570" s="17" t="str">
        <x:v>GD13</x:v>
      </x:c>
      <x:c r="B570" s="17" t="str">
        <x:v>江门</x:v>
      </x:c>
      <x:c r="C570" s="24" t="n">
        <x:v>113.0761073</x:v>
      </x:c>
      <x:c r="D570" s="24" t="n">
        <x:v>22.5816619</x:v>
      </x:c>
      <x:c r="E570" s="17" t="str">
        <x:v>P04</x:v>
      </x:c>
      <x:c r="F570" s="17" t="str">
        <x:v>珠海中力新能源科技有限公司</x:v>
      </x:c>
      <x:c r="G570" s="17" t="str">
        <x:v>梯次利用</x:v>
      </x:c>
      <x:c r="H570" s="24" t="n">
        <x:v>113.5721327</x:v>
      </x:c>
      <x:c r="I570" s="24" t="n">
        <x:v>22.273734</x:v>
      </x:c>
      <x:c r="J570" s="21" t="n">
        <x:f>6371*ACOS(MIN(1,COS(D570*PI()/180)*COS(I570*PI()/180)*COS((H570-C570)*PI()/180)+SIN(D570*PI()/180)*SIN(I570*PI()/180)))</x:f>
        <x:v>61.4141569491265</x:v>
      </x:c>
      <x:c r="K570" s="21" t="n">
        <x:f>'情景参数模板'!$D$31</x:f>
        <x:v>1.2</x:v>
      </x:c>
      <x:c r="L570" s="21" t="n">
        <x:f>J570*K570</x:f>
        <x:v>73.6969883389518</x:v>
      </x:c>
    </x:row>
    <x:row r="571">
      <x:c r="A571" s="17" t="str">
        <x:v>GD13</x:v>
      </x:c>
      <x:c r="B571" s="17" t="str">
        <x:v>江门</x:v>
      </x:c>
      <x:c r="C571" s="24" t="n">
        <x:v>113.0761073</x:v>
      </x:c>
      <x:c r="D571" s="24" t="n">
        <x:v>22.5816619</x:v>
      </x:c>
      <x:c r="E571" s="17" t="str">
        <x:v>P05</x:v>
      </x:c>
      <x:c r="F571" s="17" t="str">
        <x:v>惠州市恒创睿能环保科技有限公司</x:v>
      </x:c>
      <x:c r="G571" s="17" t="str">
        <x:v>梯次利用</x:v>
      </x:c>
      <x:c r="H571" s="24" t="n">
        <x:v>114.4127007</x:v>
      </x:c>
      <x:c r="I571" s="24" t="n">
        <x:v>23.1125153</x:v>
      </x:c>
      <x:c r="J571" s="21" t="n">
        <x:f>6371*ACOS(MIN(1,COS(D571*PI()/180)*COS(I571*PI()/180)*COS((H571-C571)*PI()/180)+SIN(D571*PI()/180)*SIN(I571*PI()/180)))</x:f>
        <x:v>149.1396078501504</x:v>
      </x:c>
      <x:c r="K571" s="21" t="n">
        <x:f>'情景参数模板'!$D$31</x:f>
        <x:v>1.2</x:v>
      </x:c>
      <x:c r="L571" s="21" t="n">
        <x:f>J571*K571</x:f>
        <x:v>178.96752942018048</x:v>
      </x:c>
    </x:row>
    <x:row r="572">
      <x:c r="A572" s="17" t="str">
        <x:v>GD13</x:v>
      </x:c>
      <x:c r="B572" s="17" t="str">
        <x:v>江门</x:v>
      </x:c>
      <x:c r="C572" s="24" t="n">
        <x:v>113.0761073</x:v>
      </x:c>
      <x:c r="D572" s="24" t="n">
        <x:v>22.5816619</x:v>
      </x:c>
      <x:c r="E572" s="17" t="str">
        <x:v>P06</x:v>
      </x:c>
      <x:c r="F572" s="17" t="str">
        <x:v>江门市朗达锂电池有限公司</x:v>
      </x:c>
      <x:c r="G572" s="17" t="str">
        <x:v>梯次利用</x:v>
      </x:c>
      <x:c r="H572" s="24" t="n">
        <x:v>113.0761073</x:v>
      </x:c>
      <x:c r="I572" s="24" t="n">
        <x:v>22.5816619</x:v>
      </x:c>
      <x:c r="J572" s="21" t="n">
        <x:f>6371*ACOS(MIN(1,COS(D572*PI()/180)*COS(I572*PI()/180)*COS((H572-C572)*PI()/180)+SIN(D572*PI()/180)*SIN(I572*PI()/180)))</x:f>
        <x:v>0</x:v>
      </x:c>
      <x:c r="K572" s="21" t="n">
        <x:f>'情景参数模板'!$D$31</x:f>
        <x:v>1.2</x:v>
      </x:c>
      <x:c r="L572" s="21" t="n">
        <x:f>J572*K572</x:f>
        <x:v>0</x:v>
      </x:c>
    </x:row>
    <x:row r="573">
      <x:c r="A573" s="17" t="str">
        <x:v>GD13</x:v>
      </x:c>
      <x:c r="B573" s="17" t="str">
        <x:v>江门</x:v>
      </x:c>
      <x:c r="C573" s="24" t="n">
        <x:v>113.0761073</x:v>
      </x:c>
      <x:c r="D573" s="24" t="n">
        <x:v>22.5816619</x:v>
      </x:c>
      <x:c r="E573" s="17" t="str">
        <x:v>P07</x:v>
      </x:c>
      <x:c r="F573" s="17" t="str">
        <x:v>广东迪度新能源有限公司</x:v>
      </x:c>
      <x:c r="G573" s="17" t="str">
        <x:v>梯次利用</x:v>
      </x:c>
      <x:c r="H573" s="24" t="n">
        <x:v>113.7452332</x:v>
      </x:c>
      <x:c r="I573" s="24" t="n">
        <x:v>23.0183568</x:v>
      </x:c>
      <x:c r="J573" s="21" t="n">
        <x:f>6371*ACOS(MIN(1,COS(D573*PI()/180)*COS(I573*PI()/180)*COS((H573-C573)*PI()/180)+SIN(D573*PI()/180)*SIN(I573*PI()/180)))</x:f>
        <x:v>84.0381800487033</x:v>
      </x:c>
      <x:c r="K573" s="21" t="n">
        <x:f>'情景参数模板'!$D$31</x:f>
        <x:v>1.2</x:v>
      </x:c>
      <x:c r="L573" s="21" t="n">
        <x:f>J573*K573</x:f>
        <x:v>100.84581605844396</x:v>
      </x:c>
    </x:row>
    <x:row r="574">
      <x:c r="A574" s="17" t="str">
        <x:v>GD13</x:v>
      </x:c>
      <x:c r="B574" s="17" t="str">
        <x:v>江门</x:v>
      </x:c>
      <x:c r="C574" s="24" t="n">
        <x:v>113.0761073</x:v>
      </x:c>
      <x:c r="D574" s="24" t="n">
        <x:v>22.5816619</x:v>
      </x:c>
      <x:c r="E574" s="17" t="str">
        <x:v>P08</x:v>
      </x:c>
      <x:c r="F574" s="17" t="str">
        <x:v>东莞市博森新能源有限公司</x:v>
      </x:c>
      <x:c r="G574" s="17" t="str">
        <x:v>梯次利用</x:v>
      </x:c>
      <x:c r="H574" s="24" t="n">
        <x:v>113.7452332</x:v>
      </x:c>
      <x:c r="I574" s="24" t="n">
        <x:v>23.0183568</x:v>
      </x:c>
      <x:c r="J574" s="21" t="n">
        <x:f>6371*ACOS(MIN(1,COS(D574*PI()/180)*COS(I574*PI()/180)*COS((H574-C574)*PI()/180)+SIN(D574*PI()/180)*SIN(I574*PI()/180)))</x:f>
        <x:v>84.0381800487033</x:v>
      </x:c>
      <x:c r="K574" s="21" t="n">
        <x:f>'情景参数模板'!$D$31</x:f>
        <x:v>1.2</x:v>
      </x:c>
      <x:c r="L574" s="21" t="n">
        <x:f>J574*K574</x:f>
        <x:v>100.84581605844396</x:v>
      </x:c>
    </x:row>
    <x:row r="575">
      <x:c r="A575" s="17" t="str">
        <x:v>GD13</x:v>
      </x:c>
      <x:c r="B575" s="17" t="str">
        <x:v>江门</x:v>
      </x:c>
      <x:c r="C575" s="24" t="n">
        <x:v>113.0761073</x:v>
      </x:c>
      <x:c r="D575" s="24" t="n">
        <x:v>22.5816619</x:v>
      </x:c>
      <x:c r="E575" s="17" t="str">
        <x:v>P09</x:v>
      </x:c>
      <x:c r="F575" s="17" t="str">
        <x:v>广东宇阳新能源有限公司</x:v>
      </x:c>
      <x:c r="G575" s="17" t="str">
        <x:v>梯次利用</x:v>
      </x:c>
      <x:c r="H575" s="24" t="n">
        <x:v>113.7452332</x:v>
      </x:c>
      <x:c r="I575" s="24" t="n">
        <x:v>23.0183568</x:v>
      </x:c>
      <x:c r="J575" s="21" t="n">
        <x:f>6371*ACOS(MIN(1,COS(D575*PI()/180)*COS(I575*PI()/180)*COS((H575-C575)*PI()/180)+SIN(D575*PI()/180)*SIN(I575*PI()/180)))</x:f>
        <x:v>84.0381800487033</x:v>
      </x:c>
      <x:c r="K575" s="21" t="n">
        <x:f>'情景参数模板'!$D$31</x:f>
        <x:v>1.2</x:v>
      </x:c>
      <x:c r="L575" s="21" t="n">
        <x:f>J575*K575</x:f>
        <x:v>100.84581605844396</x:v>
      </x:c>
    </x:row>
    <x:row r="576">
      <x:c r="A576" s="17" t="str">
        <x:v>GD13</x:v>
      </x:c>
      <x:c r="B576" s="17" t="str">
        <x:v>江门</x:v>
      </x:c>
      <x:c r="C576" s="24" t="n">
        <x:v>113.0761073</x:v>
      </x:c>
      <x:c r="D576" s="24" t="n">
        <x:v>22.5816619</x:v>
      </x:c>
      <x:c r="E576" s="17" t="str">
        <x:v>P10</x:v>
      </x:c>
      <x:c r="F576" s="17" t="str">
        <x:v>广州广汽商贸再生资源有限公司</x:v>
      </x:c>
      <x:c r="G576" s="17" t="str">
        <x:v>梯次利用</x:v>
      </x:c>
      <x:c r="H576" s="24" t="n">
        <x:v>113.2589581</x:v>
      </x:c>
      <x:c r="I576" s="24" t="n">
        <x:v>23.1288429</x:v>
      </x:c>
      <x:c r="J576" s="21" t="n">
        <x:f>6371*ACOS(MIN(1,COS(D576*PI()/180)*COS(I576*PI()/180)*COS((H576-C576)*PI()/180)+SIN(D576*PI()/180)*SIN(I576*PI()/180)))</x:f>
        <x:v>63.663079882234</x:v>
      </x:c>
      <x:c r="K576" s="21" t="n">
        <x:f>'情景参数模板'!$D$31</x:f>
        <x:v>1.2</x:v>
      </x:c>
      <x:c r="L576" s="21" t="n">
        <x:f>J576*K576</x:f>
        <x:v>76.3956958586808</x:v>
      </x:c>
    </x:row>
    <x:row r="577">
      <x:c r="A577" s="17" t="str">
        <x:v>GD13</x:v>
      </x:c>
      <x:c r="B577" s="17" t="str">
        <x:v>江门</x:v>
      </x:c>
      <x:c r="C577" s="24" t="n">
        <x:v>113.0761073</x:v>
      </x:c>
      <x:c r="D577" s="24" t="n">
        <x:v>22.5816619</x:v>
      </x:c>
      <x:c r="E577" s="17" t="str">
        <x:v>P11</x:v>
      </x:c>
      <x:c r="F577" s="17" t="str">
        <x:v>深圳市杰成镍钴新能源科技有限公司</x:v>
      </x:c>
      <x:c r="G577" s="17" t="str">
        <x:v>梯次利用</x:v>
      </x:c>
      <x:c r="H577" s="24" t="n">
        <x:v>114.0545429</x:v>
      </x:c>
      <x:c r="I577" s="24" t="n">
        <x:v>22.5445741</x:v>
      </x:c>
      <x:c r="J577" s="21" t="n">
        <x:f>6371*ACOS(MIN(1,COS(D577*PI()/180)*COS(I577*PI()/180)*COS((H577-C577)*PI()/180)+SIN(D577*PI()/180)*SIN(I577*PI()/180)))</x:f>
        <x:v>100.55388459485556</x:v>
      </x:c>
      <x:c r="K577" s="21" t="n">
        <x:f>'情景参数模板'!$D$31</x:f>
        <x:v>1.2</x:v>
      </x:c>
      <x:c r="L577" s="21" t="n">
        <x:f>J577*K577</x:f>
        <x:v>120.66466151382667</x:v>
      </x:c>
    </x:row>
    <x:row r="578">
      <x:c r="A578" s="17" t="str">
        <x:v>GD13</x:v>
      </x:c>
      <x:c r="B578" s="17" t="str">
        <x:v>江门</x:v>
      </x:c>
      <x:c r="C578" s="24" t="n">
        <x:v>113.0761073</x:v>
      </x:c>
      <x:c r="D578" s="24" t="n">
        <x:v>22.5816619</x:v>
      </x:c>
      <x:c r="E578" s="17" t="str">
        <x:v>P12</x:v>
      </x:c>
      <x:c r="F578" s="17" t="str">
        <x:v>江门市恒创睿能环保科技有限公司</x:v>
      </x:c>
      <x:c r="G578" s="17" t="str">
        <x:v>再生利用</x:v>
      </x:c>
      <x:c r="H578" s="24" t="n">
        <x:v>113.0761073</x:v>
      </x:c>
      <x:c r="I578" s="24" t="n">
        <x:v>22.5816619</x:v>
      </x:c>
      <x:c r="J578" s="21" t="n">
        <x:f>6371*ACOS(MIN(1,COS(D578*PI()/180)*COS(I578*PI()/180)*COS((H578-C578)*PI()/180)+SIN(D578*PI()/180)*SIN(I578*PI()/180)))</x:f>
        <x:v>0</x:v>
      </x:c>
      <x:c r="K578" s="21" t="n">
        <x:f>'情景参数模板'!$D$31</x:f>
        <x:v>1.2</x:v>
      </x:c>
      <x:c r="L578" s="21" t="n">
        <x:f>J578*K578</x:f>
        <x:v>0</x:v>
      </x:c>
    </x:row>
    <x:row r="579">
      <x:c r="A579" s="17" t="str">
        <x:v>GD13</x:v>
      </x:c>
      <x:c r="B579" s="17" t="str">
        <x:v>江门</x:v>
      </x:c>
      <x:c r="C579" s="24" t="n">
        <x:v>113.0761073</x:v>
      </x:c>
      <x:c r="D579" s="24" t="n">
        <x:v>22.5816619</x:v>
      </x:c>
      <x:c r="E579" s="17" t="str">
        <x:v>P13</x:v>
      </x:c>
      <x:c r="F579" s="17" t="str">
        <x:v>广东佳纳能源科技有限公司</x:v>
      </x:c>
      <x:c r="G579" s="17" t="str">
        <x:v>再生利用</x:v>
      </x:c>
      <x:c r="H579" s="24" t="n">
        <x:v>113.0505994</x:v>
      </x:c>
      <x:c r="I579" s="24" t="n">
        <x:v>23.6832984</x:v>
      </x:c>
      <x:c r="J579" s="21" t="n">
        <x:f>6371*ACOS(MIN(1,COS(D579*PI()/180)*COS(I579*PI()/180)*COS((H579-C579)*PI()/180)+SIN(D579*PI()/180)*SIN(I579*PI()/180)))</x:f>
        <x:v>122.52415451208954</x:v>
      </x:c>
      <x:c r="K579" s="21" t="n">
        <x:f>'情景参数模板'!$D$31</x:f>
        <x:v>1.2</x:v>
      </x:c>
      <x:c r="L579" s="21" t="n">
        <x:f>J579*K579</x:f>
        <x:v>147.02898541450745</x:v>
      </x:c>
    </x:row>
    <x:row r="580">
      <x:c r="A580" s="17" t="str">
        <x:v>GD13</x:v>
      </x:c>
      <x:c r="B580" s="17" t="str">
        <x:v>江门</x:v>
      </x:c>
      <x:c r="C580" s="24" t="n">
        <x:v>113.0761073</x:v>
      </x:c>
      <x:c r="D580" s="24" t="n">
        <x:v>22.5816619</x:v>
      </x:c>
      <x:c r="E580" s="17" t="str">
        <x:v>P14</x:v>
      </x:c>
      <x:c r="F580" s="17" t="str">
        <x:v>格林美（深圳）循环科技有限公司</x:v>
      </x:c>
      <x:c r="G580" s="17" t="str">
        <x:v>梯次利用</x:v>
      </x:c>
      <x:c r="H580" s="24" t="n">
        <x:v>114.0545429</x:v>
      </x:c>
      <x:c r="I580" s="24" t="n">
        <x:v>22.5445741</x:v>
      </x:c>
      <x:c r="J580" s="21" t="n">
        <x:f>6371*ACOS(MIN(1,COS(D580*PI()/180)*COS(I580*PI()/180)*COS((H580-C580)*PI()/180)+SIN(D580*PI()/180)*SIN(I580*PI()/180)))</x:f>
        <x:v>100.55388459485556</x:v>
      </x:c>
      <x:c r="K580" s="21" t="n">
        <x:f>'情景参数模板'!$D$31</x:f>
        <x:v>1.2</x:v>
      </x:c>
      <x:c r="L580" s="21" t="n">
        <x:f>J580*K580</x:f>
        <x:v>120.66466151382667</x:v>
      </x:c>
    </x:row>
    <x:row r="581">
      <x:c r="A581" s="17" t="str">
        <x:v>GD13</x:v>
      </x:c>
      <x:c r="B581" s="17" t="str">
        <x:v>江门</x:v>
      </x:c>
      <x:c r="C581" s="24" t="n">
        <x:v>113.0761073</x:v>
      </x:c>
      <x:c r="D581" s="24" t="n">
        <x:v>22.5816619</x:v>
      </x:c>
      <x:c r="E581" s="17" t="str">
        <x:v>P15</x:v>
      </x:c>
      <x:c r="F581" s="17" t="str">
        <x:v>绿循新能源科技（佛山）有限责任公司</x:v>
      </x:c>
      <x:c r="G581" s="17" t="str">
        <x:v>梯次利用</x:v>
      </x:c>
      <x:c r="H581" s="24" t="n">
        <x:v>113.1159558</x:v>
      </x:c>
      <x:c r="I581" s="24" t="n">
        <x:v>23.0239788</x:v>
      </x:c>
      <x:c r="J581" s="21" t="n">
        <x:f>6371*ACOS(MIN(1,COS(D581*PI()/180)*COS(I581*PI()/180)*COS((H581-C581)*PI()/180)+SIN(D581*PI()/180)*SIN(I581*PI()/180)))</x:f>
        <x:v>49.35271597324547</x:v>
      </x:c>
      <x:c r="K581" s="21" t="n">
        <x:f>'情景参数模板'!$D$31</x:f>
        <x:v>1.2</x:v>
      </x:c>
      <x:c r="L581" s="21" t="n">
        <x:f>J581*K581</x:f>
        <x:v>59.22325916789457</x:v>
      </x:c>
    </x:row>
    <x:row r="582">
      <x:c r="A582" s="17" t="str">
        <x:v>GD13</x:v>
      </x:c>
      <x:c r="B582" s="17" t="str">
        <x:v>江门</x:v>
      </x:c>
      <x:c r="C582" s="24" t="n">
        <x:v>113.0761073</x:v>
      </x:c>
      <x:c r="D582" s="24" t="n">
        <x:v>22.5816619</x:v>
      </x:c>
      <x:c r="E582" s="17" t="str">
        <x:v>P16</x:v>
      </x:c>
      <x:c r="F582" s="17" t="str">
        <x:v>深圳艾云动智慧科技有限公司</x:v>
      </x:c>
      <x:c r="G582" s="17" t="str">
        <x:v>梯次利用</x:v>
      </x:c>
      <x:c r="H582" s="24" t="n">
        <x:v>114.0545429</x:v>
      </x:c>
      <x:c r="I582" s="24" t="n">
        <x:v>22.5445741</x:v>
      </x:c>
      <x:c r="J582" s="21" t="n">
        <x:f>6371*ACOS(MIN(1,COS(D582*PI()/180)*COS(I582*PI()/180)*COS((H582-C582)*PI()/180)+SIN(D582*PI()/180)*SIN(I582*PI()/180)))</x:f>
        <x:v>100.55388459485556</x:v>
      </x:c>
      <x:c r="K582" s="21" t="n">
        <x:f>'情景参数模板'!$D$31</x:f>
        <x:v>1.2</x:v>
      </x:c>
      <x:c r="L582" s="21" t="n">
        <x:f>J582*K582</x:f>
        <x:v>120.66466151382667</x:v>
      </x:c>
    </x:row>
    <x:row r="583">
      <x:c r="A583" s="17" t="str">
        <x:v>GD13</x:v>
      </x:c>
      <x:c r="B583" s="17" t="str">
        <x:v>江门</x:v>
      </x:c>
      <x:c r="C583" s="24" t="n">
        <x:v>113.0761073</x:v>
      </x:c>
      <x:c r="D583" s="24" t="n">
        <x:v>22.5816619</x:v>
      </x:c>
      <x:c r="E583" s="17" t="str">
        <x:v>P17</x:v>
      </x:c>
      <x:c r="F583" s="17" t="str">
        <x:v>深圳市荣高晟新能源科技有限公司</x:v>
      </x:c>
      <x:c r="G583" s="17" t="str">
        <x:v>梯次利用</x:v>
      </x:c>
      <x:c r="H583" s="24" t="n">
        <x:v>114.0545429</x:v>
      </x:c>
      <x:c r="I583" s="24" t="n">
        <x:v>22.5445741</x:v>
      </x:c>
      <x:c r="J583" s="21" t="n">
        <x:f>6371*ACOS(MIN(1,COS(D583*PI()/180)*COS(I583*PI()/180)*COS((H583-C583)*PI()/180)+SIN(D583*PI()/180)*SIN(I583*PI()/180)))</x:f>
        <x:v>100.55388459485556</x:v>
      </x:c>
      <x:c r="K583" s="21" t="n">
        <x:f>'情景参数模板'!$D$31</x:f>
        <x:v>1.2</x:v>
      </x:c>
      <x:c r="L583" s="21" t="n">
        <x:f>J583*K583</x:f>
        <x:v>120.66466151382667</x:v>
      </x:c>
    </x:row>
    <x:row r="584">
      <x:c r="A584" s="17" t="str">
        <x:v>GD13</x:v>
      </x:c>
      <x:c r="B584" s="17" t="str">
        <x:v>江门</x:v>
      </x:c>
      <x:c r="C584" s="24" t="n">
        <x:v>113.0761073</x:v>
      </x:c>
      <x:c r="D584" s="24" t="n">
        <x:v>22.5816619</x:v>
      </x:c>
      <x:c r="E584" s="17" t="str">
        <x:v>P18</x:v>
      </x:c>
      <x:c r="F584" s="17" t="str">
        <x:v>中商锂新能源科技（惠州）有限公司</x:v>
      </x:c>
      <x:c r="G584" s="17" t="str">
        <x:v>梯次利用</x:v>
      </x:c>
      <x:c r="H584" s="24" t="n">
        <x:v>114.4127007</x:v>
      </x:c>
      <x:c r="I584" s="24" t="n">
        <x:v>23.1125153</x:v>
      </x:c>
      <x:c r="J584" s="21" t="n">
        <x:f>6371*ACOS(MIN(1,COS(D584*PI()/180)*COS(I584*PI()/180)*COS((H584-C584)*PI()/180)+SIN(D584*PI()/180)*SIN(I584*PI()/180)))</x:f>
        <x:v>149.1396078501504</x:v>
      </x:c>
      <x:c r="K584" s="21" t="n">
        <x:f>'情景参数模板'!$D$31</x:f>
        <x:v>1.2</x:v>
      </x:c>
      <x:c r="L584" s="21" t="n">
        <x:f>J584*K584</x:f>
        <x:v>178.96752942018048</x:v>
      </x:c>
    </x:row>
    <x:row r="585">
      <x:c r="A585" s="17" t="str">
        <x:v>GD13</x:v>
      </x:c>
      <x:c r="B585" s="17" t="str">
        <x:v>江门</x:v>
      </x:c>
      <x:c r="C585" s="24" t="n">
        <x:v>113.0761073</x:v>
      </x:c>
      <x:c r="D585" s="24" t="n">
        <x:v>22.5816619</x:v>
      </x:c>
      <x:c r="E585" s="17" t="str">
        <x:v>P19</x:v>
      </x:c>
      <x:c r="F585" s="17" t="str">
        <x:v>广东盛祥新材料科技有限公司</x:v>
      </x:c>
      <x:c r="G585" s="17" t="str">
        <x:v>再生利用</x:v>
      </x:c>
      <x:c r="H585" s="24" t="n">
        <x:v>113.8155263</x:v>
      </x:c>
      <x:c r="I585" s="24" t="n">
        <x:v>24.8309489</x:v>
      </x:c>
      <x:c r="J585" s="21" t="n">
        <x:f>6371*ACOS(MIN(1,COS(D585*PI()/180)*COS(I585*PI()/180)*COS((H585-C585)*PI()/180)+SIN(D585*PI()/180)*SIN(I585*PI()/180)))</x:f>
        <x:v>261.1912194278549</x:v>
      </x:c>
      <x:c r="K585" s="21" t="n">
        <x:f>'情景参数模板'!$D$31</x:f>
        <x:v>1.2</x:v>
      </x:c>
      <x:c r="L585" s="21" t="n">
        <x:f>J585*K585</x:f>
        <x:v>313.42946331342586</x:v>
      </x:c>
    </x:row>
    <x:row r="586">
      <x:c r="A586" s="17" t="str">
        <x:v>GD13</x:v>
      </x:c>
      <x:c r="B586" s="17" t="str">
        <x:v>江门</x:v>
      </x:c>
      <x:c r="C586" s="24" t="n">
        <x:v>113.0761073</x:v>
      </x:c>
      <x:c r="D586" s="24" t="n">
        <x:v>22.5816619</x:v>
      </x:c>
      <x:c r="E586" s="17" t="str">
        <x:v>P20E</x:v>
      </x:c>
      <x:c r="F586" s="17" t="str">
        <x:v>广东金晟新能源股份有限公司（梯次功能）</x:v>
      </x:c>
      <x:c r="G586" s="17" t="str">
        <x:v>梯次利用</x:v>
      </x:c>
      <x:c r="H586" s="24" t="n">
        <x:v>112.4603629</x:v>
      </x:c>
      <x:c r="I586" s="24" t="n">
        <x:v>23.0501661</x:v>
      </x:c>
      <x:c r="J586" s="21" t="n">
        <x:f>6371*ACOS(MIN(1,COS(D586*PI()/180)*COS(I586*PI()/180)*COS((H586-C586)*PI()/180)+SIN(D586*PI()/180)*SIN(I586*PI()/180)))</x:f>
        <x:v>81.8340180596413</x:v>
      </x:c>
      <x:c r="K586" s="21" t="n">
        <x:f>'情景参数模板'!$D$31</x:f>
        <x:v>1.2</x:v>
      </x:c>
      <x:c r="L586" s="21" t="n">
        <x:f>J586*K586</x:f>
        <x:v>98.20082167156956</x:v>
      </x:c>
    </x:row>
    <x:row r="587">
      <x:c r="A587" s="17" t="str">
        <x:v>GD13</x:v>
      </x:c>
      <x:c r="B587" s="17" t="str">
        <x:v>江门</x:v>
      </x:c>
      <x:c r="C587" s="24" t="n">
        <x:v>113.0761073</x:v>
      </x:c>
      <x:c r="D587" s="24" t="n">
        <x:v>22.5816619</x:v>
      </x:c>
      <x:c r="E587" s="17" t="str">
        <x:v>P20R</x:v>
      </x:c>
      <x:c r="F587" s="17" t="str">
        <x:v>广东金晟新能源股份有限公司（再生功能）</x:v>
      </x:c>
      <x:c r="G587" s="17" t="str">
        <x:v>再生利用</x:v>
      </x:c>
      <x:c r="H587" s="24" t="n">
        <x:v>112.4603629</x:v>
      </x:c>
      <x:c r="I587" s="24" t="n">
        <x:v>23.0501661</x:v>
      </x:c>
      <x:c r="J587" s="21" t="n">
        <x:f>6371*ACOS(MIN(1,COS(D587*PI()/180)*COS(I587*PI()/180)*COS((H587-C587)*PI()/180)+SIN(D587*PI()/180)*SIN(I587*PI()/180)))</x:f>
        <x:v>81.8340180596413</x:v>
      </x:c>
      <x:c r="K587" s="21" t="n">
        <x:f>'情景参数模板'!$D$31</x:f>
        <x:v>1.2</x:v>
      </x:c>
      <x:c r="L587" s="21" t="n">
        <x:f>J587*K587</x:f>
        <x:v>98.20082167156956</x:v>
      </x:c>
    </x:row>
    <x:row r="588">
      <x:c r="A588" s="17" t="str">
        <x:v>GD13</x:v>
      </x:c>
      <x:c r="B588" s="17" t="str">
        <x:v>江门</x:v>
      </x:c>
      <x:c r="C588" s="24" t="n">
        <x:v>113.0761073</x:v>
      </x:c>
      <x:c r="D588" s="24" t="n">
        <x:v>22.5816619</x:v>
      </x:c>
      <x:c r="E588" s="17" t="str">
        <x:v>P21E</x:v>
      </x:c>
      <x:c r="F588" s="17" t="str">
        <x:v>广东瑞科美电源技术有限公司（梯次功能）</x:v>
      </x:c>
      <x:c r="G588" s="17" t="str">
        <x:v>梯次利用</x:v>
      </x:c>
      <x:c r="H588" s="24" t="n">
        <x:v>113.1159558</x:v>
      </x:c>
      <x:c r="I588" s="24" t="n">
        <x:v>23.0239788</x:v>
      </x:c>
      <x:c r="J588" s="21" t="n">
        <x:f>6371*ACOS(MIN(1,COS(D588*PI()/180)*COS(I588*PI()/180)*COS((H588-C588)*PI()/180)+SIN(D588*PI()/180)*SIN(I588*PI()/180)))</x:f>
        <x:v>49.35271597324547</x:v>
      </x:c>
      <x:c r="K588" s="21" t="n">
        <x:f>'情景参数模板'!$D$31</x:f>
        <x:v>1.2</x:v>
      </x:c>
      <x:c r="L588" s="21" t="n">
        <x:f>J588*K588</x:f>
        <x:v>59.22325916789457</x:v>
      </x:c>
    </x:row>
    <x:row r="589">
      <x:c r="A589" s="17" t="str">
        <x:v>GD13</x:v>
      </x:c>
      <x:c r="B589" s="17" t="str">
        <x:v>江门</x:v>
      </x:c>
      <x:c r="C589" s="24" t="n">
        <x:v>113.0761073</x:v>
      </x:c>
      <x:c r="D589" s="24" t="n">
        <x:v>22.5816619</x:v>
      </x:c>
      <x:c r="E589" s="17" t="str">
        <x:v>P21R</x:v>
      </x:c>
      <x:c r="F589" s="17" t="str">
        <x:v>广东瑞科美电源技术有限公司（再生功能）</x:v>
      </x:c>
      <x:c r="G589" s="17" t="str">
        <x:v>再生利用</x:v>
      </x:c>
      <x:c r="H589" s="24" t="n">
        <x:v>113.1159558</x:v>
      </x:c>
      <x:c r="I589" s="24" t="n">
        <x:v>23.0239788</x:v>
      </x:c>
      <x:c r="J589" s="21" t="n">
        <x:f>6371*ACOS(MIN(1,COS(D589*PI()/180)*COS(I589*PI()/180)*COS((H589-C589)*PI()/180)+SIN(D589*PI()/180)*SIN(I589*PI()/180)))</x:f>
        <x:v>49.35271597324547</x:v>
      </x:c>
      <x:c r="K589" s="21" t="n">
        <x:f>'情景参数模板'!$D$31</x:f>
        <x:v>1.2</x:v>
      </x:c>
      <x:c r="L589" s="21" t="n">
        <x:f>J589*K589</x:f>
        <x:v>59.22325916789457</x:v>
      </x:c>
    </x:row>
    <x:row r="590">
      <x:c r="A590" s="17" t="str">
        <x:v>GD14</x:v>
      </x:c>
      <x:c r="B590" s="17" t="str">
        <x:v>阳江</x:v>
      </x:c>
      <x:c r="C590" s="24" t="n">
        <x:v>111.7831393</x:v>
      </x:c>
      <x:c r="D590" s="24" t="n">
        <x:v>22.0958223</x:v>
      </x:c>
      <x:c r="E590" s="17" t="str">
        <x:v>C01</x:v>
      </x:c>
      <x:c r="F590" s="17" t="str">
        <x:v>广州虚拟回收/检测中心</x:v>
      </x:c>
      <x:c r="G590" s="17" t="str">
        <x:v>回收中心候选</x:v>
      </x:c>
      <x:c r="H590" s="24" t="n">
        <x:v>113.2589581</x:v>
      </x:c>
      <x:c r="I590" s="24" t="n">
        <x:v>23.1288429</x:v>
      </x:c>
      <x:c r="J590" s="21" t="n">
        <x:f>6371*ACOS(MIN(1,COS(D590*PI()/180)*COS(I590*PI()/180)*COS((H590-C590)*PI()/180)+SIN(D590*PI()/180)*SIN(I590*PI()/180)))</x:f>
        <x:v>190.11044852396574</x:v>
      </x:c>
      <x:c r="K590" s="21" t="n">
        <x:f>'情景参数模板'!$D$31</x:f>
        <x:v>1.2</x:v>
      </x:c>
      <x:c r="L590" s="21" t="n">
        <x:f>J590*K590</x:f>
        <x:v>228.13253822875888</x:v>
      </x:c>
    </x:row>
    <x:row r="591">
      <x:c r="A591" s="17" t="str">
        <x:v>GD14</x:v>
      </x:c>
      <x:c r="B591" s="17" t="str">
        <x:v>阳江</x:v>
      </x:c>
      <x:c r="C591" s="24" t="n">
        <x:v>111.7831393</x:v>
      </x:c>
      <x:c r="D591" s="24" t="n">
        <x:v>22.0958223</x:v>
      </x:c>
      <x:c r="E591" s="17" t="str">
        <x:v>C02</x:v>
      </x:c>
      <x:c r="F591" s="17" t="str">
        <x:v>深圳虚拟回收/检测中心</x:v>
      </x:c>
      <x:c r="G591" s="17" t="str">
        <x:v>回收中心候选</x:v>
      </x:c>
      <x:c r="H591" s="24" t="n">
        <x:v>114.0545429</x:v>
      </x:c>
      <x:c r="I591" s="24" t="n">
        <x:v>22.5445741</x:v>
      </x:c>
      <x:c r="J591" s="21" t="n">
        <x:f>6371*ACOS(MIN(1,COS(D591*PI()/180)*COS(I591*PI()/180)*COS((H591-C591)*PI()/180)+SIN(D591*PI()/180)*SIN(I591*PI()/180)))</x:f>
        <x:v>238.91102093560318</x:v>
      </x:c>
      <x:c r="K591" s="21" t="n">
        <x:f>'情景参数模板'!$D$31</x:f>
        <x:v>1.2</x:v>
      </x:c>
      <x:c r="L591" s="21" t="n">
        <x:f>J591*K591</x:f>
        <x:v>286.6932251227238</x:v>
      </x:c>
    </x:row>
    <x:row r="592">
      <x:c r="A592" s="17" t="str">
        <x:v>GD14</x:v>
      </x:c>
      <x:c r="B592" s="17" t="str">
        <x:v>阳江</x:v>
      </x:c>
      <x:c r="C592" s="24" t="n">
        <x:v>111.7831393</x:v>
      </x:c>
      <x:c r="D592" s="24" t="n">
        <x:v>22.0958223</x:v>
      </x:c>
      <x:c r="E592" s="17" t="str">
        <x:v>C03</x:v>
      </x:c>
      <x:c r="F592" s="17" t="str">
        <x:v>珠海虚拟回收/检测中心</x:v>
      </x:c>
      <x:c r="G592" s="17" t="str">
        <x:v>回收中心候选</x:v>
      </x:c>
      <x:c r="H592" s="24" t="n">
        <x:v>113.5721327</x:v>
      </x:c>
      <x:c r="I592" s="24" t="n">
        <x:v>22.273734</x:v>
      </x:c>
      <x:c r="J592" s="21" t="n">
        <x:f>6371*ACOS(MIN(1,COS(D592*PI()/180)*COS(I592*PI()/180)*COS((H592-C592)*PI()/180)+SIN(D592*PI()/180)*SIN(I592*PI()/180)))</x:f>
        <x:v>185.25871984739948</x:v>
      </x:c>
      <x:c r="K592" s="21" t="n">
        <x:f>'情景参数模板'!$D$31</x:f>
        <x:v>1.2</x:v>
      </x:c>
      <x:c r="L592" s="21" t="n">
        <x:f>J592*K592</x:f>
        <x:v>222.31046381687938</x:v>
      </x:c>
    </x:row>
    <x:row r="593">
      <x:c r="A593" s="17" t="str">
        <x:v>GD14</x:v>
      </x:c>
      <x:c r="B593" s="17" t="str">
        <x:v>阳江</x:v>
      </x:c>
      <x:c r="C593" s="24" t="n">
        <x:v>111.7831393</x:v>
      </x:c>
      <x:c r="D593" s="24" t="n">
        <x:v>22.0958223</x:v>
      </x:c>
      <x:c r="E593" s="17" t="str">
        <x:v>C04</x:v>
      </x:c>
      <x:c r="F593" s="17" t="str">
        <x:v>汕头虚拟回收/检测中心</x:v>
      </x:c>
      <x:c r="G593" s="17" t="str">
        <x:v>回收中心候选</x:v>
      </x:c>
      <x:c r="H593" s="24" t="n">
        <x:v>116.6775856</x:v>
      </x:c>
      <x:c r="I593" s="24" t="n">
        <x:v>23.3563921</x:v>
      </x:c>
      <x:c r="J593" s="21" t="n">
        <x:f>6371*ACOS(MIN(1,COS(D593*PI()/180)*COS(I593*PI()/180)*COS((H593-C593)*PI()/180)+SIN(D593*PI()/180)*SIN(I593*PI()/180)))</x:f>
        <x:v>521.1497268263299</x:v>
      </x:c>
      <x:c r="K593" s="21" t="n">
        <x:f>'情景参数模板'!$D$31</x:f>
        <x:v>1.2</x:v>
      </x:c>
      <x:c r="L593" s="21" t="n">
        <x:f>J593*K593</x:f>
        <x:v>625.3796721915959</x:v>
      </x:c>
    </x:row>
    <x:row r="594">
      <x:c r="A594" s="17" t="str">
        <x:v>GD14</x:v>
      </x:c>
      <x:c r="B594" s="17" t="str">
        <x:v>阳江</x:v>
      </x:c>
      <x:c r="C594" s="24" t="n">
        <x:v>111.7831393</x:v>
      </x:c>
      <x:c r="D594" s="24" t="n">
        <x:v>22.0958223</x:v>
      </x:c>
      <x:c r="E594" s="17" t="str">
        <x:v>C05</x:v>
      </x:c>
      <x:c r="F594" s="17" t="str">
        <x:v>佛山虚拟回收/检测中心</x:v>
      </x:c>
      <x:c r="G594" s="17" t="str">
        <x:v>回收中心候选</x:v>
      </x:c>
      <x:c r="H594" s="24" t="n">
        <x:v>113.1159558</x:v>
      </x:c>
      <x:c r="I594" s="24" t="n">
        <x:v>23.0239788</x:v>
      </x:c>
      <x:c r="J594" s="21" t="n">
        <x:f>6371*ACOS(MIN(1,COS(D594*PI()/180)*COS(I594*PI()/180)*COS((H594-C594)*PI()/180)+SIN(D594*PI()/180)*SIN(I594*PI()/180)))</x:f>
        <x:v>171.41164681318705</x:v>
      </x:c>
      <x:c r="K594" s="21" t="n">
        <x:f>'情景参数模板'!$D$31</x:f>
        <x:v>1.2</x:v>
      </x:c>
      <x:c r="L594" s="21" t="n">
        <x:f>J594*K594</x:f>
        <x:v>205.69397617582445</x:v>
      </x:c>
    </x:row>
    <x:row r="595">
      <x:c r="A595" s="17" t="str">
        <x:v>GD14</x:v>
      </x:c>
      <x:c r="B595" s="17" t="str">
        <x:v>阳江</x:v>
      </x:c>
      <x:c r="C595" s="24" t="n">
        <x:v>111.7831393</x:v>
      </x:c>
      <x:c r="D595" s="24" t="n">
        <x:v>22.0958223</x:v>
      </x:c>
      <x:c r="E595" s="17" t="str">
        <x:v>C06</x:v>
      </x:c>
      <x:c r="F595" s="17" t="str">
        <x:v>韶关虚拟回收/检测中心</x:v>
      </x:c>
      <x:c r="G595" s="17" t="str">
        <x:v>回收中心候选</x:v>
      </x:c>
      <x:c r="H595" s="24" t="n">
        <x:v>113.8155263</x:v>
      </x:c>
      <x:c r="I595" s="24" t="n">
        <x:v>24.8309489</x:v>
      </x:c>
      <x:c r="J595" s="21" t="n">
        <x:f>6371*ACOS(MIN(1,COS(D595*PI()/180)*COS(I595*PI()/180)*COS((H595-C595)*PI()/180)+SIN(D595*PI()/180)*SIN(I595*PI()/180)))</x:f>
        <x:v>368.04654773255174</x:v>
      </x:c>
      <x:c r="K595" s="21" t="n">
        <x:f>'情景参数模板'!$D$31</x:f>
        <x:v>1.2</x:v>
      </x:c>
      <x:c r="L595" s="21" t="n">
        <x:f>J595*K595</x:f>
        <x:v>441.6558572790621</x:v>
      </x:c>
    </x:row>
    <x:row r="596">
      <x:c r="A596" s="17" t="str">
        <x:v>GD14</x:v>
      </x:c>
      <x:c r="B596" s="17" t="str">
        <x:v>阳江</x:v>
      </x:c>
      <x:c r="C596" s="24" t="n">
        <x:v>111.7831393</x:v>
      </x:c>
      <x:c r="D596" s="24" t="n">
        <x:v>22.0958223</x:v>
      </x:c>
      <x:c r="E596" s="17" t="str">
        <x:v>C07</x:v>
      </x:c>
      <x:c r="F596" s="17" t="str">
        <x:v>河源虚拟回收/检测中心</x:v>
      </x:c>
      <x:c r="G596" s="17" t="str">
        <x:v>回收中心候选</x:v>
      </x:c>
      <x:c r="H596" s="24" t="n">
        <x:v>115.0577538</x:v>
      </x:c>
      <x:c r="I596" s="24" t="n">
        <x:v>24.1014769</x:v>
      </x:c>
      <x:c r="J596" s="21" t="n">
        <x:f>6371*ACOS(MIN(1,COS(D596*PI()/180)*COS(I596*PI()/180)*COS((H596-C596)*PI()/180)+SIN(D596*PI()/180)*SIN(I596*PI()/180)))</x:f>
        <x:v>402.3586647546197</x:v>
      </x:c>
      <x:c r="K596" s="21" t="n">
        <x:f>'情景参数模板'!$D$31</x:f>
        <x:v>1.2</x:v>
      </x:c>
      <x:c r="L596" s="21" t="n">
        <x:f>J596*K596</x:f>
        <x:v>482.83039770554365</x:v>
      </x:c>
    </x:row>
    <x:row r="597">
      <x:c r="A597" s="17" t="str">
        <x:v>GD14</x:v>
      </x:c>
      <x:c r="B597" s="17" t="str">
        <x:v>阳江</x:v>
      </x:c>
      <x:c r="C597" s="24" t="n">
        <x:v>111.7831393</x:v>
      </x:c>
      <x:c r="D597" s="24" t="n">
        <x:v>22.0958223</x:v>
      </x:c>
      <x:c r="E597" s="17" t="str">
        <x:v>C08</x:v>
      </x:c>
      <x:c r="F597" s="17" t="str">
        <x:v>梅州虚拟回收/检测中心</x:v>
      </x:c>
      <x:c r="G597" s="17" t="str">
        <x:v>回收中心候选</x:v>
      </x:c>
      <x:c r="H597" s="24" t="n">
        <x:v>116.1171428</x:v>
      </x:c>
      <x:c r="I597" s="24" t="n">
        <x:v>24.2918414</x:v>
      </x:c>
      <x:c r="J597" s="21" t="n">
        <x:f>6371*ACOS(MIN(1,COS(D597*PI()/180)*COS(I597*PI()/180)*COS((H597-C597)*PI()/180)+SIN(D597*PI()/180)*SIN(I597*PI()/180)))</x:f>
        <x:v>505.7637863870429</x:v>
      </x:c>
      <x:c r="K597" s="21" t="n">
        <x:f>'情景参数模板'!$D$31</x:f>
        <x:v>1.2</x:v>
      </x:c>
      <x:c r="L597" s="21" t="n">
        <x:f>J597*K597</x:f>
        <x:v>606.9165436644514</x:v>
      </x:c>
    </x:row>
    <x:row r="598">
      <x:c r="A598" s="17" t="str">
        <x:v>GD14</x:v>
      </x:c>
      <x:c r="B598" s="17" t="str">
        <x:v>阳江</x:v>
      </x:c>
      <x:c r="C598" s="24" t="n">
        <x:v>111.7831393</x:v>
      </x:c>
      <x:c r="D598" s="24" t="n">
        <x:v>22.0958223</x:v>
      </x:c>
      <x:c r="E598" s="17" t="str">
        <x:v>C09</x:v>
      </x:c>
      <x:c r="F598" s="17" t="str">
        <x:v>惠州虚拟回收/检测中心</x:v>
      </x:c>
      <x:c r="G598" s="17" t="str">
        <x:v>回收中心候选</x:v>
      </x:c>
      <x:c r="H598" s="24" t="n">
        <x:v>114.4127007</x:v>
      </x:c>
      <x:c r="I598" s="24" t="n">
        <x:v>23.1125153</x:v>
      </x:c>
      <x:c r="J598" s="21" t="n">
        <x:f>6371*ACOS(MIN(1,COS(D598*PI()/180)*COS(I598*PI()/180)*COS((H598-C598)*PI()/180)+SIN(D598*PI()/180)*SIN(I598*PI()/180)))</x:f>
        <x:v>292.642269876442</x:v>
      </x:c>
      <x:c r="K598" s="21" t="n">
        <x:f>'情景参数模板'!$D$31</x:f>
        <x:v>1.2</x:v>
      </x:c>
      <x:c r="L598" s="21" t="n">
        <x:f>J598*K598</x:f>
        <x:v>351.17072385173043</x:v>
      </x:c>
    </x:row>
    <x:row r="599">
      <x:c r="A599" s="17" t="str">
        <x:v>GD14</x:v>
      </x:c>
      <x:c r="B599" s="17" t="str">
        <x:v>阳江</x:v>
      </x:c>
      <x:c r="C599" s="24" t="n">
        <x:v>111.7831393</x:v>
      </x:c>
      <x:c r="D599" s="24" t="n">
        <x:v>22.0958223</x:v>
      </x:c>
      <x:c r="E599" s="17" t="str">
        <x:v>C10</x:v>
      </x:c>
      <x:c r="F599" s="17" t="str">
        <x:v>汕尾虚拟回收/检测中心</x:v>
      </x:c>
      <x:c r="G599" s="17" t="str">
        <x:v>回收中心候选</x:v>
      </x:c>
      <x:c r="H599" s="24" t="n">
        <x:v>115.5099937</x:v>
      </x:c>
      <x:c r="I599" s="24" t="n">
        <x:v>23.0123639</x:v>
      </x:c>
      <x:c r="J599" s="21" t="n">
        <x:f>6371*ACOS(MIN(1,COS(D599*PI()/180)*COS(I599*PI()/180)*COS((H599-C599)*PI()/180)+SIN(D599*PI()/180)*SIN(I599*PI()/180)))</x:f>
        <x:v>396.03429540890875</x:v>
      </x:c>
      <x:c r="K599" s="21" t="n">
        <x:f>'情景参数模板'!$D$31</x:f>
        <x:v>1.2</x:v>
      </x:c>
      <x:c r="L599" s="21" t="n">
        <x:f>J599*K599</x:f>
        <x:v>475.24115449069046</x:v>
      </x:c>
    </x:row>
    <x:row r="600">
      <x:c r="A600" s="17" t="str">
        <x:v>GD14</x:v>
      </x:c>
      <x:c r="B600" s="17" t="str">
        <x:v>阳江</x:v>
      </x:c>
      <x:c r="C600" s="24" t="n">
        <x:v>111.7831393</x:v>
      </x:c>
      <x:c r="D600" s="24" t="n">
        <x:v>22.0958223</x:v>
      </x:c>
      <x:c r="E600" s="17" t="str">
        <x:v>C11</x:v>
      </x:c>
      <x:c r="F600" s="17" t="str">
        <x:v>东莞虚拟回收/检测中心</x:v>
      </x:c>
      <x:c r="G600" s="17" t="str">
        <x:v>回收中心候选</x:v>
      </x:c>
      <x:c r="H600" s="24" t="n">
        <x:v>113.7452332</x:v>
      </x:c>
      <x:c r="I600" s="24" t="n">
        <x:v>23.0183568</x:v>
      </x:c>
      <x:c r="J600" s="21" t="n">
        <x:f>6371*ACOS(MIN(1,COS(D600*PI()/180)*COS(I600*PI()/180)*COS((H600-C600)*PI()/180)+SIN(D600*PI()/180)*SIN(I600*PI()/180)))</x:f>
        <x:v>226.09022435971104</x:v>
      </x:c>
      <x:c r="K600" s="21" t="n">
        <x:f>'情景参数模板'!$D$31</x:f>
        <x:v>1.2</x:v>
      </x:c>
      <x:c r="L600" s="21" t="n">
        <x:f>J600*K600</x:f>
        <x:v>271.30826923165324</x:v>
      </x:c>
    </x:row>
    <x:row r="601">
      <x:c r="A601" s="17" t="str">
        <x:v>GD14</x:v>
      </x:c>
      <x:c r="B601" s="17" t="str">
        <x:v>阳江</x:v>
      </x:c>
      <x:c r="C601" s="24" t="n">
        <x:v>111.7831393</x:v>
      </x:c>
      <x:c r="D601" s="24" t="n">
        <x:v>22.0958223</x:v>
      </x:c>
      <x:c r="E601" s="17" t="str">
        <x:v>C12</x:v>
      </x:c>
      <x:c r="F601" s="17" t="str">
        <x:v>中山虚拟回收/检测中心</x:v>
      </x:c>
      <x:c r="G601" s="17" t="str">
        <x:v>回收中心候选</x:v>
      </x:c>
      <x:c r="H601" s="24" t="n">
        <x:v>113.3872302</x:v>
      </x:c>
      <x:c r="I601" s="24" t="n">
        <x:v>22.5197073</x:v>
      </x:c>
      <x:c r="J601" s="21" t="n">
        <x:f>6371*ACOS(MIN(1,COS(D601*PI()/180)*COS(I601*PI()/180)*COS((H601-C601)*PI()/180)+SIN(D601*PI()/180)*SIN(I601*PI()/180)))</x:f>
        <x:v>171.61565011193275</x:v>
      </x:c>
      <x:c r="K601" s="21" t="n">
        <x:f>'情景参数模板'!$D$31</x:f>
        <x:v>1.2</x:v>
      </x:c>
      <x:c r="L601" s="21" t="n">
        <x:f>J601*K601</x:f>
        <x:v>205.9387801343193</x:v>
      </x:c>
    </x:row>
    <x:row r="602">
      <x:c r="A602" s="17" t="str">
        <x:v>GD14</x:v>
      </x:c>
      <x:c r="B602" s="17" t="str">
        <x:v>阳江</x:v>
      </x:c>
      <x:c r="C602" s="24" t="n">
        <x:v>111.7831393</x:v>
      </x:c>
      <x:c r="D602" s="24" t="n">
        <x:v>22.0958223</x:v>
      </x:c>
      <x:c r="E602" s="17" t="str">
        <x:v>C13</x:v>
      </x:c>
      <x:c r="F602" s="17" t="str">
        <x:v>江门虚拟回收/检测中心</x:v>
      </x:c>
      <x:c r="G602" s="17" t="str">
        <x:v>回收中心候选</x:v>
      </x:c>
      <x:c r="H602" s="24" t="n">
        <x:v>113.0761073</x:v>
      </x:c>
      <x:c r="I602" s="24" t="n">
        <x:v>22.5816619</x:v>
      </x:c>
      <x:c r="J602" s="21" t="n">
        <x:f>6371*ACOS(MIN(1,COS(D602*PI()/180)*COS(I602*PI()/180)*COS((H602-C602)*PI()/180)+SIN(D602*PI()/180)*SIN(I602*PI()/180)))</x:f>
        <x:v>143.53528753193643</x:v>
      </x:c>
      <x:c r="K602" s="21" t="n">
        <x:f>'情景参数模板'!$D$31</x:f>
        <x:v>1.2</x:v>
      </x:c>
      <x:c r="L602" s="21" t="n">
        <x:f>J602*K602</x:f>
        <x:v>172.24234503832372</x:v>
      </x:c>
    </x:row>
    <x:row r="603">
      <x:c r="A603" s="17" t="str">
        <x:v>GD14</x:v>
      </x:c>
      <x:c r="B603" s="17" t="str">
        <x:v>阳江</x:v>
      </x:c>
      <x:c r="C603" s="24" t="n">
        <x:v>111.7831393</x:v>
      </x:c>
      <x:c r="D603" s="24" t="n">
        <x:v>22.0958223</x:v>
      </x:c>
      <x:c r="E603" s="17" t="str">
        <x:v>C14</x:v>
      </x:c>
      <x:c r="F603" s="17" t="str">
        <x:v>阳江虚拟回收/检测中心</x:v>
      </x:c>
      <x:c r="G603" s="17" t="str">
        <x:v>回收中心候选</x:v>
      </x:c>
      <x:c r="H603" s="24" t="n">
        <x:v>111.7831393</x:v>
      </x:c>
      <x:c r="I603" s="24" t="n">
        <x:v>22.0958223</x:v>
      </x:c>
      <x:c r="J603" s="21" t="n">
        <x:f>6371*ACOS(MIN(1,COS(D603*PI()/180)*COS(I603*PI()/180)*COS((H603-C603)*PI()/180)+SIN(D603*PI()/180)*SIN(I603*PI()/180)))</x:f>
        <x:v>0</x:v>
      </x:c>
      <x:c r="K603" s="21" t="n">
        <x:f>'情景参数模板'!$D$31</x:f>
        <x:v>1.2</x:v>
      </x:c>
      <x:c r="L603" s="21" t="n">
        <x:f>J603*K603</x:f>
        <x:v>0</x:v>
      </x:c>
    </x:row>
    <x:row r="604">
      <x:c r="A604" s="17" t="str">
        <x:v>GD14</x:v>
      </x:c>
      <x:c r="B604" s="17" t="str">
        <x:v>阳江</x:v>
      </x:c>
      <x:c r="C604" s="24" t="n">
        <x:v>111.7831393</x:v>
      </x:c>
      <x:c r="D604" s="24" t="n">
        <x:v>22.0958223</x:v>
      </x:c>
      <x:c r="E604" s="17" t="str">
        <x:v>C15</x:v>
      </x:c>
      <x:c r="F604" s="17" t="str">
        <x:v>湛江虚拟回收/检测中心</x:v>
      </x:c>
      <x:c r="G604" s="17" t="str">
        <x:v>回收中心候选</x:v>
      </x:c>
      <x:c r="H604" s="24" t="n">
        <x:v>110.3548318</x:v>
      </x:c>
      <x:c r="I604" s="24" t="n">
        <x:v>21.2737079</x:v>
      </x:c>
      <x:c r="J604" s="21" t="n">
        <x:f>6371*ACOS(MIN(1,COS(D604*PI()/180)*COS(I604*PI()/180)*COS((H604-C604)*PI()/180)+SIN(D604*PI()/180)*SIN(I604*PI()/180)))</x:f>
        <x:v>173.59759775337977</x:v>
      </x:c>
      <x:c r="K604" s="21" t="n">
        <x:f>'情景参数模板'!$D$31</x:f>
        <x:v>1.2</x:v>
      </x:c>
      <x:c r="L604" s="21" t="n">
        <x:f>J604*K604</x:f>
        <x:v>208.31711730405573</x:v>
      </x:c>
    </x:row>
    <x:row r="605">
      <x:c r="A605" s="17" t="str">
        <x:v>GD14</x:v>
      </x:c>
      <x:c r="B605" s="17" t="str">
        <x:v>阳江</x:v>
      </x:c>
      <x:c r="C605" s="24" t="n">
        <x:v>111.7831393</x:v>
      </x:c>
      <x:c r="D605" s="24" t="n">
        <x:v>22.0958223</x:v>
      </x:c>
      <x:c r="E605" s="17" t="str">
        <x:v>C16</x:v>
      </x:c>
      <x:c r="F605" s="17" t="str">
        <x:v>茂名虚拟回收/检测中心</x:v>
      </x:c>
      <x:c r="G605" s="17" t="str">
        <x:v>回收中心候选</x:v>
      </x:c>
      <x:c r="H605" s="24" t="n">
        <x:v>110.9209511</x:v>
      </x:c>
      <x:c r="I605" s="24" t="n">
        <x:v>21.6656961</x:v>
      </x:c>
      <x:c r="J605" s="21" t="n">
        <x:f>6371*ACOS(MIN(1,COS(D605*PI()/180)*COS(I605*PI()/180)*COS((H605-C605)*PI()/180)+SIN(D605*PI()/180)*SIN(I605*PI()/180)))</x:f>
        <x:v>101.00553735425996</x:v>
      </x:c>
      <x:c r="K605" s="21" t="n">
        <x:f>'情景参数模板'!$D$31</x:f>
        <x:v>1.2</x:v>
      </x:c>
      <x:c r="L605" s="21" t="n">
        <x:f>J605*K605</x:f>
        <x:v>121.20664482511194</x:v>
      </x:c>
    </x:row>
    <x:row r="606">
      <x:c r="A606" s="17" t="str">
        <x:v>GD14</x:v>
      </x:c>
      <x:c r="B606" s="17" t="str">
        <x:v>阳江</x:v>
      </x:c>
      <x:c r="C606" s="24" t="n">
        <x:v>111.7831393</x:v>
      </x:c>
      <x:c r="D606" s="24" t="n">
        <x:v>22.0958223</x:v>
      </x:c>
      <x:c r="E606" s="17" t="str">
        <x:v>C17</x:v>
      </x:c>
      <x:c r="F606" s="17" t="str">
        <x:v>肇庆虚拟回收/检测中心</x:v>
      </x:c>
      <x:c r="G606" s="17" t="str">
        <x:v>回收中心候选</x:v>
      </x:c>
      <x:c r="H606" s="24" t="n">
        <x:v>112.4603629</x:v>
      </x:c>
      <x:c r="I606" s="24" t="n">
        <x:v>23.0501661</x:v>
      </x:c>
      <x:c r="J606" s="21" t="n">
        <x:f>6371*ACOS(MIN(1,COS(D606*PI()/180)*COS(I606*PI()/180)*COS((H606-C606)*PI()/180)+SIN(D606*PI()/180)*SIN(I606*PI()/180)))</x:f>
        <x:v>126.86998761494044</x:v>
      </x:c>
      <x:c r="K606" s="21" t="n">
        <x:f>'情景参数模板'!$D$31</x:f>
        <x:v>1.2</x:v>
      </x:c>
      <x:c r="L606" s="21" t="n">
        <x:f>J606*K606</x:f>
        <x:v>152.24398513792852</x:v>
      </x:c>
    </x:row>
    <x:row r="607">
      <x:c r="A607" s="17" t="str">
        <x:v>GD14</x:v>
      </x:c>
      <x:c r="B607" s="17" t="str">
        <x:v>阳江</x:v>
      </x:c>
      <x:c r="C607" s="24" t="n">
        <x:v>111.7831393</x:v>
      </x:c>
      <x:c r="D607" s="24" t="n">
        <x:v>22.0958223</x:v>
      </x:c>
      <x:c r="E607" s="17" t="str">
        <x:v>C18</x:v>
      </x:c>
      <x:c r="F607" s="17" t="str">
        <x:v>清远虚拟回收/检测中心</x:v>
      </x:c>
      <x:c r="G607" s="17" t="str">
        <x:v>回收中心候选</x:v>
      </x:c>
      <x:c r="H607" s="24" t="n">
        <x:v>113.0505994</x:v>
      </x:c>
      <x:c r="I607" s="24" t="n">
        <x:v>23.6832984</x:v>
      </x:c>
      <x:c r="J607" s="21" t="n">
        <x:f>6371*ACOS(MIN(1,COS(D607*PI()/180)*COS(I607*PI()/180)*COS((H607-C607)*PI()/180)+SIN(D607*PI()/180)*SIN(I607*PI()/180)))</x:f>
        <x:v>219.12335494772935</x:v>
      </x:c>
      <x:c r="K607" s="21" t="n">
        <x:f>'情景参数模板'!$D$31</x:f>
        <x:v>1.2</x:v>
      </x:c>
      <x:c r="L607" s="21" t="n">
        <x:f>J607*K607</x:f>
        <x:v>262.9480259372752</x:v>
      </x:c>
    </x:row>
    <x:row r="608">
      <x:c r="A608" s="17" t="str">
        <x:v>GD14</x:v>
      </x:c>
      <x:c r="B608" s="17" t="str">
        <x:v>阳江</x:v>
      </x:c>
      <x:c r="C608" s="24" t="n">
        <x:v>111.7831393</x:v>
      </x:c>
      <x:c r="D608" s="24" t="n">
        <x:v>22.0958223</x:v>
      </x:c>
      <x:c r="E608" s="17" t="str">
        <x:v>C19</x:v>
      </x:c>
      <x:c r="F608" s="17" t="str">
        <x:v>潮州虚拟回收/检测中心</x:v>
      </x:c>
      <x:c r="G608" s="17" t="str">
        <x:v>回收中心候选</x:v>
      </x:c>
      <x:c r="H608" s="24" t="n">
        <x:v>116.6204223</x:v>
      </x:c>
      <x:c r="I608" s="24" t="n">
        <x:v>23.656593</x:v>
      </x:c>
      <x:c r="J608" s="21" t="n">
        <x:f>6371*ACOS(MIN(1,COS(D608*PI()/180)*COS(I608*PI()/180)*COS((H608-C608)*PI()/180)+SIN(D608*PI()/180)*SIN(I608*PI()/180)))</x:f>
        <x:v>525.0419469827197</x:v>
      </x:c>
      <x:c r="K608" s="21" t="n">
        <x:f>'情景参数模板'!$D$31</x:f>
        <x:v>1.2</x:v>
      </x:c>
      <x:c r="L608" s="21" t="n">
        <x:f>J608*K608</x:f>
        <x:v>630.0503363792635</x:v>
      </x:c>
    </x:row>
    <x:row r="609">
      <x:c r="A609" s="17" t="str">
        <x:v>GD14</x:v>
      </x:c>
      <x:c r="B609" s="17" t="str">
        <x:v>阳江</x:v>
      </x:c>
      <x:c r="C609" s="24" t="n">
        <x:v>111.7831393</x:v>
      </x:c>
      <x:c r="D609" s="24" t="n">
        <x:v>22.0958223</x:v>
      </x:c>
      <x:c r="E609" s="17" t="str">
        <x:v>C20</x:v>
      </x:c>
      <x:c r="F609" s="17" t="str">
        <x:v>揭阳虚拟回收/检测中心</x:v>
      </x:c>
      <x:c r="G609" s="17" t="str">
        <x:v>回收中心候选</x:v>
      </x:c>
      <x:c r="H609" s="24" t="n">
        <x:v>116.3680354</x:v>
      </x:c>
      <x:c r="I609" s="24" t="n">
        <x:v>23.553156</x:v>
      </x:c>
      <x:c r="J609" s="21" t="n">
        <x:f>6371*ACOS(MIN(1,COS(D609*PI()/180)*COS(I609*PI()/180)*COS((H609-C609)*PI()/180)+SIN(D609*PI()/180)*SIN(I609*PI()/180)))</x:f>
        <x:v>497.0181002668554</x:v>
      </x:c>
      <x:c r="K609" s="21" t="n">
        <x:f>'情景参数模板'!$D$31</x:f>
        <x:v>1.2</x:v>
      </x:c>
      <x:c r="L609" s="21" t="n">
        <x:f>J609*K609</x:f>
        <x:v>596.4217203202264</x:v>
      </x:c>
    </x:row>
    <x:row r="610">
      <x:c r="A610" s="17" t="str">
        <x:v>GD14</x:v>
      </x:c>
      <x:c r="B610" s="17" t="str">
        <x:v>阳江</x:v>
      </x:c>
      <x:c r="C610" s="24" t="n">
        <x:v>111.7831393</x:v>
      </x:c>
      <x:c r="D610" s="24" t="n">
        <x:v>22.0958223</x:v>
      </x:c>
      <x:c r="E610" s="17" t="str">
        <x:v>C21</x:v>
      </x:c>
      <x:c r="F610" s="17" t="str">
        <x:v>云浮虚拟回收/检测中心</x:v>
      </x:c>
      <x:c r="G610" s="17" t="str">
        <x:v>回收中心候选</x:v>
      </x:c>
      <x:c r="H610" s="24" t="n">
        <x:v>111.8078586</x:v>
      </x:c>
      <x:c r="I610" s="24" t="n">
        <x:v>22.8546663</x:v>
      </x:c>
      <x:c r="J610" s="21" t="n">
        <x:f>6371*ACOS(MIN(1,COS(D610*PI()/180)*COS(I610*PI()/180)*COS((H610-C610)*PI()/180)+SIN(D610*PI()/180)*SIN(I610*PI()/180)))</x:f>
        <x:v>84.41781959050998</x:v>
      </x:c>
      <x:c r="K610" s="21" t="n">
        <x:f>'情景参数模板'!$D$31</x:f>
        <x:v>1.2</x:v>
      </x:c>
      <x:c r="L610" s="21" t="n">
        <x:f>J610*K610</x:f>
        <x:v>101.30138350861198</x:v>
      </x:c>
    </x:row>
    <x:row r="611">
      <x:c r="A611" s="17" t="str">
        <x:v>GD14</x:v>
      </x:c>
      <x:c r="B611" s="17" t="str">
        <x:v>阳江</x:v>
      </x:c>
      <x:c r="C611" s="24" t="n">
        <x:v>111.7831393</x:v>
      </x:c>
      <x:c r="D611" s="24" t="n">
        <x:v>22.0958223</x:v>
      </x:c>
      <x:c r="E611" s="17" t="str">
        <x:v>P01</x:v>
      </x:c>
      <x:c r="F611" s="17" t="str">
        <x:v>汕尾比亚迪废旧动力电池回收项目</x:v>
      </x:c>
      <x:c r="G611" s="17" t="str">
        <x:v>再生利用</x:v>
      </x:c>
      <x:c r="H611" s="24" t="n">
        <x:v>115.3492668</x:v>
      </x:c>
      <x:c r="I611" s="24" t="n">
        <x:v>22.838065</x:v>
      </x:c>
      <x:c r="J611" s="21" t="n">
        <x:f>6371*ACOS(MIN(1,COS(D611*PI()/180)*COS(I611*PI()/180)*COS((H611-C611)*PI()/180)+SIN(D611*PI()/180)*SIN(I611*PI()/180)))</x:f>
        <x:v>375.6057366169647</x:v>
      </x:c>
      <x:c r="K611" s="21" t="n">
        <x:f>'情景参数模板'!$D$31</x:f>
        <x:v>1.2</x:v>
      </x:c>
      <x:c r="L611" s="21" t="n">
        <x:f>J611*K611</x:f>
        <x:v>450.7268839403576</x:v>
      </x:c>
    </x:row>
    <x:row r="612">
      <x:c r="A612" s="17" t="str">
        <x:v>GD14</x:v>
      </x:c>
      <x:c r="B612" s="17" t="str">
        <x:v>阳江</x:v>
      </x:c>
      <x:c r="C612" s="24" t="n">
        <x:v>111.7831393</x:v>
      </x:c>
      <x:c r="D612" s="24" t="n">
        <x:v>22.0958223</x:v>
      </x:c>
      <x:c r="E612" s="17" t="str">
        <x:v>P02E</x:v>
      </x:c>
      <x:c r="F612" s="17" t="str">
        <x:v>广东光华科技股份有限公司（梯次功能）</x:v>
      </x:c>
      <x:c r="G612" s="17" t="str">
        <x:v>梯次利用</x:v>
      </x:c>
      <x:c r="H612" s="24" t="n">
        <x:v>116.6775856</x:v>
      </x:c>
      <x:c r="I612" s="24" t="n">
        <x:v>23.3563921</x:v>
      </x:c>
      <x:c r="J612" s="21" t="n">
        <x:f>6371*ACOS(MIN(1,COS(D612*PI()/180)*COS(I612*PI()/180)*COS((H612-C612)*PI()/180)+SIN(D612*PI()/180)*SIN(I612*PI()/180)))</x:f>
        <x:v>521.1497268263299</x:v>
      </x:c>
      <x:c r="K612" s="21" t="n">
        <x:f>'情景参数模板'!$D$31</x:f>
        <x:v>1.2</x:v>
      </x:c>
      <x:c r="L612" s="21" t="n">
        <x:f>J612*K612</x:f>
        <x:v>625.3796721915959</x:v>
      </x:c>
    </x:row>
    <x:row r="613">
      <x:c r="A613" s="17" t="str">
        <x:v>GD14</x:v>
      </x:c>
      <x:c r="B613" s="17" t="str">
        <x:v>阳江</x:v>
      </x:c>
      <x:c r="C613" s="24" t="n">
        <x:v>111.7831393</x:v>
      </x:c>
      <x:c r="D613" s="24" t="n">
        <x:v>22.0958223</x:v>
      </x:c>
      <x:c r="E613" s="17" t="str">
        <x:v>P02R</x:v>
      </x:c>
      <x:c r="F613" s="17" t="str">
        <x:v>广东光华科技股份有限公司（再生功能）</x:v>
      </x:c>
      <x:c r="G613" s="17" t="str">
        <x:v>再生利用</x:v>
      </x:c>
      <x:c r="H613" s="24" t="n">
        <x:v>116.6775856</x:v>
      </x:c>
      <x:c r="I613" s="24" t="n">
        <x:v>23.3563921</x:v>
      </x:c>
      <x:c r="J613" s="21" t="n">
        <x:f>6371*ACOS(MIN(1,COS(D613*PI()/180)*COS(I613*PI()/180)*COS((H613-C613)*PI()/180)+SIN(D613*PI()/180)*SIN(I613*PI()/180)))</x:f>
        <x:v>521.1497268263299</x:v>
      </x:c>
      <x:c r="K613" s="21" t="n">
        <x:f>'情景参数模板'!$D$31</x:f>
        <x:v>1.2</x:v>
      </x:c>
      <x:c r="L613" s="21" t="n">
        <x:f>J613*K613</x:f>
        <x:v>625.3796721915959</x:v>
      </x:c>
    </x:row>
    <x:row r="614">
      <x:c r="A614" s="17" t="str">
        <x:v>GD14</x:v>
      </x:c>
      <x:c r="B614" s="17" t="str">
        <x:v>阳江</x:v>
      </x:c>
      <x:c r="C614" s="24" t="n">
        <x:v>111.7831393</x:v>
      </x:c>
      <x:c r="D614" s="24" t="n">
        <x:v>22.0958223</x:v>
      </x:c>
      <x:c r="E614" s="17" t="str">
        <x:v>P03</x:v>
      </x:c>
      <x:c r="F614" s="17" t="str">
        <x:v>深圳深汕特别合作区乾泰技术有限公司</x:v>
      </x:c>
      <x:c r="G614" s="17" t="str">
        <x:v>梯次利用</x:v>
      </x:c>
      <x:c r="H614" s="24" t="n">
        <x:v>115.5099937</x:v>
      </x:c>
      <x:c r="I614" s="24" t="n">
        <x:v>23.0123639</x:v>
      </x:c>
      <x:c r="J614" s="21" t="n">
        <x:f>6371*ACOS(MIN(1,COS(D614*PI()/180)*COS(I614*PI()/180)*COS((H614-C614)*PI()/180)+SIN(D614*PI()/180)*SIN(I614*PI()/180)))</x:f>
        <x:v>396.03429540890875</x:v>
      </x:c>
      <x:c r="K614" s="21" t="n">
        <x:f>'情景参数模板'!$D$31</x:f>
        <x:v>1.2</x:v>
      </x:c>
      <x:c r="L614" s="21" t="n">
        <x:f>J614*K614</x:f>
        <x:v>475.24115449069046</x:v>
      </x:c>
    </x:row>
    <x:row r="615">
      <x:c r="A615" s="17" t="str">
        <x:v>GD14</x:v>
      </x:c>
      <x:c r="B615" s="17" t="str">
        <x:v>阳江</x:v>
      </x:c>
      <x:c r="C615" s="24" t="n">
        <x:v>111.7831393</x:v>
      </x:c>
      <x:c r="D615" s="24" t="n">
        <x:v>22.0958223</x:v>
      </x:c>
      <x:c r="E615" s="17" t="str">
        <x:v>P04</x:v>
      </x:c>
      <x:c r="F615" s="17" t="str">
        <x:v>珠海中力新能源科技有限公司</x:v>
      </x:c>
      <x:c r="G615" s="17" t="str">
        <x:v>梯次利用</x:v>
      </x:c>
      <x:c r="H615" s="24" t="n">
        <x:v>113.5721327</x:v>
      </x:c>
      <x:c r="I615" s="24" t="n">
        <x:v>22.273734</x:v>
      </x:c>
      <x:c r="J615" s="21" t="n">
        <x:f>6371*ACOS(MIN(1,COS(D615*PI()/180)*COS(I615*PI()/180)*COS((H615-C615)*PI()/180)+SIN(D615*PI()/180)*SIN(I615*PI()/180)))</x:f>
        <x:v>185.25871984739948</x:v>
      </x:c>
      <x:c r="K615" s="21" t="n">
        <x:f>'情景参数模板'!$D$31</x:f>
        <x:v>1.2</x:v>
      </x:c>
      <x:c r="L615" s="21" t="n">
        <x:f>J615*K615</x:f>
        <x:v>222.31046381687938</x:v>
      </x:c>
    </x:row>
    <x:row r="616">
      <x:c r="A616" s="17" t="str">
        <x:v>GD14</x:v>
      </x:c>
      <x:c r="B616" s="17" t="str">
        <x:v>阳江</x:v>
      </x:c>
      <x:c r="C616" s="24" t="n">
        <x:v>111.7831393</x:v>
      </x:c>
      <x:c r="D616" s="24" t="n">
        <x:v>22.0958223</x:v>
      </x:c>
      <x:c r="E616" s="17" t="str">
        <x:v>P05</x:v>
      </x:c>
      <x:c r="F616" s="17" t="str">
        <x:v>惠州市恒创睿能环保科技有限公司</x:v>
      </x:c>
      <x:c r="G616" s="17" t="str">
        <x:v>梯次利用</x:v>
      </x:c>
      <x:c r="H616" s="24" t="n">
        <x:v>114.4127007</x:v>
      </x:c>
      <x:c r="I616" s="24" t="n">
        <x:v>23.1125153</x:v>
      </x:c>
      <x:c r="J616" s="21" t="n">
        <x:f>6371*ACOS(MIN(1,COS(D616*PI()/180)*COS(I616*PI()/180)*COS((H616-C616)*PI()/180)+SIN(D616*PI()/180)*SIN(I616*PI()/180)))</x:f>
        <x:v>292.642269876442</x:v>
      </x:c>
      <x:c r="K616" s="21" t="n">
        <x:f>'情景参数模板'!$D$31</x:f>
        <x:v>1.2</x:v>
      </x:c>
      <x:c r="L616" s="21" t="n">
        <x:f>J616*K616</x:f>
        <x:v>351.17072385173043</x:v>
      </x:c>
    </x:row>
    <x:row r="617">
      <x:c r="A617" s="17" t="str">
        <x:v>GD14</x:v>
      </x:c>
      <x:c r="B617" s="17" t="str">
        <x:v>阳江</x:v>
      </x:c>
      <x:c r="C617" s="24" t="n">
        <x:v>111.7831393</x:v>
      </x:c>
      <x:c r="D617" s="24" t="n">
        <x:v>22.0958223</x:v>
      </x:c>
      <x:c r="E617" s="17" t="str">
        <x:v>P06</x:v>
      </x:c>
      <x:c r="F617" s="17" t="str">
        <x:v>江门市朗达锂电池有限公司</x:v>
      </x:c>
      <x:c r="G617" s="17" t="str">
        <x:v>梯次利用</x:v>
      </x:c>
      <x:c r="H617" s="24" t="n">
        <x:v>113.0761073</x:v>
      </x:c>
      <x:c r="I617" s="24" t="n">
        <x:v>22.5816619</x:v>
      </x:c>
      <x:c r="J617" s="21" t="n">
        <x:f>6371*ACOS(MIN(1,COS(D617*PI()/180)*COS(I617*PI()/180)*COS((H617-C617)*PI()/180)+SIN(D617*PI()/180)*SIN(I617*PI()/180)))</x:f>
        <x:v>143.53528753193643</x:v>
      </x:c>
      <x:c r="K617" s="21" t="n">
        <x:f>'情景参数模板'!$D$31</x:f>
        <x:v>1.2</x:v>
      </x:c>
      <x:c r="L617" s="21" t="n">
        <x:f>J617*K617</x:f>
        <x:v>172.24234503832372</x:v>
      </x:c>
    </x:row>
    <x:row r="618">
      <x:c r="A618" s="17" t="str">
        <x:v>GD14</x:v>
      </x:c>
      <x:c r="B618" s="17" t="str">
        <x:v>阳江</x:v>
      </x:c>
      <x:c r="C618" s="24" t="n">
        <x:v>111.7831393</x:v>
      </x:c>
      <x:c r="D618" s="24" t="n">
        <x:v>22.0958223</x:v>
      </x:c>
      <x:c r="E618" s="17" t="str">
        <x:v>P07</x:v>
      </x:c>
      <x:c r="F618" s="17" t="str">
        <x:v>广东迪度新能源有限公司</x:v>
      </x:c>
      <x:c r="G618" s="17" t="str">
        <x:v>梯次利用</x:v>
      </x:c>
      <x:c r="H618" s="24" t="n">
        <x:v>113.7452332</x:v>
      </x:c>
      <x:c r="I618" s="24" t="n">
        <x:v>23.0183568</x:v>
      </x:c>
      <x:c r="J618" s="21" t="n">
        <x:f>6371*ACOS(MIN(1,COS(D618*PI()/180)*COS(I618*PI()/180)*COS((H618-C618)*PI()/180)+SIN(D618*PI()/180)*SIN(I618*PI()/180)))</x:f>
        <x:v>226.09022435971104</x:v>
      </x:c>
      <x:c r="K618" s="21" t="n">
        <x:f>'情景参数模板'!$D$31</x:f>
        <x:v>1.2</x:v>
      </x:c>
      <x:c r="L618" s="21" t="n">
        <x:f>J618*K618</x:f>
        <x:v>271.30826923165324</x:v>
      </x:c>
    </x:row>
    <x:row r="619">
      <x:c r="A619" s="17" t="str">
        <x:v>GD14</x:v>
      </x:c>
      <x:c r="B619" s="17" t="str">
        <x:v>阳江</x:v>
      </x:c>
      <x:c r="C619" s="24" t="n">
        <x:v>111.7831393</x:v>
      </x:c>
      <x:c r="D619" s="24" t="n">
        <x:v>22.0958223</x:v>
      </x:c>
      <x:c r="E619" s="17" t="str">
        <x:v>P08</x:v>
      </x:c>
      <x:c r="F619" s="17" t="str">
        <x:v>东莞市博森新能源有限公司</x:v>
      </x:c>
      <x:c r="G619" s="17" t="str">
        <x:v>梯次利用</x:v>
      </x:c>
      <x:c r="H619" s="24" t="n">
        <x:v>113.7452332</x:v>
      </x:c>
      <x:c r="I619" s="24" t="n">
        <x:v>23.0183568</x:v>
      </x:c>
      <x:c r="J619" s="21" t="n">
        <x:f>6371*ACOS(MIN(1,COS(D619*PI()/180)*COS(I619*PI()/180)*COS((H619-C619)*PI()/180)+SIN(D619*PI()/180)*SIN(I619*PI()/180)))</x:f>
        <x:v>226.09022435971104</x:v>
      </x:c>
      <x:c r="K619" s="21" t="n">
        <x:f>'情景参数模板'!$D$31</x:f>
        <x:v>1.2</x:v>
      </x:c>
      <x:c r="L619" s="21" t="n">
        <x:f>J619*K619</x:f>
        <x:v>271.30826923165324</x:v>
      </x:c>
    </x:row>
    <x:row r="620">
      <x:c r="A620" s="17" t="str">
        <x:v>GD14</x:v>
      </x:c>
      <x:c r="B620" s="17" t="str">
        <x:v>阳江</x:v>
      </x:c>
      <x:c r="C620" s="24" t="n">
        <x:v>111.7831393</x:v>
      </x:c>
      <x:c r="D620" s="24" t="n">
        <x:v>22.0958223</x:v>
      </x:c>
      <x:c r="E620" s="17" t="str">
        <x:v>P09</x:v>
      </x:c>
      <x:c r="F620" s="17" t="str">
        <x:v>广东宇阳新能源有限公司</x:v>
      </x:c>
      <x:c r="G620" s="17" t="str">
        <x:v>梯次利用</x:v>
      </x:c>
      <x:c r="H620" s="24" t="n">
        <x:v>113.7452332</x:v>
      </x:c>
      <x:c r="I620" s="24" t="n">
        <x:v>23.0183568</x:v>
      </x:c>
      <x:c r="J620" s="21" t="n">
        <x:f>6371*ACOS(MIN(1,COS(D620*PI()/180)*COS(I620*PI()/180)*COS((H620-C620)*PI()/180)+SIN(D620*PI()/180)*SIN(I620*PI()/180)))</x:f>
        <x:v>226.09022435971104</x:v>
      </x:c>
      <x:c r="K620" s="21" t="n">
        <x:f>'情景参数模板'!$D$31</x:f>
        <x:v>1.2</x:v>
      </x:c>
      <x:c r="L620" s="21" t="n">
        <x:f>J620*K620</x:f>
        <x:v>271.30826923165324</x:v>
      </x:c>
    </x:row>
    <x:row r="621">
      <x:c r="A621" s="17" t="str">
        <x:v>GD14</x:v>
      </x:c>
      <x:c r="B621" s="17" t="str">
        <x:v>阳江</x:v>
      </x:c>
      <x:c r="C621" s="24" t="n">
        <x:v>111.7831393</x:v>
      </x:c>
      <x:c r="D621" s="24" t="n">
        <x:v>22.0958223</x:v>
      </x:c>
      <x:c r="E621" s="17" t="str">
        <x:v>P10</x:v>
      </x:c>
      <x:c r="F621" s="17" t="str">
        <x:v>广州广汽商贸再生资源有限公司</x:v>
      </x:c>
      <x:c r="G621" s="17" t="str">
        <x:v>梯次利用</x:v>
      </x:c>
      <x:c r="H621" s="24" t="n">
        <x:v>113.2589581</x:v>
      </x:c>
      <x:c r="I621" s="24" t="n">
        <x:v>23.1288429</x:v>
      </x:c>
      <x:c r="J621" s="21" t="n">
        <x:f>6371*ACOS(MIN(1,COS(D621*PI()/180)*COS(I621*PI()/180)*COS((H621-C621)*PI()/180)+SIN(D621*PI()/180)*SIN(I621*PI()/180)))</x:f>
        <x:v>190.11044852396574</x:v>
      </x:c>
      <x:c r="K621" s="21" t="n">
        <x:f>'情景参数模板'!$D$31</x:f>
        <x:v>1.2</x:v>
      </x:c>
      <x:c r="L621" s="21" t="n">
        <x:f>J621*K621</x:f>
        <x:v>228.13253822875888</x:v>
      </x:c>
    </x:row>
    <x:row r="622">
      <x:c r="A622" s="17" t="str">
        <x:v>GD14</x:v>
      </x:c>
      <x:c r="B622" s="17" t="str">
        <x:v>阳江</x:v>
      </x:c>
      <x:c r="C622" s="24" t="n">
        <x:v>111.7831393</x:v>
      </x:c>
      <x:c r="D622" s="24" t="n">
        <x:v>22.0958223</x:v>
      </x:c>
      <x:c r="E622" s="17" t="str">
        <x:v>P11</x:v>
      </x:c>
      <x:c r="F622" s="17" t="str">
        <x:v>深圳市杰成镍钴新能源科技有限公司</x:v>
      </x:c>
      <x:c r="G622" s="17" t="str">
        <x:v>梯次利用</x:v>
      </x:c>
      <x:c r="H622" s="24" t="n">
        <x:v>114.0545429</x:v>
      </x:c>
      <x:c r="I622" s="24" t="n">
        <x:v>22.5445741</x:v>
      </x:c>
      <x:c r="J622" s="21" t="n">
        <x:f>6371*ACOS(MIN(1,COS(D622*PI()/180)*COS(I622*PI()/180)*COS((H622-C622)*PI()/180)+SIN(D622*PI()/180)*SIN(I622*PI()/180)))</x:f>
        <x:v>238.91102093560318</x:v>
      </x:c>
      <x:c r="K622" s="21" t="n">
        <x:f>'情景参数模板'!$D$31</x:f>
        <x:v>1.2</x:v>
      </x:c>
      <x:c r="L622" s="21" t="n">
        <x:f>J622*K622</x:f>
        <x:v>286.6932251227238</x:v>
      </x:c>
    </x:row>
    <x:row r="623">
      <x:c r="A623" s="17" t="str">
        <x:v>GD14</x:v>
      </x:c>
      <x:c r="B623" s="17" t="str">
        <x:v>阳江</x:v>
      </x:c>
      <x:c r="C623" s="24" t="n">
        <x:v>111.7831393</x:v>
      </x:c>
      <x:c r="D623" s="24" t="n">
        <x:v>22.0958223</x:v>
      </x:c>
      <x:c r="E623" s="17" t="str">
        <x:v>P12</x:v>
      </x:c>
      <x:c r="F623" s="17" t="str">
        <x:v>江门市恒创睿能环保科技有限公司</x:v>
      </x:c>
      <x:c r="G623" s="17" t="str">
        <x:v>再生利用</x:v>
      </x:c>
      <x:c r="H623" s="24" t="n">
        <x:v>113.0761073</x:v>
      </x:c>
      <x:c r="I623" s="24" t="n">
        <x:v>22.5816619</x:v>
      </x:c>
      <x:c r="J623" s="21" t="n">
        <x:f>6371*ACOS(MIN(1,COS(D623*PI()/180)*COS(I623*PI()/180)*COS((H623-C623)*PI()/180)+SIN(D623*PI()/180)*SIN(I623*PI()/180)))</x:f>
        <x:v>143.53528753193643</x:v>
      </x:c>
      <x:c r="K623" s="21" t="n">
        <x:f>'情景参数模板'!$D$31</x:f>
        <x:v>1.2</x:v>
      </x:c>
      <x:c r="L623" s="21" t="n">
        <x:f>J623*K623</x:f>
        <x:v>172.24234503832372</x:v>
      </x:c>
    </x:row>
    <x:row r="624">
      <x:c r="A624" s="17" t="str">
        <x:v>GD14</x:v>
      </x:c>
      <x:c r="B624" s="17" t="str">
        <x:v>阳江</x:v>
      </x:c>
      <x:c r="C624" s="24" t="n">
        <x:v>111.7831393</x:v>
      </x:c>
      <x:c r="D624" s="24" t="n">
        <x:v>22.0958223</x:v>
      </x:c>
      <x:c r="E624" s="17" t="str">
        <x:v>P13</x:v>
      </x:c>
      <x:c r="F624" s="17" t="str">
        <x:v>广东佳纳能源科技有限公司</x:v>
      </x:c>
      <x:c r="G624" s="17" t="str">
        <x:v>再生利用</x:v>
      </x:c>
      <x:c r="H624" s="24" t="n">
        <x:v>113.0505994</x:v>
      </x:c>
      <x:c r="I624" s="24" t="n">
        <x:v>23.6832984</x:v>
      </x:c>
      <x:c r="J624" s="21" t="n">
        <x:f>6371*ACOS(MIN(1,COS(D624*PI()/180)*COS(I624*PI()/180)*COS((H624-C624)*PI()/180)+SIN(D624*PI()/180)*SIN(I624*PI()/180)))</x:f>
        <x:v>219.12335494772935</x:v>
      </x:c>
      <x:c r="K624" s="21" t="n">
        <x:f>'情景参数模板'!$D$31</x:f>
        <x:v>1.2</x:v>
      </x:c>
      <x:c r="L624" s="21" t="n">
        <x:f>J624*K624</x:f>
        <x:v>262.9480259372752</x:v>
      </x:c>
    </x:row>
    <x:row r="625">
      <x:c r="A625" s="17" t="str">
        <x:v>GD14</x:v>
      </x:c>
      <x:c r="B625" s="17" t="str">
        <x:v>阳江</x:v>
      </x:c>
      <x:c r="C625" s="24" t="n">
        <x:v>111.7831393</x:v>
      </x:c>
      <x:c r="D625" s="24" t="n">
        <x:v>22.0958223</x:v>
      </x:c>
      <x:c r="E625" s="17" t="str">
        <x:v>P14</x:v>
      </x:c>
      <x:c r="F625" s="17" t="str">
        <x:v>格林美（深圳）循环科技有限公司</x:v>
      </x:c>
      <x:c r="G625" s="17" t="str">
        <x:v>梯次利用</x:v>
      </x:c>
      <x:c r="H625" s="24" t="n">
        <x:v>114.0545429</x:v>
      </x:c>
      <x:c r="I625" s="24" t="n">
        <x:v>22.5445741</x:v>
      </x:c>
      <x:c r="J625" s="21" t="n">
        <x:f>6371*ACOS(MIN(1,COS(D625*PI()/180)*COS(I625*PI()/180)*COS((H625-C625)*PI()/180)+SIN(D625*PI()/180)*SIN(I625*PI()/180)))</x:f>
        <x:v>238.91102093560318</x:v>
      </x:c>
      <x:c r="K625" s="21" t="n">
        <x:f>'情景参数模板'!$D$31</x:f>
        <x:v>1.2</x:v>
      </x:c>
      <x:c r="L625" s="21" t="n">
        <x:f>J625*K625</x:f>
        <x:v>286.6932251227238</x:v>
      </x:c>
    </x:row>
    <x:row r="626">
      <x:c r="A626" s="17" t="str">
        <x:v>GD14</x:v>
      </x:c>
      <x:c r="B626" s="17" t="str">
        <x:v>阳江</x:v>
      </x:c>
      <x:c r="C626" s="24" t="n">
        <x:v>111.7831393</x:v>
      </x:c>
      <x:c r="D626" s="24" t="n">
        <x:v>22.0958223</x:v>
      </x:c>
      <x:c r="E626" s="17" t="str">
        <x:v>P15</x:v>
      </x:c>
      <x:c r="F626" s="17" t="str">
        <x:v>绿循新能源科技（佛山）有限责任公司</x:v>
      </x:c>
      <x:c r="G626" s="17" t="str">
        <x:v>梯次利用</x:v>
      </x:c>
      <x:c r="H626" s="24" t="n">
        <x:v>113.1159558</x:v>
      </x:c>
      <x:c r="I626" s="24" t="n">
        <x:v>23.0239788</x:v>
      </x:c>
      <x:c r="J626" s="21" t="n">
        <x:f>6371*ACOS(MIN(1,COS(D626*PI()/180)*COS(I626*PI()/180)*COS((H626-C626)*PI()/180)+SIN(D626*PI()/180)*SIN(I626*PI()/180)))</x:f>
        <x:v>171.41164681318705</x:v>
      </x:c>
      <x:c r="K626" s="21" t="n">
        <x:f>'情景参数模板'!$D$31</x:f>
        <x:v>1.2</x:v>
      </x:c>
      <x:c r="L626" s="21" t="n">
        <x:f>J626*K626</x:f>
        <x:v>205.69397617582445</x:v>
      </x:c>
    </x:row>
    <x:row r="627">
      <x:c r="A627" s="17" t="str">
        <x:v>GD14</x:v>
      </x:c>
      <x:c r="B627" s="17" t="str">
        <x:v>阳江</x:v>
      </x:c>
      <x:c r="C627" s="24" t="n">
        <x:v>111.7831393</x:v>
      </x:c>
      <x:c r="D627" s="24" t="n">
        <x:v>22.0958223</x:v>
      </x:c>
      <x:c r="E627" s="17" t="str">
        <x:v>P16</x:v>
      </x:c>
      <x:c r="F627" s="17" t="str">
        <x:v>深圳艾云动智慧科技有限公司</x:v>
      </x:c>
      <x:c r="G627" s="17" t="str">
        <x:v>梯次利用</x:v>
      </x:c>
      <x:c r="H627" s="24" t="n">
        <x:v>114.0545429</x:v>
      </x:c>
      <x:c r="I627" s="24" t="n">
        <x:v>22.5445741</x:v>
      </x:c>
      <x:c r="J627" s="21" t="n">
        <x:f>6371*ACOS(MIN(1,COS(D627*PI()/180)*COS(I627*PI()/180)*COS((H627-C627)*PI()/180)+SIN(D627*PI()/180)*SIN(I627*PI()/180)))</x:f>
        <x:v>238.91102093560318</x:v>
      </x:c>
      <x:c r="K627" s="21" t="n">
        <x:f>'情景参数模板'!$D$31</x:f>
        <x:v>1.2</x:v>
      </x:c>
      <x:c r="L627" s="21" t="n">
        <x:f>J627*K627</x:f>
        <x:v>286.6932251227238</x:v>
      </x:c>
    </x:row>
    <x:row r="628">
      <x:c r="A628" s="17" t="str">
        <x:v>GD14</x:v>
      </x:c>
      <x:c r="B628" s="17" t="str">
        <x:v>阳江</x:v>
      </x:c>
      <x:c r="C628" s="24" t="n">
        <x:v>111.7831393</x:v>
      </x:c>
      <x:c r="D628" s="24" t="n">
        <x:v>22.0958223</x:v>
      </x:c>
      <x:c r="E628" s="17" t="str">
        <x:v>P17</x:v>
      </x:c>
      <x:c r="F628" s="17" t="str">
        <x:v>深圳市荣高晟新能源科技有限公司</x:v>
      </x:c>
      <x:c r="G628" s="17" t="str">
        <x:v>梯次利用</x:v>
      </x:c>
      <x:c r="H628" s="24" t="n">
        <x:v>114.0545429</x:v>
      </x:c>
      <x:c r="I628" s="24" t="n">
        <x:v>22.5445741</x:v>
      </x:c>
      <x:c r="J628" s="21" t="n">
        <x:f>6371*ACOS(MIN(1,COS(D628*PI()/180)*COS(I628*PI()/180)*COS((H628-C628)*PI()/180)+SIN(D628*PI()/180)*SIN(I628*PI()/180)))</x:f>
        <x:v>238.91102093560318</x:v>
      </x:c>
      <x:c r="K628" s="21" t="n">
        <x:f>'情景参数模板'!$D$31</x:f>
        <x:v>1.2</x:v>
      </x:c>
      <x:c r="L628" s="21" t="n">
        <x:f>J628*K628</x:f>
        <x:v>286.6932251227238</x:v>
      </x:c>
    </x:row>
    <x:row r="629">
      <x:c r="A629" s="17" t="str">
        <x:v>GD14</x:v>
      </x:c>
      <x:c r="B629" s="17" t="str">
        <x:v>阳江</x:v>
      </x:c>
      <x:c r="C629" s="24" t="n">
        <x:v>111.7831393</x:v>
      </x:c>
      <x:c r="D629" s="24" t="n">
        <x:v>22.0958223</x:v>
      </x:c>
      <x:c r="E629" s="17" t="str">
        <x:v>P18</x:v>
      </x:c>
      <x:c r="F629" s="17" t="str">
        <x:v>中商锂新能源科技（惠州）有限公司</x:v>
      </x:c>
      <x:c r="G629" s="17" t="str">
        <x:v>梯次利用</x:v>
      </x:c>
      <x:c r="H629" s="24" t="n">
        <x:v>114.4127007</x:v>
      </x:c>
      <x:c r="I629" s="24" t="n">
        <x:v>23.1125153</x:v>
      </x:c>
      <x:c r="J629" s="21" t="n">
        <x:f>6371*ACOS(MIN(1,COS(D629*PI()/180)*COS(I629*PI()/180)*COS((H629-C629)*PI()/180)+SIN(D629*PI()/180)*SIN(I629*PI()/180)))</x:f>
        <x:v>292.642269876442</x:v>
      </x:c>
      <x:c r="K629" s="21" t="n">
        <x:f>'情景参数模板'!$D$31</x:f>
        <x:v>1.2</x:v>
      </x:c>
      <x:c r="L629" s="21" t="n">
        <x:f>J629*K629</x:f>
        <x:v>351.17072385173043</x:v>
      </x:c>
    </x:row>
    <x:row r="630">
      <x:c r="A630" s="17" t="str">
        <x:v>GD14</x:v>
      </x:c>
      <x:c r="B630" s="17" t="str">
        <x:v>阳江</x:v>
      </x:c>
      <x:c r="C630" s="24" t="n">
        <x:v>111.7831393</x:v>
      </x:c>
      <x:c r="D630" s="24" t="n">
        <x:v>22.0958223</x:v>
      </x:c>
      <x:c r="E630" s="17" t="str">
        <x:v>P19</x:v>
      </x:c>
      <x:c r="F630" s="17" t="str">
        <x:v>广东盛祥新材料科技有限公司</x:v>
      </x:c>
      <x:c r="G630" s="17" t="str">
        <x:v>再生利用</x:v>
      </x:c>
      <x:c r="H630" s="24" t="n">
        <x:v>113.8155263</x:v>
      </x:c>
      <x:c r="I630" s="24" t="n">
        <x:v>24.8309489</x:v>
      </x:c>
      <x:c r="J630" s="21" t="n">
        <x:f>6371*ACOS(MIN(1,COS(D630*PI()/180)*COS(I630*PI()/180)*COS((H630-C630)*PI()/180)+SIN(D630*PI()/180)*SIN(I630*PI()/180)))</x:f>
        <x:v>368.04654773255174</x:v>
      </x:c>
      <x:c r="K630" s="21" t="n">
        <x:f>'情景参数模板'!$D$31</x:f>
        <x:v>1.2</x:v>
      </x:c>
      <x:c r="L630" s="21" t="n">
        <x:f>J630*K630</x:f>
        <x:v>441.6558572790621</x:v>
      </x:c>
    </x:row>
    <x:row r="631">
      <x:c r="A631" s="17" t="str">
        <x:v>GD14</x:v>
      </x:c>
      <x:c r="B631" s="17" t="str">
        <x:v>阳江</x:v>
      </x:c>
      <x:c r="C631" s="24" t="n">
        <x:v>111.7831393</x:v>
      </x:c>
      <x:c r="D631" s="24" t="n">
        <x:v>22.0958223</x:v>
      </x:c>
      <x:c r="E631" s="17" t="str">
        <x:v>P20E</x:v>
      </x:c>
      <x:c r="F631" s="17" t="str">
        <x:v>广东金晟新能源股份有限公司（梯次功能）</x:v>
      </x:c>
      <x:c r="G631" s="17" t="str">
        <x:v>梯次利用</x:v>
      </x:c>
      <x:c r="H631" s="24" t="n">
        <x:v>112.4603629</x:v>
      </x:c>
      <x:c r="I631" s="24" t="n">
        <x:v>23.0501661</x:v>
      </x:c>
      <x:c r="J631" s="21" t="n">
        <x:f>6371*ACOS(MIN(1,COS(D631*PI()/180)*COS(I631*PI()/180)*COS((H631-C631)*PI()/180)+SIN(D631*PI()/180)*SIN(I631*PI()/180)))</x:f>
        <x:v>126.86998761494044</x:v>
      </x:c>
      <x:c r="K631" s="21" t="n">
        <x:f>'情景参数模板'!$D$31</x:f>
        <x:v>1.2</x:v>
      </x:c>
      <x:c r="L631" s="21" t="n">
        <x:f>J631*K631</x:f>
        <x:v>152.24398513792852</x:v>
      </x:c>
    </x:row>
    <x:row r="632">
      <x:c r="A632" s="17" t="str">
        <x:v>GD14</x:v>
      </x:c>
      <x:c r="B632" s="17" t="str">
        <x:v>阳江</x:v>
      </x:c>
      <x:c r="C632" s="24" t="n">
        <x:v>111.7831393</x:v>
      </x:c>
      <x:c r="D632" s="24" t="n">
        <x:v>22.0958223</x:v>
      </x:c>
      <x:c r="E632" s="17" t="str">
        <x:v>P20R</x:v>
      </x:c>
      <x:c r="F632" s="17" t="str">
        <x:v>广东金晟新能源股份有限公司（再生功能）</x:v>
      </x:c>
      <x:c r="G632" s="17" t="str">
        <x:v>再生利用</x:v>
      </x:c>
      <x:c r="H632" s="24" t="n">
        <x:v>112.4603629</x:v>
      </x:c>
      <x:c r="I632" s="24" t="n">
        <x:v>23.0501661</x:v>
      </x:c>
      <x:c r="J632" s="21" t="n">
        <x:f>6371*ACOS(MIN(1,COS(D632*PI()/180)*COS(I632*PI()/180)*COS((H632-C632)*PI()/180)+SIN(D632*PI()/180)*SIN(I632*PI()/180)))</x:f>
        <x:v>126.86998761494044</x:v>
      </x:c>
      <x:c r="K632" s="21" t="n">
        <x:f>'情景参数模板'!$D$31</x:f>
        <x:v>1.2</x:v>
      </x:c>
      <x:c r="L632" s="21" t="n">
        <x:f>J632*K632</x:f>
        <x:v>152.24398513792852</x:v>
      </x:c>
    </x:row>
    <x:row r="633">
      <x:c r="A633" s="17" t="str">
        <x:v>GD14</x:v>
      </x:c>
      <x:c r="B633" s="17" t="str">
        <x:v>阳江</x:v>
      </x:c>
      <x:c r="C633" s="24" t="n">
        <x:v>111.7831393</x:v>
      </x:c>
      <x:c r="D633" s="24" t="n">
        <x:v>22.0958223</x:v>
      </x:c>
      <x:c r="E633" s="17" t="str">
        <x:v>P21E</x:v>
      </x:c>
      <x:c r="F633" s="17" t="str">
        <x:v>广东瑞科美电源技术有限公司（梯次功能）</x:v>
      </x:c>
      <x:c r="G633" s="17" t="str">
        <x:v>梯次利用</x:v>
      </x:c>
      <x:c r="H633" s="24" t="n">
        <x:v>113.1159558</x:v>
      </x:c>
      <x:c r="I633" s="24" t="n">
        <x:v>23.0239788</x:v>
      </x:c>
      <x:c r="J633" s="21" t="n">
        <x:f>6371*ACOS(MIN(1,COS(D633*PI()/180)*COS(I633*PI()/180)*COS((H633-C633)*PI()/180)+SIN(D633*PI()/180)*SIN(I633*PI()/180)))</x:f>
        <x:v>171.41164681318705</x:v>
      </x:c>
      <x:c r="K633" s="21" t="n">
        <x:f>'情景参数模板'!$D$31</x:f>
        <x:v>1.2</x:v>
      </x:c>
      <x:c r="L633" s="21" t="n">
        <x:f>J633*K633</x:f>
        <x:v>205.69397617582445</x:v>
      </x:c>
    </x:row>
    <x:row r="634">
      <x:c r="A634" s="17" t="str">
        <x:v>GD14</x:v>
      </x:c>
      <x:c r="B634" s="17" t="str">
        <x:v>阳江</x:v>
      </x:c>
      <x:c r="C634" s="24" t="n">
        <x:v>111.7831393</x:v>
      </x:c>
      <x:c r="D634" s="24" t="n">
        <x:v>22.0958223</x:v>
      </x:c>
      <x:c r="E634" s="17" t="str">
        <x:v>P21R</x:v>
      </x:c>
      <x:c r="F634" s="17" t="str">
        <x:v>广东瑞科美电源技术有限公司（再生功能）</x:v>
      </x:c>
      <x:c r="G634" s="17" t="str">
        <x:v>再生利用</x:v>
      </x:c>
      <x:c r="H634" s="24" t="n">
        <x:v>113.1159558</x:v>
      </x:c>
      <x:c r="I634" s="24" t="n">
        <x:v>23.0239788</x:v>
      </x:c>
      <x:c r="J634" s="21" t="n">
        <x:f>6371*ACOS(MIN(1,COS(D634*PI()/180)*COS(I634*PI()/180)*COS((H634-C634)*PI()/180)+SIN(D634*PI()/180)*SIN(I634*PI()/180)))</x:f>
        <x:v>171.41164681318705</x:v>
      </x:c>
      <x:c r="K634" s="21" t="n">
        <x:f>'情景参数模板'!$D$31</x:f>
        <x:v>1.2</x:v>
      </x:c>
      <x:c r="L634" s="21" t="n">
        <x:f>J634*K634</x:f>
        <x:v>205.69397617582445</x:v>
      </x:c>
    </x:row>
    <x:row r="635">
      <x:c r="A635" s="17" t="str">
        <x:v>GD15</x:v>
      </x:c>
      <x:c r="B635" s="17" t="str">
        <x:v>湛江</x:v>
      </x:c>
      <x:c r="C635" s="24" t="n">
        <x:v>110.3548318</x:v>
      </x:c>
      <x:c r="D635" s="24" t="n">
        <x:v>21.2737079</x:v>
      </x:c>
      <x:c r="E635" s="17" t="str">
        <x:v>C01</x:v>
      </x:c>
      <x:c r="F635" s="17" t="str">
        <x:v>广州虚拟回收/检测中心</x:v>
      </x:c>
      <x:c r="G635" s="17" t="str">
        <x:v>回收中心候选</x:v>
      </x:c>
      <x:c r="H635" s="24" t="n">
        <x:v>113.2589581</x:v>
      </x:c>
      <x:c r="I635" s="24" t="n">
        <x:v>23.1288429</x:v>
      </x:c>
      <x:c r="J635" s="21" t="n">
        <x:f>6371*ACOS(MIN(1,COS(D635*PI()/180)*COS(I635*PI()/180)*COS((H635-C635)*PI()/180)+SIN(D635*PI()/180)*SIN(I635*PI()/180)))</x:f>
        <x:v>363.2197932210833</x:v>
      </x:c>
      <x:c r="K635" s="21" t="n">
        <x:f>'情景参数模板'!$D$31</x:f>
        <x:v>1.2</x:v>
      </x:c>
      <x:c r="L635" s="21" t="n">
        <x:f>J635*K635</x:f>
        <x:v>435.86375186529995</x:v>
      </x:c>
    </x:row>
    <x:row r="636">
      <x:c r="A636" s="17" t="str">
        <x:v>GD15</x:v>
      </x:c>
      <x:c r="B636" s="17" t="str">
        <x:v>湛江</x:v>
      </x:c>
      <x:c r="C636" s="24" t="n">
        <x:v>110.3548318</x:v>
      </x:c>
      <x:c r="D636" s="24" t="n">
        <x:v>21.2737079</x:v>
      </x:c>
      <x:c r="E636" s="17" t="str">
        <x:v>C02</x:v>
      </x:c>
      <x:c r="F636" s="17" t="str">
        <x:v>深圳虚拟回收/检测中心</x:v>
      </x:c>
      <x:c r="G636" s="17" t="str">
        <x:v>回收中心候选</x:v>
      </x:c>
      <x:c r="H636" s="24" t="n">
        <x:v>114.0545429</x:v>
      </x:c>
      <x:c r="I636" s="24" t="n">
        <x:v>22.5445741</x:v>
      </x:c>
      <x:c r="J636" s="21" t="n">
        <x:f>6371*ACOS(MIN(1,COS(D636*PI()/180)*COS(I636*PI()/180)*COS((H636-C636)*PI()/180)+SIN(D636*PI()/180)*SIN(I636*PI()/180)))</x:f>
        <x:v>406.97813815707536</x:v>
      </x:c>
      <x:c r="K636" s="21" t="n">
        <x:f>'情景参数模板'!$D$31</x:f>
        <x:v>1.2</x:v>
      </x:c>
      <x:c r="L636" s="21" t="n">
        <x:f>J636*K636</x:f>
        <x:v>488.3737657884904</x:v>
      </x:c>
    </x:row>
    <x:row r="637">
      <x:c r="A637" s="17" t="str">
        <x:v>GD15</x:v>
      </x:c>
      <x:c r="B637" s="17" t="str">
        <x:v>湛江</x:v>
      </x:c>
      <x:c r="C637" s="24" t="n">
        <x:v>110.3548318</x:v>
      </x:c>
      <x:c r="D637" s="24" t="n">
        <x:v>21.2737079</x:v>
      </x:c>
      <x:c r="E637" s="17" t="str">
        <x:v>C03</x:v>
      </x:c>
      <x:c r="F637" s="17" t="str">
        <x:v>珠海虚拟回收/检测中心</x:v>
      </x:c>
      <x:c r="G637" s="17" t="str">
        <x:v>回收中心候选</x:v>
      </x:c>
      <x:c r="H637" s="24" t="n">
        <x:v>113.5721327</x:v>
      </x:c>
      <x:c r="I637" s="24" t="n">
        <x:v>22.273734</x:v>
      </x:c>
      <x:c r="J637" s="21" t="n">
        <x:f>6371*ACOS(MIN(1,COS(D637*PI()/180)*COS(I637*PI()/180)*COS((H637-C637)*PI()/180)+SIN(D637*PI()/180)*SIN(I637*PI()/180)))</x:f>
        <x:v>350.328255137951</x:v>
      </x:c>
      <x:c r="K637" s="21" t="n">
        <x:f>'情景参数模板'!$D$31</x:f>
        <x:v>1.2</x:v>
      </x:c>
      <x:c r="L637" s="21" t="n">
        <x:f>J637*K637</x:f>
        <x:v>420.3939061655412</x:v>
      </x:c>
    </x:row>
    <x:row r="638">
      <x:c r="A638" s="17" t="str">
        <x:v>GD15</x:v>
      </x:c>
      <x:c r="B638" s="17" t="str">
        <x:v>湛江</x:v>
      </x:c>
      <x:c r="C638" s="24" t="n">
        <x:v>110.3548318</x:v>
      </x:c>
      <x:c r="D638" s="24" t="n">
        <x:v>21.2737079</x:v>
      </x:c>
      <x:c r="E638" s="17" t="str">
        <x:v>C04</x:v>
      </x:c>
      <x:c r="F638" s="17" t="str">
        <x:v>汕头虚拟回收/检测中心</x:v>
      </x:c>
      <x:c r="G638" s="17" t="str">
        <x:v>回收中心候选</x:v>
      </x:c>
      <x:c r="H638" s="24" t="n">
        <x:v>116.6775856</x:v>
      </x:c>
      <x:c r="I638" s="24" t="n">
        <x:v>23.3563921</x:v>
      </x:c>
      <x:c r="J638" s="21" t="n">
        <x:f>6371*ACOS(MIN(1,COS(D638*PI()/180)*COS(I638*PI()/180)*COS((H638-C638)*PI()/180)+SIN(D638*PI()/180)*SIN(I638*PI()/180)))</x:f>
        <x:v>690.3094605041547</x:v>
      </x:c>
      <x:c r="K638" s="21" t="n">
        <x:f>'情景参数模板'!$D$31</x:f>
        <x:v>1.2</x:v>
      </x:c>
      <x:c r="L638" s="21" t="n">
        <x:f>J638*K638</x:f>
        <x:v>828.3713526049856</x:v>
      </x:c>
    </x:row>
    <x:row r="639">
      <x:c r="A639" s="17" t="str">
        <x:v>GD15</x:v>
      </x:c>
      <x:c r="B639" s="17" t="str">
        <x:v>湛江</x:v>
      </x:c>
      <x:c r="C639" s="24" t="n">
        <x:v>110.3548318</x:v>
      </x:c>
      <x:c r="D639" s="24" t="n">
        <x:v>21.2737079</x:v>
      </x:c>
      <x:c r="E639" s="17" t="str">
        <x:v>C05</x:v>
      </x:c>
      <x:c r="F639" s="17" t="str">
        <x:v>佛山虚拟回收/检测中心</x:v>
      </x:c>
      <x:c r="G639" s="17" t="str">
        <x:v>回收中心候选</x:v>
      </x:c>
      <x:c r="H639" s="24" t="n">
        <x:v>113.1159558</x:v>
      </x:c>
      <x:c r="I639" s="24" t="n">
        <x:v>23.0239788</x:v>
      </x:c>
      <x:c r="J639" s="21" t="n">
        <x:f>6371*ACOS(MIN(1,COS(D639*PI()/180)*COS(I639*PI()/180)*COS((H639-C639)*PI()/180)+SIN(D639*PI()/180)*SIN(I639*PI()/180)))</x:f>
        <x:v>344.5727569641422</x:v>
      </x:c>
      <x:c r="K639" s="21" t="n">
        <x:f>'情景参数模板'!$D$31</x:f>
        <x:v>1.2</x:v>
      </x:c>
      <x:c r="L639" s="21" t="n">
        <x:f>J639*K639</x:f>
        <x:v>413.4873083569706</x:v>
      </x:c>
    </x:row>
    <x:row r="640">
      <x:c r="A640" s="17" t="str">
        <x:v>GD15</x:v>
      </x:c>
      <x:c r="B640" s="17" t="str">
        <x:v>湛江</x:v>
      </x:c>
      <x:c r="C640" s="24" t="n">
        <x:v>110.3548318</x:v>
      </x:c>
      <x:c r="D640" s="24" t="n">
        <x:v>21.2737079</x:v>
      </x:c>
      <x:c r="E640" s="17" t="str">
        <x:v>C06</x:v>
      </x:c>
      <x:c r="F640" s="17" t="str">
        <x:v>韶关虚拟回收/检测中心</x:v>
      </x:c>
      <x:c r="G640" s="17" t="str">
        <x:v>回收中心候选</x:v>
      </x:c>
      <x:c r="H640" s="24" t="n">
        <x:v>113.8155263</x:v>
      </x:c>
      <x:c r="I640" s="24" t="n">
        <x:v>24.8309489</x:v>
      </x:c>
      <x:c r="J640" s="21" t="n">
        <x:f>6371*ACOS(MIN(1,COS(D640*PI()/180)*COS(I640*PI()/180)*COS((H640-C640)*PI()/180)+SIN(D640*PI()/180)*SIN(I640*PI()/180)))</x:f>
        <x:v>530.815118988391</x:v>
      </x:c>
      <x:c r="K640" s="21" t="n">
        <x:f>'情景参数模板'!$D$31</x:f>
        <x:v>1.2</x:v>
      </x:c>
      <x:c r="L640" s="21" t="n">
        <x:f>J640*K640</x:f>
        <x:v>636.9781427860692</x:v>
      </x:c>
    </x:row>
    <x:row r="641">
      <x:c r="A641" s="17" t="str">
        <x:v>GD15</x:v>
      </x:c>
      <x:c r="B641" s="17" t="str">
        <x:v>湛江</x:v>
      </x:c>
      <x:c r="C641" s="24" t="n">
        <x:v>110.3548318</x:v>
      </x:c>
      <x:c r="D641" s="24" t="n">
        <x:v>21.2737079</x:v>
      </x:c>
      <x:c r="E641" s="17" t="str">
        <x:v>C07</x:v>
      </x:c>
      <x:c r="F641" s="17" t="str">
        <x:v>河源虚拟回收/检测中心</x:v>
      </x:c>
      <x:c r="G641" s="17" t="str">
        <x:v>回收中心候选</x:v>
      </x:c>
      <x:c r="H641" s="24" t="n">
        <x:v>115.0577538</x:v>
      </x:c>
      <x:c r="I641" s="24" t="n">
        <x:v>24.1014769</x:v>
      </x:c>
      <x:c r="J641" s="21" t="n">
        <x:f>6371*ACOS(MIN(1,COS(D641*PI()/180)*COS(I641*PI()/180)*COS((H641-C641)*PI()/180)+SIN(D641*PI()/180)*SIN(I641*PI()/180)))</x:f>
        <x:v>575.8131454619048</x:v>
      </x:c>
      <x:c r="K641" s="21" t="n">
        <x:f>'情景参数模板'!$D$31</x:f>
        <x:v>1.2</x:v>
      </x:c>
      <x:c r="L641" s="21" t="n">
        <x:f>J641*K641</x:f>
        <x:v>690.9757745542857</x:v>
      </x:c>
    </x:row>
    <x:row r="642">
      <x:c r="A642" s="17" t="str">
        <x:v>GD15</x:v>
      </x:c>
      <x:c r="B642" s="17" t="str">
        <x:v>湛江</x:v>
      </x:c>
      <x:c r="C642" s="24" t="n">
        <x:v>110.3548318</x:v>
      </x:c>
      <x:c r="D642" s="24" t="n">
        <x:v>21.2737079</x:v>
      </x:c>
      <x:c r="E642" s="17" t="str">
        <x:v>C08</x:v>
      </x:c>
      <x:c r="F642" s="17" t="str">
        <x:v>梅州虚拟回收/检测中心</x:v>
      </x:c>
      <x:c r="G642" s="17" t="str">
        <x:v>回收中心候选</x:v>
      </x:c>
      <x:c r="H642" s="24" t="n">
        <x:v>116.1171428</x:v>
      </x:c>
      <x:c r="I642" s="24" t="n">
        <x:v>24.2918414</x:v>
      </x:c>
      <x:c r="J642" s="21" t="n">
        <x:f>6371*ACOS(MIN(1,COS(D642*PI()/180)*COS(I642*PI()/180)*COS((H642-C642)*PI()/180)+SIN(D642*PI()/180)*SIN(I642*PI()/180)))</x:f>
        <x:v>679.2973545741916</x:v>
      </x:c>
      <x:c r="K642" s="21" t="n">
        <x:f>'情景参数模板'!$D$31</x:f>
        <x:v>1.2</x:v>
      </x:c>
      <x:c r="L642" s="21" t="n">
        <x:f>J642*K642</x:f>
        <x:v>815.1568254890299</x:v>
      </x:c>
    </x:row>
    <x:row r="643">
      <x:c r="A643" s="17" t="str">
        <x:v>GD15</x:v>
      </x:c>
      <x:c r="B643" s="17" t="str">
        <x:v>湛江</x:v>
      </x:c>
      <x:c r="C643" s="24" t="n">
        <x:v>110.3548318</x:v>
      </x:c>
      <x:c r="D643" s="24" t="n">
        <x:v>21.2737079</x:v>
      </x:c>
      <x:c r="E643" s="17" t="str">
        <x:v>C09</x:v>
      </x:c>
      <x:c r="F643" s="17" t="str">
        <x:v>惠州虚拟回收/检测中心</x:v>
      </x:c>
      <x:c r="G643" s="17" t="str">
        <x:v>回收中心候选</x:v>
      </x:c>
      <x:c r="H643" s="24" t="n">
        <x:v>114.4127007</x:v>
      </x:c>
      <x:c r="I643" s="24" t="n">
        <x:v>23.1125153</x:v>
      </x:c>
      <x:c r="J643" s="21" t="n">
        <x:f>6371*ACOS(MIN(1,COS(D643*PI()/180)*COS(I643*PI()/180)*COS((H643-C643)*PI()/180)+SIN(D643*PI()/180)*SIN(I643*PI()/180)))</x:f>
        <x:v>465.101265453624</x:v>
      </x:c>
      <x:c r="K643" s="21" t="n">
        <x:f>'情景参数模板'!$D$31</x:f>
        <x:v>1.2</x:v>
      </x:c>
      <x:c r="L643" s="21" t="n">
        <x:f>J643*K643</x:f>
        <x:v>558.1215185443488</x:v>
      </x:c>
    </x:row>
    <x:row r="644">
      <x:c r="A644" s="17" t="str">
        <x:v>GD15</x:v>
      </x:c>
      <x:c r="B644" s="17" t="str">
        <x:v>湛江</x:v>
      </x:c>
      <x:c r="C644" s="24" t="n">
        <x:v>110.3548318</x:v>
      </x:c>
      <x:c r="D644" s="24" t="n">
        <x:v>21.2737079</x:v>
      </x:c>
      <x:c r="E644" s="17" t="str">
        <x:v>C10</x:v>
      </x:c>
      <x:c r="F644" s="17" t="str">
        <x:v>汕尾虚拟回收/检测中心</x:v>
      </x:c>
      <x:c r="G644" s="17" t="str">
        <x:v>回收中心候选</x:v>
      </x:c>
      <x:c r="H644" s="24" t="n">
        <x:v>115.5099937</x:v>
      </x:c>
      <x:c r="I644" s="24" t="n">
        <x:v>23.0123639</x:v>
      </x:c>
      <x:c r="J644" s="21" t="n">
        <x:f>6371*ACOS(MIN(1,COS(D644*PI()/180)*COS(I644*PI()/180)*COS((H644-C644)*PI()/180)+SIN(D644*PI()/180)*SIN(I644*PI()/180)))</x:f>
        <x:v>564.9997631187175</x:v>
      </x:c>
      <x:c r="K644" s="21" t="n">
        <x:f>'情景参数模板'!$D$31</x:f>
        <x:v>1.2</x:v>
      </x:c>
      <x:c r="L644" s="21" t="n">
        <x:f>J644*K644</x:f>
        <x:v>677.999715742461</x:v>
      </x:c>
    </x:row>
    <x:row r="645">
      <x:c r="A645" s="17" t="str">
        <x:v>GD15</x:v>
      </x:c>
      <x:c r="B645" s="17" t="str">
        <x:v>湛江</x:v>
      </x:c>
      <x:c r="C645" s="24" t="n">
        <x:v>110.3548318</x:v>
      </x:c>
      <x:c r="D645" s="24" t="n">
        <x:v>21.2737079</x:v>
      </x:c>
      <x:c r="E645" s="17" t="str">
        <x:v>C11</x:v>
      </x:c>
      <x:c r="F645" s="17" t="str">
        <x:v>东莞虚拟回收/检测中心</x:v>
      </x:c>
      <x:c r="G645" s="17" t="str">
        <x:v>回收中心候选</x:v>
      </x:c>
      <x:c r="H645" s="24" t="n">
        <x:v>113.7452332</x:v>
      </x:c>
      <x:c r="I645" s="24" t="n">
        <x:v>23.0183568</x:v>
      </x:c>
      <x:c r="J645" s="21" t="n">
        <x:f>6371*ACOS(MIN(1,COS(D645*PI()/180)*COS(I645*PI()/180)*COS((H645-C645)*PI()/180)+SIN(D645*PI()/180)*SIN(I645*PI()/180)))</x:f>
        <x:v>399.42971195966777</x:v>
      </x:c>
      <x:c r="K645" s="21" t="n">
        <x:f>'情景参数模板'!$D$31</x:f>
        <x:v>1.2</x:v>
      </x:c>
      <x:c r="L645" s="21" t="n">
        <x:f>J645*K645</x:f>
        <x:v>479.3156543516013</x:v>
      </x:c>
    </x:row>
    <x:row r="646">
      <x:c r="A646" s="17" t="str">
        <x:v>GD15</x:v>
      </x:c>
      <x:c r="B646" s="17" t="str">
        <x:v>湛江</x:v>
      </x:c>
      <x:c r="C646" s="24" t="n">
        <x:v>110.3548318</x:v>
      </x:c>
      <x:c r="D646" s="24" t="n">
        <x:v>21.2737079</x:v>
      </x:c>
      <x:c r="E646" s="17" t="str">
        <x:v>C12</x:v>
      </x:c>
      <x:c r="F646" s="17" t="str">
        <x:v>中山虚拟回收/检测中心</x:v>
      </x:c>
      <x:c r="G646" s="17" t="str">
        <x:v>回收中心候选</x:v>
      </x:c>
      <x:c r="H646" s="24" t="n">
        <x:v>113.3872302</x:v>
      </x:c>
      <x:c r="I646" s="24" t="n">
        <x:v>22.5197073</x:v>
      </x:c>
      <x:c r="J646" s="21" t="n">
        <x:f>6371*ACOS(MIN(1,COS(D646*PI()/180)*COS(I646*PI()/180)*COS((H646-C646)*PI()/180)+SIN(D646*PI()/180)*SIN(I646*PI()/180)))</x:f>
        <x:v>342.1540599613105</x:v>
      </x:c>
      <x:c r="K646" s="21" t="n">
        <x:f>'情景参数模板'!$D$31</x:f>
        <x:v>1.2</x:v>
      </x:c>
      <x:c r="L646" s="21" t="n">
        <x:f>J646*K646</x:f>
        <x:v>410.5848719535726</x:v>
      </x:c>
    </x:row>
    <x:row r="647">
      <x:c r="A647" s="17" t="str">
        <x:v>GD15</x:v>
      </x:c>
      <x:c r="B647" s="17" t="str">
        <x:v>湛江</x:v>
      </x:c>
      <x:c r="C647" s="24" t="n">
        <x:v>110.3548318</x:v>
      </x:c>
      <x:c r="D647" s="24" t="n">
        <x:v>21.2737079</x:v>
      </x:c>
      <x:c r="E647" s="17" t="str">
        <x:v>C13</x:v>
      </x:c>
      <x:c r="F647" s="17" t="str">
        <x:v>江门虚拟回收/检测中心</x:v>
      </x:c>
      <x:c r="G647" s="17" t="str">
        <x:v>回收中心候选</x:v>
      </x:c>
      <x:c r="H647" s="24" t="n">
        <x:v>113.0761073</x:v>
      </x:c>
      <x:c r="I647" s="24" t="n">
        <x:v>22.5816619</x:v>
      </x:c>
      <x:c r="J647" s="21" t="n">
        <x:f>6371*ACOS(MIN(1,COS(D647*PI()/180)*COS(I647*PI()/180)*COS((H647-C647)*PI()/180)+SIN(D647*PI()/180)*SIN(I647*PI()/180)))</x:f>
        <x:v>316.1300829743287</x:v>
      </x:c>
      <x:c r="K647" s="21" t="n">
        <x:f>'情景参数模板'!$D$31</x:f>
        <x:v>1.2</x:v>
      </x:c>
      <x:c r="L647" s="21" t="n">
        <x:f>J647*K647</x:f>
        <x:v>379.3560995691944</x:v>
      </x:c>
    </x:row>
    <x:row r="648">
      <x:c r="A648" s="17" t="str">
        <x:v>GD15</x:v>
      </x:c>
      <x:c r="B648" s="17" t="str">
        <x:v>湛江</x:v>
      </x:c>
      <x:c r="C648" s="24" t="n">
        <x:v>110.3548318</x:v>
      </x:c>
      <x:c r="D648" s="24" t="n">
        <x:v>21.2737079</x:v>
      </x:c>
      <x:c r="E648" s="17" t="str">
        <x:v>C14</x:v>
      </x:c>
      <x:c r="F648" s="17" t="str">
        <x:v>阳江虚拟回收/检测中心</x:v>
      </x:c>
      <x:c r="G648" s="17" t="str">
        <x:v>回收中心候选</x:v>
      </x:c>
      <x:c r="H648" s="24" t="n">
        <x:v>111.7831393</x:v>
      </x:c>
      <x:c r="I648" s="24" t="n">
        <x:v>22.0958223</x:v>
      </x:c>
      <x:c r="J648" s="21" t="n">
        <x:f>6371*ACOS(MIN(1,COS(D648*PI()/180)*COS(I648*PI()/180)*COS((H648-C648)*PI()/180)+SIN(D648*PI()/180)*SIN(I648*PI()/180)))</x:f>
        <x:v>173.59759775337977</x:v>
      </x:c>
      <x:c r="K648" s="21" t="n">
        <x:f>'情景参数模板'!$D$31</x:f>
        <x:v>1.2</x:v>
      </x:c>
      <x:c r="L648" s="21" t="n">
        <x:f>J648*K648</x:f>
        <x:v>208.31711730405573</x:v>
      </x:c>
    </x:row>
    <x:row r="649">
      <x:c r="A649" s="17" t="str">
        <x:v>GD15</x:v>
      </x:c>
      <x:c r="B649" s="17" t="str">
        <x:v>湛江</x:v>
      </x:c>
      <x:c r="C649" s="24" t="n">
        <x:v>110.3548318</x:v>
      </x:c>
      <x:c r="D649" s="24" t="n">
        <x:v>21.2737079</x:v>
      </x:c>
      <x:c r="E649" s="17" t="str">
        <x:v>C15</x:v>
      </x:c>
      <x:c r="F649" s="17" t="str">
        <x:v>湛江虚拟回收/检测中心</x:v>
      </x:c>
      <x:c r="G649" s="17" t="str">
        <x:v>回收中心候选</x:v>
      </x:c>
      <x:c r="H649" s="24" t="n">
        <x:v>110.3548318</x:v>
      </x:c>
      <x:c r="I649" s="24" t="n">
        <x:v>21.2737079</x:v>
      </x:c>
      <x:c r="J649" s="21" t="n">
        <x:f>6371*ACOS(MIN(1,COS(D649*PI()/180)*COS(I649*PI()/180)*COS((H649-C649)*PI()/180)+SIN(D649*PI()/180)*SIN(I649*PI()/180)))</x:f>
        <x:v>0</x:v>
      </x:c>
      <x:c r="K649" s="21" t="n">
        <x:f>'情景参数模板'!$D$31</x:f>
        <x:v>1.2</x:v>
      </x:c>
      <x:c r="L649" s="21" t="n">
        <x:f>J649*K649</x:f>
        <x:v>0</x:v>
      </x:c>
    </x:row>
    <x:row r="650">
      <x:c r="A650" s="17" t="str">
        <x:v>GD15</x:v>
      </x:c>
      <x:c r="B650" s="17" t="str">
        <x:v>湛江</x:v>
      </x:c>
      <x:c r="C650" s="24" t="n">
        <x:v>110.3548318</x:v>
      </x:c>
      <x:c r="D650" s="24" t="n">
        <x:v>21.2737079</x:v>
      </x:c>
      <x:c r="E650" s="17" t="str">
        <x:v>C16</x:v>
      </x:c>
      <x:c r="F650" s="17" t="str">
        <x:v>茂名虚拟回收/检测中心</x:v>
      </x:c>
      <x:c r="G650" s="17" t="str">
        <x:v>回收中心候选</x:v>
      </x:c>
      <x:c r="H650" s="24" t="n">
        <x:v>110.9209511</x:v>
      </x:c>
      <x:c r="I650" s="24" t="n">
        <x:v>21.6656961</x:v>
      </x:c>
      <x:c r="J650" s="21" t="n">
        <x:f>6371*ACOS(MIN(1,COS(D650*PI()/180)*COS(I650*PI()/180)*COS((H650-C650)*PI()/180)+SIN(D650*PI()/180)*SIN(I650*PI()/180)))</x:f>
        <x:v>73.017913774945</x:v>
      </x:c>
      <x:c r="K650" s="21" t="n">
        <x:f>'情景参数模板'!$D$31</x:f>
        <x:v>1.2</x:v>
      </x:c>
      <x:c r="L650" s="21" t="n">
        <x:f>J650*K650</x:f>
        <x:v>87.62149652993399</x:v>
      </x:c>
    </x:row>
    <x:row r="651">
      <x:c r="A651" s="17" t="str">
        <x:v>GD15</x:v>
      </x:c>
      <x:c r="B651" s="17" t="str">
        <x:v>湛江</x:v>
      </x:c>
      <x:c r="C651" s="24" t="n">
        <x:v>110.3548318</x:v>
      </x:c>
      <x:c r="D651" s="24" t="n">
        <x:v>21.2737079</x:v>
      </x:c>
      <x:c r="E651" s="17" t="str">
        <x:v>C17</x:v>
      </x:c>
      <x:c r="F651" s="17" t="str">
        <x:v>肇庆虚拟回收/检测中心</x:v>
      </x:c>
      <x:c r="G651" s="17" t="str">
        <x:v>回收中心候选</x:v>
      </x:c>
      <x:c r="H651" s="24" t="n">
        <x:v>112.4603629</x:v>
      </x:c>
      <x:c r="I651" s="24" t="n">
        <x:v>23.0501661</x:v>
      </x:c>
      <x:c r="J651" s="21" t="n">
        <x:f>6371*ACOS(MIN(1,COS(D651*PI()/180)*COS(I651*PI()/180)*COS((H651-C651)*PI()/180)+SIN(D651*PI()/180)*SIN(I651*PI()/180)))</x:f>
        <x:v>293.3038557955491</x:v>
      </x:c>
      <x:c r="K651" s="21" t="n">
        <x:f>'情景参数模板'!$D$31</x:f>
        <x:v>1.2</x:v>
      </x:c>
      <x:c r="L651" s="21" t="n">
        <x:f>J651*K651</x:f>
        <x:v>351.9646269546589</x:v>
      </x:c>
    </x:row>
    <x:row r="652">
      <x:c r="A652" s="17" t="str">
        <x:v>GD15</x:v>
      </x:c>
      <x:c r="B652" s="17" t="str">
        <x:v>湛江</x:v>
      </x:c>
      <x:c r="C652" s="24" t="n">
        <x:v>110.3548318</x:v>
      </x:c>
      <x:c r="D652" s="24" t="n">
        <x:v>21.2737079</x:v>
      </x:c>
      <x:c r="E652" s="17" t="str">
        <x:v>C18</x:v>
      </x:c>
      <x:c r="F652" s="17" t="str">
        <x:v>清远虚拟回收/检测中心</x:v>
      </x:c>
      <x:c r="G652" s="17" t="str">
        <x:v>回收中心候选</x:v>
      </x:c>
      <x:c r="H652" s="24" t="n">
        <x:v>113.0505994</x:v>
      </x:c>
      <x:c r="I652" s="24" t="n">
        <x:v>23.6832984</x:v>
      </x:c>
      <x:c r="J652" s="21" t="n">
        <x:f>6371*ACOS(MIN(1,COS(D652*PI()/180)*COS(I652*PI()/180)*COS((H652-C652)*PI()/180)+SIN(D652*PI()/180)*SIN(I652*PI()/180)))</x:f>
        <x:v>385.34157769899264</x:v>
      </x:c>
      <x:c r="K652" s="21" t="n">
        <x:f>'情景参数模板'!$D$31</x:f>
        <x:v>1.2</x:v>
      </x:c>
      <x:c r="L652" s="21" t="n">
        <x:f>J652*K652</x:f>
        <x:v>462.40989323879114</x:v>
      </x:c>
    </x:row>
    <x:row r="653">
      <x:c r="A653" s="17" t="str">
        <x:v>GD15</x:v>
      </x:c>
      <x:c r="B653" s="17" t="str">
        <x:v>湛江</x:v>
      </x:c>
      <x:c r="C653" s="24" t="n">
        <x:v>110.3548318</x:v>
      </x:c>
      <x:c r="D653" s="24" t="n">
        <x:v>21.2737079</x:v>
      </x:c>
      <x:c r="E653" s="17" t="str">
        <x:v>C19</x:v>
      </x:c>
      <x:c r="F653" s="17" t="str">
        <x:v>潮州虚拟回收/检测中心</x:v>
      </x:c>
      <x:c r="G653" s="17" t="str">
        <x:v>回收中心候选</x:v>
      </x:c>
      <x:c r="H653" s="24" t="n">
        <x:v>116.6204223</x:v>
      </x:c>
      <x:c r="I653" s="24" t="n">
        <x:v>23.656593</x:v>
      </x:c>
      <x:c r="J653" s="21" t="n">
        <x:f>6371*ACOS(MIN(1,COS(D653*PI()/180)*COS(I653*PI()/180)*COS((H653-C653)*PI()/180)+SIN(D653*PI()/180)*SIN(I653*PI()/180)))</x:f>
        <x:v>696.1130775866975</x:v>
      </x:c>
      <x:c r="K653" s="21" t="n">
        <x:f>'情景参数模板'!$D$31</x:f>
        <x:v>1.2</x:v>
      </x:c>
      <x:c r="L653" s="21" t="n">
        <x:f>J653*K653</x:f>
        <x:v>835.335693104037</x:v>
      </x:c>
    </x:row>
    <x:row r="654">
      <x:c r="A654" s="17" t="str">
        <x:v>GD15</x:v>
      </x:c>
      <x:c r="B654" s="17" t="str">
        <x:v>湛江</x:v>
      </x:c>
      <x:c r="C654" s="24" t="n">
        <x:v>110.3548318</x:v>
      </x:c>
      <x:c r="D654" s="24" t="n">
        <x:v>21.2737079</x:v>
      </x:c>
      <x:c r="E654" s="17" t="str">
        <x:v>C20</x:v>
      </x:c>
      <x:c r="F654" s="17" t="str">
        <x:v>揭阳虚拟回收/检测中心</x:v>
      </x:c>
      <x:c r="G654" s="17" t="str">
        <x:v>回收中心候选</x:v>
      </x:c>
      <x:c r="H654" s="24" t="n">
        <x:v>116.3680354</x:v>
      </x:c>
      <x:c r="I654" s="24" t="n">
        <x:v>23.553156</x:v>
      </x:c>
      <x:c r="J654" s="21" t="n">
        <x:f>6371*ACOS(MIN(1,COS(D654*PI()/180)*COS(I654*PI()/180)*COS((H654-C654)*PI()/180)+SIN(D654*PI()/180)*SIN(I654*PI()/180)))</x:f>
        <x:v>667.9796927972593</x:v>
      </x:c>
      <x:c r="K654" s="21" t="n">
        <x:f>'情景参数模板'!$D$31</x:f>
        <x:v>1.2</x:v>
      </x:c>
      <x:c r="L654" s="21" t="n">
        <x:f>J654*K654</x:f>
        <x:v>801.5756313567111</x:v>
      </x:c>
    </x:row>
    <x:row r="655">
      <x:c r="A655" s="17" t="str">
        <x:v>GD15</x:v>
      </x:c>
      <x:c r="B655" s="17" t="str">
        <x:v>湛江</x:v>
      </x:c>
      <x:c r="C655" s="24" t="n">
        <x:v>110.3548318</x:v>
      </x:c>
      <x:c r="D655" s="24" t="n">
        <x:v>21.2737079</x:v>
      </x:c>
      <x:c r="E655" s="17" t="str">
        <x:v>C21</x:v>
      </x:c>
      <x:c r="F655" s="17" t="str">
        <x:v>云浮虚拟回收/检测中心</x:v>
      </x:c>
      <x:c r="G655" s="17" t="str">
        <x:v>回收中心候选</x:v>
      </x:c>
      <x:c r="H655" s="24" t="n">
        <x:v>111.8078586</x:v>
      </x:c>
      <x:c r="I655" s="24" t="n">
        <x:v>22.8546663</x:v>
      </x:c>
      <x:c r="J655" s="21" t="n">
        <x:f>6371*ACOS(MIN(1,COS(D655*PI()/180)*COS(I655*PI()/180)*COS((H655-C655)*PI()/180)+SIN(D655*PI()/180)*SIN(I655*PI()/180)))</x:f>
        <x:v>230.91652154760476</x:v>
      </x:c>
      <x:c r="K655" s="21" t="n">
        <x:f>'情景参数模板'!$D$31</x:f>
        <x:v>1.2</x:v>
      </x:c>
      <x:c r="L655" s="21" t="n">
        <x:f>J655*K655</x:f>
        <x:v>277.0998258571257</x:v>
      </x:c>
    </x:row>
    <x:row r="656">
      <x:c r="A656" s="17" t="str">
        <x:v>GD15</x:v>
      </x:c>
      <x:c r="B656" s="17" t="str">
        <x:v>湛江</x:v>
      </x:c>
      <x:c r="C656" s="24" t="n">
        <x:v>110.3548318</x:v>
      </x:c>
      <x:c r="D656" s="24" t="n">
        <x:v>21.2737079</x:v>
      </x:c>
      <x:c r="E656" s="17" t="str">
        <x:v>P01</x:v>
      </x:c>
      <x:c r="F656" s="17" t="str">
        <x:v>汕尾比亚迪废旧动力电池回收项目</x:v>
      </x:c>
      <x:c r="G656" s="17" t="str">
        <x:v>再生利用</x:v>
      </x:c>
      <x:c r="H656" s="24" t="n">
        <x:v>115.3492668</x:v>
      </x:c>
      <x:c r="I656" s="24" t="n">
        <x:v>22.838065</x:v>
      </x:c>
      <x:c r="J656" s="21" t="n">
        <x:f>6371*ACOS(MIN(1,COS(D656*PI()/180)*COS(I656*PI()/180)*COS((H656-C656)*PI()/180)+SIN(D656*PI()/180)*SIN(I656*PI()/180)))</x:f>
        <x:v>543.2680362186703</x:v>
      </x:c>
      <x:c r="K656" s="21" t="n">
        <x:f>'情景参数模板'!$D$31</x:f>
        <x:v>1.2</x:v>
      </x:c>
      <x:c r="L656" s="21" t="n">
        <x:f>J656*K656</x:f>
        <x:v>651.9216434624044</x:v>
      </x:c>
    </x:row>
    <x:row r="657">
      <x:c r="A657" s="17" t="str">
        <x:v>GD15</x:v>
      </x:c>
      <x:c r="B657" s="17" t="str">
        <x:v>湛江</x:v>
      </x:c>
      <x:c r="C657" s="24" t="n">
        <x:v>110.3548318</x:v>
      </x:c>
      <x:c r="D657" s="24" t="n">
        <x:v>21.2737079</x:v>
      </x:c>
      <x:c r="E657" s="17" t="str">
        <x:v>P02E</x:v>
      </x:c>
      <x:c r="F657" s="17" t="str">
        <x:v>广东光华科技股份有限公司（梯次功能）</x:v>
      </x:c>
      <x:c r="G657" s="17" t="str">
        <x:v>梯次利用</x:v>
      </x:c>
      <x:c r="H657" s="24" t="n">
        <x:v>116.6775856</x:v>
      </x:c>
      <x:c r="I657" s="24" t="n">
        <x:v>23.3563921</x:v>
      </x:c>
      <x:c r="J657" s="21" t="n">
        <x:f>6371*ACOS(MIN(1,COS(D657*PI()/180)*COS(I657*PI()/180)*COS((H657-C657)*PI()/180)+SIN(D657*PI()/180)*SIN(I657*PI()/180)))</x:f>
        <x:v>690.3094605041547</x:v>
      </x:c>
      <x:c r="K657" s="21" t="n">
        <x:f>'情景参数模板'!$D$31</x:f>
        <x:v>1.2</x:v>
      </x:c>
      <x:c r="L657" s="21" t="n">
        <x:f>J657*K657</x:f>
        <x:v>828.3713526049856</x:v>
      </x:c>
    </x:row>
    <x:row r="658">
      <x:c r="A658" s="17" t="str">
        <x:v>GD15</x:v>
      </x:c>
      <x:c r="B658" s="17" t="str">
        <x:v>湛江</x:v>
      </x:c>
      <x:c r="C658" s="24" t="n">
        <x:v>110.3548318</x:v>
      </x:c>
      <x:c r="D658" s="24" t="n">
        <x:v>21.2737079</x:v>
      </x:c>
      <x:c r="E658" s="17" t="str">
        <x:v>P02R</x:v>
      </x:c>
      <x:c r="F658" s="17" t="str">
        <x:v>广东光华科技股份有限公司（再生功能）</x:v>
      </x:c>
      <x:c r="G658" s="17" t="str">
        <x:v>再生利用</x:v>
      </x:c>
      <x:c r="H658" s="24" t="n">
        <x:v>116.6775856</x:v>
      </x:c>
      <x:c r="I658" s="24" t="n">
        <x:v>23.3563921</x:v>
      </x:c>
      <x:c r="J658" s="21" t="n">
        <x:f>6371*ACOS(MIN(1,COS(D658*PI()/180)*COS(I658*PI()/180)*COS((H658-C658)*PI()/180)+SIN(D658*PI()/180)*SIN(I658*PI()/180)))</x:f>
        <x:v>690.3094605041547</x:v>
      </x:c>
      <x:c r="K658" s="21" t="n">
        <x:f>'情景参数模板'!$D$31</x:f>
        <x:v>1.2</x:v>
      </x:c>
      <x:c r="L658" s="21" t="n">
        <x:f>J658*K658</x:f>
        <x:v>828.3713526049856</x:v>
      </x:c>
    </x:row>
    <x:row r="659">
      <x:c r="A659" s="17" t="str">
        <x:v>GD15</x:v>
      </x:c>
      <x:c r="B659" s="17" t="str">
        <x:v>湛江</x:v>
      </x:c>
      <x:c r="C659" s="24" t="n">
        <x:v>110.3548318</x:v>
      </x:c>
      <x:c r="D659" s="24" t="n">
        <x:v>21.2737079</x:v>
      </x:c>
      <x:c r="E659" s="17" t="str">
        <x:v>P03</x:v>
      </x:c>
      <x:c r="F659" s="17" t="str">
        <x:v>深圳深汕特别合作区乾泰技术有限公司</x:v>
      </x:c>
      <x:c r="G659" s="17" t="str">
        <x:v>梯次利用</x:v>
      </x:c>
      <x:c r="H659" s="24" t="n">
        <x:v>115.5099937</x:v>
      </x:c>
      <x:c r="I659" s="24" t="n">
        <x:v>23.0123639</x:v>
      </x:c>
      <x:c r="J659" s="21" t="n">
        <x:f>6371*ACOS(MIN(1,COS(D659*PI()/180)*COS(I659*PI()/180)*COS((H659-C659)*PI()/180)+SIN(D659*PI()/180)*SIN(I659*PI()/180)))</x:f>
        <x:v>564.9997631187175</x:v>
      </x:c>
      <x:c r="K659" s="21" t="n">
        <x:f>'情景参数模板'!$D$31</x:f>
        <x:v>1.2</x:v>
      </x:c>
      <x:c r="L659" s="21" t="n">
        <x:f>J659*K659</x:f>
        <x:v>677.999715742461</x:v>
      </x:c>
    </x:row>
    <x:row r="660">
      <x:c r="A660" s="17" t="str">
        <x:v>GD15</x:v>
      </x:c>
      <x:c r="B660" s="17" t="str">
        <x:v>湛江</x:v>
      </x:c>
      <x:c r="C660" s="24" t="n">
        <x:v>110.3548318</x:v>
      </x:c>
      <x:c r="D660" s="24" t="n">
        <x:v>21.2737079</x:v>
      </x:c>
      <x:c r="E660" s="17" t="str">
        <x:v>P04</x:v>
      </x:c>
      <x:c r="F660" s="17" t="str">
        <x:v>珠海中力新能源科技有限公司</x:v>
      </x:c>
      <x:c r="G660" s="17" t="str">
        <x:v>梯次利用</x:v>
      </x:c>
      <x:c r="H660" s="24" t="n">
        <x:v>113.5721327</x:v>
      </x:c>
      <x:c r="I660" s="24" t="n">
        <x:v>22.273734</x:v>
      </x:c>
      <x:c r="J660" s="21" t="n">
        <x:f>6371*ACOS(MIN(1,COS(D660*PI()/180)*COS(I660*PI()/180)*COS((H660-C660)*PI()/180)+SIN(D660*PI()/180)*SIN(I660*PI()/180)))</x:f>
        <x:v>350.328255137951</x:v>
      </x:c>
      <x:c r="K660" s="21" t="n">
        <x:f>'情景参数模板'!$D$31</x:f>
        <x:v>1.2</x:v>
      </x:c>
      <x:c r="L660" s="21" t="n">
        <x:f>J660*K660</x:f>
        <x:v>420.3939061655412</x:v>
      </x:c>
    </x:row>
    <x:row r="661">
      <x:c r="A661" s="17" t="str">
        <x:v>GD15</x:v>
      </x:c>
      <x:c r="B661" s="17" t="str">
        <x:v>湛江</x:v>
      </x:c>
      <x:c r="C661" s="24" t="n">
        <x:v>110.3548318</x:v>
      </x:c>
      <x:c r="D661" s="24" t="n">
        <x:v>21.2737079</x:v>
      </x:c>
      <x:c r="E661" s="17" t="str">
        <x:v>P05</x:v>
      </x:c>
      <x:c r="F661" s="17" t="str">
        <x:v>惠州市恒创睿能环保科技有限公司</x:v>
      </x:c>
      <x:c r="G661" s="17" t="str">
        <x:v>梯次利用</x:v>
      </x:c>
      <x:c r="H661" s="24" t="n">
        <x:v>114.4127007</x:v>
      </x:c>
      <x:c r="I661" s="24" t="n">
        <x:v>23.1125153</x:v>
      </x:c>
      <x:c r="J661" s="21" t="n">
        <x:f>6371*ACOS(MIN(1,COS(D661*PI()/180)*COS(I661*PI()/180)*COS((H661-C661)*PI()/180)+SIN(D661*PI()/180)*SIN(I661*PI()/180)))</x:f>
        <x:v>465.101265453624</x:v>
      </x:c>
      <x:c r="K661" s="21" t="n">
        <x:f>'情景参数模板'!$D$31</x:f>
        <x:v>1.2</x:v>
      </x:c>
      <x:c r="L661" s="21" t="n">
        <x:f>J661*K661</x:f>
        <x:v>558.1215185443488</x:v>
      </x:c>
    </x:row>
    <x:row r="662">
      <x:c r="A662" s="17" t="str">
        <x:v>GD15</x:v>
      </x:c>
      <x:c r="B662" s="17" t="str">
        <x:v>湛江</x:v>
      </x:c>
      <x:c r="C662" s="24" t="n">
        <x:v>110.3548318</x:v>
      </x:c>
      <x:c r="D662" s="24" t="n">
        <x:v>21.2737079</x:v>
      </x:c>
      <x:c r="E662" s="17" t="str">
        <x:v>P06</x:v>
      </x:c>
      <x:c r="F662" s="17" t="str">
        <x:v>江门市朗达锂电池有限公司</x:v>
      </x:c>
      <x:c r="G662" s="17" t="str">
        <x:v>梯次利用</x:v>
      </x:c>
      <x:c r="H662" s="24" t="n">
        <x:v>113.0761073</x:v>
      </x:c>
      <x:c r="I662" s="24" t="n">
        <x:v>22.5816619</x:v>
      </x:c>
      <x:c r="J662" s="21" t="n">
        <x:f>6371*ACOS(MIN(1,COS(D662*PI()/180)*COS(I662*PI()/180)*COS((H662-C662)*PI()/180)+SIN(D662*PI()/180)*SIN(I662*PI()/180)))</x:f>
        <x:v>316.1300829743287</x:v>
      </x:c>
      <x:c r="K662" s="21" t="n">
        <x:f>'情景参数模板'!$D$31</x:f>
        <x:v>1.2</x:v>
      </x:c>
      <x:c r="L662" s="21" t="n">
        <x:f>J662*K662</x:f>
        <x:v>379.3560995691944</x:v>
      </x:c>
    </x:row>
    <x:row r="663">
      <x:c r="A663" s="17" t="str">
        <x:v>GD15</x:v>
      </x:c>
      <x:c r="B663" s="17" t="str">
        <x:v>湛江</x:v>
      </x:c>
      <x:c r="C663" s="24" t="n">
        <x:v>110.3548318</x:v>
      </x:c>
      <x:c r="D663" s="24" t="n">
        <x:v>21.2737079</x:v>
      </x:c>
      <x:c r="E663" s="17" t="str">
        <x:v>P07</x:v>
      </x:c>
      <x:c r="F663" s="17" t="str">
        <x:v>广东迪度新能源有限公司</x:v>
      </x:c>
      <x:c r="G663" s="17" t="str">
        <x:v>梯次利用</x:v>
      </x:c>
      <x:c r="H663" s="24" t="n">
        <x:v>113.7452332</x:v>
      </x:c>
      <x:c r="I663" s="24" t="n">
        <x:v>23.0183568</x:v>
      </x:c>
      <x:c r="J663" s="21" t="n">
        <x:f>6371*ACOS(MIN(1,COS(D663*PI()/180)*COS(I663*PI()/180)*COS((H663-C663)*PI()/180)+SIN(D663*PI()/180)*SIN(I663*PI()/180)))</x:f>
        <x:v>399.42971195966777</x:v>
      </x:c>
      <x:c r="K663" s="21" t="n">
        <x:f>'情景参数模板'!$D$31</x:f>
        <x:v>1.2</x:v>
      </x:c>
      <x:c r="L663" s="21" t="n">
        <x:f>J663*K663</x:f>
        <x:v>479.3156543516013</x:v>
      </x:c>
    </x:row>
    <x:row r="664">
      <x:c r="A664" s="17" t="str">
        <x:v>GD15</x:v>
      </x:c>
      <x:c r="B664" s="17" t="str">
        <x:v>湛江</x:v>
      </x:c>
      <x:c r="C664" s="24" t="n">
        <x:v>110.3548318</x:v>
      </x:c>
      <x:c r="D664" s="24" t="n">
        <x:v>21.2737079</x:v>
      </x:c>
      <x:c r="E664" s="17" t="str">
        <x:v>P08</x:v>
      </x:c>
      <x:c r="F664" s="17" t="str">
        <x:v>东莞市博森新能源有限公司</x:v>
      </x:c>
      <x:c r="G664" s="17" t="str">
        <x:v>梯次利用</x:v>
      </x:c>
      <x:c r="H664" s="24" t="n">
        <x:v>113.7452332</x:v>
      </x:c>
      <x:c r="I664" s="24" t="n">
        <x:v>23.0183568</x:v>
      </x:c>
      <x:c r="J664" s="21" t="n">
        <x:f>6371*ACOS(MIN(1,COS(D664*PI()/180)*COS(I664*PI()/180)*COS((H664-C664)*PI()/180)+SIN(D664*PI()/180)*SIN(I664*PI()/180)))</x:f>
        <x:v>399.42971195966777</x:v>
      </x:c>
      <x:c r="K664" s="21" t="n">
        <x:f>'情景参数模板'!$D$31</x:f>
        <x:v>1.2</x:v>
      </x:c>
      <x:c r="L664" s="21" t="n">
        <x:f>J664*K664</x:f>
        <x:v>479.3156543516013</x:v>
      </x:c>
    </x:row>
    <x:row r="665">
      <x:c r="A665" s="17" t="str">
        <x:v>GD15</x:v>
      </x:c>
      <x:c r="B665" s="17" t="str">
        <x:v>湛江</x:v>
      </x:c>
      <x:c r="C665" s="24" t="n">
        <x:v>110.3548318</x:v>
      </x:c>
      <x:c r="D665" s="24" t="n">
        <x:v>21.2737079</x:v>
      </x:c>
      <x:c r="E665" s="17" t="str">
        <x:v>P09</x:v>
      </x:c>
      <x:c r="F665" s="17" t="str">
        <x:v>广东宇阳新能源有限公司</x:v>
      </x:c>
      <x:c r="G665" s="17" t="str">
        <x:v>梯次利用</x:v>
      </x:c>
      <x:c r="H665" s="24" t="n">
        <x:v>113.7452332</x:v>
      </x:c>
      <x:c r="I665" s="24" t="n">
        <x:v>23.0183568</x:v>
      </x:c>
      <x:c r="J665" s="21" t="n">
        <x:f>6371*ACOS(MIN(1,COS(D665*PI()/180)*COS(I665*PI()/180)*COS((H665-C665)*PI()/180)+SIN(D665*PI()/180)*SIN(I665*PI()/180)))</x:f>
        <x:v>399.42971195966777</x:v>
      </x:c>
      <x:c r="K665" s="21" t="n">
        <x:f>'情景参数模板'!$D$31</x:f>
        <x:v>1.2</x:v>
      </x:c>
      <x:c r="L665" s="21" t="n">
        <x:f>J665*K665</x:f>
        <x:v>479.3156543516013</x:v>
      </x:c>
    </x:row>
    <x:row r="666">
      <x:c r="A666" s="17" t="str">
        <x:v>GD15</x:v>
      </x:c>
      <x:c r="B666" s="17" t="str">
        <x:v>湛江</x:v>
      </x:c>
      <x:c r="C666" s="24" t="n">
        <x:v>110.3548318</x:v>
      </x:c>
      <x:c r="D666" s="24" t="n">
        <x:v>21.2737079</x:v>
      </x:c>
      <x:c r="E666" s="17" t="str">
        <x:v>P10</x:v>
      </x:c>
      <x:c r="F666" s="17" t="str">
        <x:v>广州广汽商贸再生资源有限公司</x:v>
      </x:c>
      <x:c r="G666" s="17" t="str">
        <x:v>梯次利用</x:v>
      </x:c>
      <x:c r="H666" s="24" t="n">
        <x:v>113.2589581</x:v>
      </x:c>
      <x:c r="I666" s="24" t="n">
        <x:v>23.1288429</x:v>
      </x:c>
      <x:c r="J666" s="21" t="n">
        <x:f>6371*ACOS(MIN(1,COS(D666*PI()/180)*COS(I666*PI()/180)*COS((H666-C666)*PI()/180)+SIN(D666*PI()/180)*SIN(I666*PI()/180)))</x:f>
        <x:v>363.2197932210833</x:v>
      </x:c>
      <x:c r="K666" s="21" t="n">
        <x:f>'情景参数模板'!$D$31</x:f>
        <x:v>1.2</x:v>
      </x:c>
      <x:c r="L666" s="21" t="n">
        <x:f>J666*K666</x:f>
        <x:v>435.86375186529995</x:v>
      </x:c>
    </x:row>
    <x:row r="667">
      <x:c r="A667" s="17" t="str">
        <x:v>GD15</x:v>
      </x:c>
      <x:c r="B667" s="17" t="str">
        <x:v>湛江</x:v>
      </x:c>
      <x:c r="C667" s="24" t="n">
        <x:v>110.3548318</x:v>
      </x:c>
      <x:c r="D667" s="24" t="n">
        <x:v>21.2737079</x:v>
      </x:c>
      <x:c r="E667" s="17" t="str">
        <x:v>P11</x:v>
      </x:c>
      <x:c r="F667" s="17" t="str">
        <x:v>深圳市杰成镍钴新能源科技有限公司</x:v>
      </x:c>
      <x:c r="G667" s="17" t="str">
        <x:v>梯次利用</x:v>
      </x:c>
      <x:c r="H667" s="24" t="n">
        <x:v>114.0545429</x:v>
      </x:c>
      <x:c r="I667" s="24" t="n">
        <x:v>22.5445741</x:v>
      </x:c>
      <x:c r="J667" s="21" t="n">
        <x:f>6371*ACOS(MIN(1,COS(D667*PI()/180)*COS(I667*PI()/180)*COS((H667-C667)*PI()/180)+SIN(D667*PI()/180)*SIN(I667*PI()/180)))</x:f>
        <x:v>406.97813815707536</x:v>
      </x:c>
      <x:c r="K667" s="21" t="n">
        <x:f>'情景参数模板'!$D$31</x:f>
        <x:v>1.2</x:v>
      </x:c>
      <x:c r="L667" s="21" t="n">
        <x:f>J667*K667</x:f>
        <x:v>488.3737657884904</x:v>
      </x:c>
    </x:row>
    <x:row r="668">
      <x:c r="A668" s="17" t="str">
        <x:v>GD15</x:v>
      </x:c>
      <x:c r="B668" s="17" t="str">
        <x:v>湛江</x:v>
      </x:c>
      <x:c r="C668" s="24" t="n">
        <x:v>110.3548318</x:v>
      </x:c>
      <x:c r="D668" s="24" t="n">
        <x:v>21.2737079</x:v>
      </x:c>
      <x:c r="E668" s="17" t="str">
        <x:v>P12</x:v>
      </x:c>
      <x:c r="F668" s="17" t="str">
        <x:v>江门市恒创睿能环保科技有限公司</x:v>
      </x:c>
      <x:c r="G668" s="17" t="str">
        <x:v>再生利用</x:v>
      </x:c>
      <x:c r="H668" s="24" t="n">
        <x:v>113.0761073</x:v>
      </x:c>
      <x:c r="I668" s="24" t="n">
        <x:v>22.5816619</x:v>
      </x:c>
      <x:c r="J668" s="21" t="n">
        <x:f>6371*ACOS(MIN(1,COS(D668*PI()/180)*COS(I668*PI()/180)*COS((H668-C668)*PI()/180)+SIN(D668*PI()/180)*SIN(I668*PI()/180)))</x:f>
        <x:v>316.1300829743287</x:v>
      </x:c>
      <x:c r="K668" s="21" t="n">
        <x:f>'情景参数模板'!$D$31</x:f>
        <x:v>1.2</x:v>
      </x:c>
      <x:c r="L668" s="21" t="n">
        <x:f>J668*K668</x:f>
        <x:v>379.3560995691944</x:v>
      </x:c>
    </x:row>
    <x:row r="669">
      <x:c r="A669" s="17" t="str">
        <x:v>GD15</x:v>
      </x:c>
      <x:c r="B669" s="17" t="str">
        <x:v>湛江</x:v>
      </x:c>
      <x:c r="C669" s="24" t="n">
        <x:v>110.3548318</x:v>
      </x:c>
      <x:c r="D669" s="24" t="n">
        <x:v>21.2737079</x:v>
      </x:c>
      <x:c r="E669" s="17" t="str">
        <x:v>P13</x:v>
      </x:c>
      <x:c r="F669" s="17" t="str">
        <x:v>广东佳纳能源科技有限公司</x:v>
      </x:c>
      <x:c r="G669" s="17" t="str">
        <x:v>再生利用</x:v>
      </x:c>
      <x:c r="H669" s="24" t="n">
        <x:v>113.0505994</x:v>
      </x:c>
      <x:c r="I669" s="24" t="n">
        <x:v>23.6832984</x:v>
      </x:c>
      <x:c r="J669" s="21" t="n">
        <x:f>6371*ACOS(MIN(1,COS(D669*PI()/180)*COS(I669*PI()/180)*COS((H669-C669)*PI()/180)+SIN(D669*PI()/180)*SIN(I669*PI()/180)))</x:f>
        <x:v>385.34157769899264</x:v>
      </x:c>
      <x:c r="K669" s="21" t="n">
        <x:f>'情景参数模板'!$D$31</x:f>
        <x:v>1.2</x:v>
      </x:c>
      <x:c r="L669" s="21" t="n">
        <x:f>J669*K669</x:f>
        <x:v>462.40989323879114</x:v>
      </x:c>
    </x:row>
    <x:row r="670">
      <x:c r="A670" s="17" t="str">
        <x:v>GD15</x:v>
      </x:c>
      <x:c r="B670" s="17" t="str">
        <x:v>湛江</x:v>
      </x:c>
      <x:c r="C670" s="24" t="n">
        <x:v>110.3548318</x:v>
      </x:c>
      <x:c r="D670" s="24" t="n">
        <x:v>21.2737079</x:v>
      </x:c>
      <x:c r="E670" s="17" t="str">
        <x:v>P14</x:v>
      </x:c>
      <x:c r="F670" s="17" t="str">
        <x:v>格林美（深圳）循环科技有限公司</x:v>
      </x:c>
      <x:c r="G670" s="17" t="str">
        <x:v>梯次利用</x:v>
      </x:c>
      <x:c r="H670" s="24" t="n">
        <x:v>114.0545429</x:v>
      </x:c>
      <x:c r="I670" s="24" t="n">
        <x:v>22.5445741</x:v>
      </x:c>
      <x:c r="J670" s="21" t="n">
        <x:f>6371*ACOS(MIN(1,COS(D670*PI()/180)*COS(I670*PI()/180)*COS((H670-C670)*PI()/180)+SIN(D670*PI()/180)*SIN(I670*PI()/180)))</x:f>
        <x:v>406.97813815707536</x:v>
      </x:c>
      <x:c r="K670" s="21" t="n">
        <x:f>'情景参数模板'!$D$31</x:f>
        <x:v>1.2</x:v>
      </x:c>
      <x:c r="L670" s="21" t="n">
        <x:f>J670*K670</x:f>
        <x:v>488.3737657884904</x:v>
      </x:c>
    </x:row>
    <x:row r="671">
      <x:c r="A671" s="17" t="str">
        <x:v>GD15</x:v>
      </x:c>
      <x:c r="B671" s="17" t="str">
        <x:v>湛江</x:v>
      </x:c>
      <x:c r="C671" s="24" t="n">
        <x:v>110.3548318</x:v>
      </x:c>
      <x:c r="D671" s="24" t="n">
        <x:v>21.2737079</x:v>
      </x:c>
      <x:c r="E671" s="17" t="str">
        <x:v>P15</x:v>
      </x:c>
      <x:c r="F671" s="17" t="str">
        <x:v>绿循新能源科技（佛山）有限责任公司</x:v>
      </x:c>
      <x:c r="G671" s="17" t="str">
        <x:v>梯次利用</x:v>
      </x:c>
      <x:c r="H671" s="24" t="n">
        <x:v>113.1159558</x:v>
      </x:c>
      <x:c r="I671" s="24" t="n">
        <x:v>23.0239788</x:v>
      </x:c>
      <x:c r="J671" s="21" t="n">
        <x:f>6371*ACOS(MIN(1,COS(D671*PI()/180)*COS(I671*PI()/180)*COS((H671-C671)*PI()/180)+SIN(D671*PI()/180)*SIN(I671*PI()/180)))</x:f>
        <x:v>344.5727569641422</x:v>
      </x:c>
      <x:c r="K671" s="21" t="n">
        <x:f>'情景参数模板'!$D$31</x:f>
        <x:v>1.2</x:v>
      </x:c>
      <x:c r="L671" s="21" t="n">
        <x:f>J671*K671</x:f>
        <x:v>413.4873083569706</x:v>
      </x:c>
    </x:row>
    <x:row r="672">
      <x:c r="A672" s="17" t="str">
        <x:v>GD15</x:v>
      </x:c>
      <x:c r="B672" s="17" t="str">
        <x:v>湛江</x:v>
      </x:c>
      <x:c r="C672" s="24" t="n">
        <x:v>110.3548318</x:v>
      </x:c>
      <x:c r="D672" s="24" t="n">
        <x:v>21.2737079</x:v>
      </x:c>
      <x:c r="E672" s="17" t="str">
        <x:v>P16</x:v>
      </x:c>
      <x:c r="F672" s="17" t="str">
        <x:v>深圳艾云动智慧科技有限公司</x:v>
      </x:c>
      <x:c r="G672" s="17" t="str">
        <x:v>梯次利用</x:v>
      </x:c>
      <x:c r="H672" s="24" t="n">
        <x:v>114.0545429</x:v>
      </x:c>
      <x:c r="I672" s="24" t="n">
        <x:v>22.5445741</x:v>
      </x:c>
      <x:c r="J672" s="21" t="n">
        <x:f>6371*ACOS(MIN(1,COS(D672*PI()/180)*COS(I672*PI()/180)*COS((H672-C672)*PI()/180)+SIN(D672*PI()/180)*SIN(I672*PI()/180)))</x:f>
        <x:v>406.97813815707536</x:v>
      </x:c>
      <x:c r="K672" s="21" t="n">
        <x:f>'情景参数模板'!$D$31</x:f>
        <x:v>1.2</x:v>
      </x:c>
      <x:c r="L672" s="21" t="n">
        <x:f>J672*K672</x:f>
        <x:v>488.3737657884904</x:v>
      </x:c>
    </x:row>
    <x:row r="673">
      <x:c r="A673" s="17" t="str">
        <x:v>GD15</x:v>
      </x:c>
      <x:c r="B673" s="17" t="str">
        <x:v>湛江</x:v>
      </x:c>
      <x:c r="C673" s="24" t="n">
        <x:v>110.3548318</x:v>
      </x:c>
      <x:c r="D673" s="24" t="n">
        <x:v>21.2737079</x:v>
      </x:c>
      <x:c r="E673" s="17" t="str">
        <x:v>P17</x:v>
      </x:c>
      <x:c r="F673" s="17" t="str">
        <x:v>深圳市荣高晟新能源科技有限公司</x:v>
      </x:c>
      <x:c r="G673" s="17" t="str">
        <x:v>梯次利用</x:v>
      </x:c>
      <x:c r="H673" s="24" t="n">
        <x:v>114.0545429</x:v>
      </x:c>
      <x:c r="I673" s="24" t="n">
        <x:v>22.5445741</x:v>
      </x:c>
      <x:c r="J673" s="21" t="n">
        <x:f>6371*ACOS(MIN(1,COS(D673*PI()/180)*COS(I673*PI()/180)*COS((H673-C673)*PI()/180)+SIN(D673*PI()/180)*SIN(I673*PI()/180)))</x:f>
        <x:v>406.97813815707536</x:v>
      </x:c>
      <x:c r="K673" s="21" t="n">
        <x:f>'情景参数模板'!$D$31</x:f>
        <x:v>1.2</x:v>
      </x:c>
      <x:c r="L673" s="21" t="n">
        <x:f>J673*K673</x:f>
        <x:v>488.3737657884904</x:v>
      </x:c>
    </x:row>
    <x:row r="674">
      <x:c r="A674" s="17" t="str">
        <x:v>GD15</x:v>
      </x:c>
      <x:c r="B674" s="17" t="str">
        <x:v>湛江</x:v>
      </x:c>
      <x:c r="C674" s="24" t="n">
        <x:v>110.3548318</x:v>
      </x:c>
      <x:c r="D674" s="24" t="n">
        <x:v>21.2737079</x:v>
      </x:c>
      <x:c r="E674" s="17" t="str">
        <x:v>P18</x:v>
      </x:c>
      <x:c r="F674" s="17" t="str">
        <x:v>中商锂新能源科技（惠州）有限公司</x:v>
      </x:c>
      <x:c r="G674" s="17" t="str">
        <x:v>梯次利用</x:v>
      </x:c>
      <x:c r="H674" s="24" t="n">
        <x:v>114.4127007</x:v>
      </x:c>
      <x:c r="I674" s="24" t="n">
        <x:v>23.1125153</x:v>
      </x:c>
      <x:c r="J674" s="21" t="n">
        <x:f>6371*ACOS(MIN(1,COS(D674*PI()/180)*COS(I674*PI()/180)*COS((H674-C674)*PI()/180)+SIN(D674*PI()/180)*SIN(I674*PI()/180)))</x:f>
        <x:v>465.101265453624</x:v>
      </x:c>
      <x:c r="K674" s="21" t="n">
        <x:f>'情景参数模板'!$D$31</x:f>
        <x:v>1.2</x:v>
      </x:c>
      <x:c r="L674" s="21" t="n">
        <x:f>J674*K674</x:f>
        <x:v>558.1215185443488</x:v>
      </x:c>
    </x:row>
    <x:row r="675">
      <x:c r="A675" s="17" t="str">
        <x:v>GD15</x:v>
      </x:c>
      <x:c r="B675" s="17" t="str">
        <x:v>湛江</x:v>
      </x:c>
      <x:c r="C675" s="24" t="n">
        <x:v>110.3548318</x:v>
      </x:c>
      <x:c r="D675" s="24" t="n">
        <x:v>21.2737079</x:v>
      </x:c>
      <x:c r="E675" s="17" t="str">
        <x:v>P19</x:v>
      </x:c>
      <x:c r="F675" s="17" t="str">
        <x:v>广东盛祥新材料科技有限公司</x:v>
      </x:c>
      <x:c r="G675" s="17" t="str">
        <x:v>再生利用</x:v>
      </x:c>
      <x:c r="H675" s="24" t="n">
        <x:v>113.8155263</x:v>
      </x:c>
      <x:c r="I675" s="24" t="n">
        <x:v>24.8309489</x:v>
      </x:c>
      <x:c r="J675" s="21" t="n">
        <x:f>6371*ACOS(MIN(1,COS(D675*PI()/180)*COS(I675*PI()/180)*COS((H675-C675)*PI()/180)+SIN(D675*PI()/180)*SIN(I675*PI()/180)))</x:f>
        <x:v>530.815118988391</x:v>
      </x:c>
      <x:c r="K675" s="21" t="n">
        <x:f>'情景参数模板'!$D$31</x:f>
        <x:v>1.2</x:v>
      </x:c>
      <x:c r="L675" s="21" t="n">
        <x:f>J675*K675</x:f>
        <x:v>636.9781427860692</x:v>
      </x:c>
    </x:row>
    <x:row r="676">
      <x:c r="A676" s="17" t="str">
        <x:v>GD15</x:v>
      </x:c>
      <x:c r="B676" s="17" t="str">
        <x:v>湛江</x:v>
      </x:c>
      <x:c r="C676" s="24" t="n">
        <x:v>110.3548318</x:v>
      </x:c>
      <x:c r="D676" s="24" t="n">
        <x:v>21.2737079</x:v>
      </x:c>
      <x:c r="E676" s="17" t="str">
        <x:v>P20E</x:v>
      </x:c>
      <x:c r="F676" s="17" t="str">
        <x:v>广东金晟新能源股份有限公司（梯次功能）</x:v>
      </x:c>
      <x:c r="G676" s="17" t="str">
        <x:v>梯次利用</x:v>
      </x:c>
      <x:c r="H676" s="24" t="n">
        <x:v>112.4603629</x:v>
      </x:c>
      <x:c r="I676" s="24" t="n">
        <x:v>23.0501661</x:v>
      </x:c>
      <x:c r="J676" s="21" t="n">
        <x:f>6371*ACOS(MIN(1,COS(D676*PI()/180)*COS(I676*PI()/180)*COS((H676-C676)*PI()/180)+SIN(D676*PI()/180)*SIN(I676*PI()/180)))</x:f>
        <x:v>293.3038557955491</x:v>
      </x:c>
      <x:c r="K676" s="21" t="n">
        <x:f>'情景参数模板'!$D$31</x:f>
        <x:v>1.2</x:v>
      </x:c>
      <x:c r="L676" s="21" t="n">
        <x:f>J676*K676</x:f>
        <x:v>351.9646269546589</x:v>
      </x:c>
    </x:row>
    <x:row r="677">
      <x:c r="A677" s="17" t="str">
        <x:v>GD15</x:v>
      </x:c>
      <x:c r="B677" s="17" t="str">
        <x:v>湛江</x:v>
      </x:c>
      <x:c r="C677" s="24" t="n">
        <x:v>110.3548318</x:v>
      </x:c>
      <x:c r="D677" s="24" t="n">
        <x:v>21.2737079</x:v>
      </x:c>
      <x:c r="E677" s="17" t="str">
        <x:v>P20R</x:v>
      </x:c>
      <x:c r="F677" s="17" t="str">
        <x:v>广东金晟新能源股份有限公司（再生功能）</x:v>
      </x:c>
      <x:c r="G677" s="17" t="str">
        <x:v>再生利用</x:v>
      </x:c>
      <x:c r="H677" s="24" t="n">
        <x:v>112.4603629</x:v>
      </x:c>
      <x:c r="I677" s="24" t="n">
        <x:v>23.0501661</x:v>
      </x:c>
      <x:c r="J677" s="21" t="n">
        <x:f>6371*ACOS(MIN(1,COS(D677*PI()/180)*COS(I677*PI()/180)*COS((H677-C677)*PI()/180)+SIN(D677*PI()/180)*SIN(I677*PI()/180)))</x:f>
        <x:v>293.3038557955491</x:v>
      </x:c>
      <x:c r="K677" s="21" t="n">
        <x:f>'情景参数模板'!$D$31</x:f>
        <x:v>1.2</x:v>
      </x:c>
      <x:c r="L677" s="21" t="n">
        <x:f>J677*K677</x:f>
        <x:v>351.9646269546589</x:v>
      </x:c>
    </x:row>
    <x:row r="678">
      <x:c r="A678" s="17" t="str">
        <x:v>GD15</x:v>
      </x:c>
      <x:c r="B678" s="17" t="str">
        <x:v>湛江</x:v>
      </x:c>
      <x:c r="C678" s="24" t="n">
        <x:v>110.3548318</x:v>
      </x:c>
      <x:c r="D678" s="24" t="n">
        <x:v>21.2737079</x:v>
      </x:c>
      <x:c r="E678" s="17" t="str">
        <x:v>P21E</x:v>
      </x:c>
      <x:c r="F678" s="17" t="str">
        <x:v>广东瑞科美电源技术有限公司（梯次功能）</x:v>
      </x:c>
      <x:c r="G678" s="17" t="str">
        <x:v>梯次利用</x:v>
      </x:c>
      <x:c r="H678" s="24" t="n">
        <x:v>113.1159558</x:v>
      </x:c>
      <x:c r="I678" s="24" t="n">
        <x:v>23.0239788</x:v>
      </x:c>
      <x:c r="J678" s="21" t="n">
        <x:f>6371*ACOS(MIN(1,COS(D678*PI()/180)*COS(I678*PI()/180)*COS((H678-C678)*PI()/180)+SIN(D678*PI()/180)*SIN(I678*PI()/180)))</x:f>
        <x:v>344.5727569641422</x:v>
      </x:c>
      <x:c r="K678" s="21" t="n">
        <x:f>'情景参数模板'!$D$31</x:f>
        <x:v>1.2</x:v>
      </x:c>
      <x:c r="L678" s="21" t="n">
        <x:f>J678*K678</x:f>
        <x:v>413.4873083569706</x:v>
      </x:c>
    </x:row>
    <x:row r="679">
      <x:c r="A679" s="17" t="str">
        <x:v>GD15</x:v>
      </x:c>
      <x:c r="B679" s="17" t="str">
        <x:v>湛江</x:v>
      </x:c>
      <x:c r="C679" s="24" t="n">
        <x:v>110.3548318</x:v>
      </x:c>
      <x:c r="D679" s="24" t="n">
        <x:v>21.2737079</x:v>
      </x:c>
      <x:c r="E679" s="17" t="str">
        <x:v>P21R</x:v>
      </x:c>
      <x:c r="F679" s="17" t="str">
        <x:v>广东瑞科美电源技术有限公司（再生功能）</x:v>
      </x:c>
      <x:c r="G679" s="17" t="str">
        <x:v>再生利用</x:v>
      </x:c>
      <x:c r="H679" s="24" t="n">
        <x:v>113.1159558</x:v>
      </x:c>
      <x:c r="I679" s="24" t="n">
        <x:v>23.0239788</x:v>
      </x:c>
      <x:c r="J679" s="21" t="n">
        <x:f>6371*ACOS(MIN(1,COS(D679*PI()/180)*COS(I679*PI()/180)*COS((H679-C679)*PI()/180)+SIN(D679*PI()/180)*SIN(I679*PI()/180)))</x:f>
        <x:v>344.5727569641422</x:v>
      </x:c>
      <x:c r="K679" s="21" t="n">
        <x:f>'情景参数模板'!$D$31</x:f>
        <x:v>1.2</x:v>
      </x:c>
      <x:c r="L679" s="21" t="n">
        <x:f>J679*K679</x:f>
        <x:v>413.4873083569706</x:v>
      </x:c>
    </x:row>
    <x:row r="680">
      <x:c r="A680" s="17" t="str">
        <x:v>GD16</x:v>
      </x:c>
      <x:c r="B680" s="17" t="str">
        <x:v>茂名</x:v>
      </x:c>
      <x:c r="C680" s="24" t="n">
        <x:v>110.9209511</x:v>
      </x:c>
      <x:c r="D680" s="24" t="n">
        <x:v>21.6656961</x:v>
      </x:c>
      <x:c r="E680" s="17" t="str">
        <x:v>C01</x:v>
      </x:c>
      <x:c r="F680" s="17" t="str">
        <x:v>广州虚拟回收/检测中心</x:v>
      </x:c>
      <x:c r="G680" s="17" t="str">
        <x:v>回收中心候选</x:v>
      </x:c>
      <x:c r="H680" s="24" t="n">
        <x:v>113.2589581</x:v>
      </x:c>
      <x:c r="I680" s="24" t="n">
        <x:v>23.1288429</x:v>
      </x:c>
      <x:c r="J680" s="21" t="n">
        <x:f>6371*ACOS(MIN(1,COS(D680*PI()/180)*COS(I680*PI()/180)*COS((H680-C680)*PI()/180)+SIN(D680*PI()/180)*SIN(I680*PI()/180)))</x:f>
        <x:v>290.23788677814406</x:v>
      </x:c>
      <x:c r="K680" s="21" t="n">
        <x:f>'情景参数模板'!$D$31</x:f>
        <x:v>1.2</x:v>
      </x:c>
      <x:c r="L680" s="21" t="n">
        <x:f>J680*K680</x:f>
        <x:v>348.28546413377285</x:v>
      </x:c>
    </x:row>
    <x:row r="681">
      <x:c r="A681" s="17" t="str">
        <x:v>GD16</x:v>
      </x:c>
      <x:c r="B681" s="17" t="str">
        <x:v>茂名</x:v>
      </x:c>
      <x:c r="C681" s="24" t="n">
        <x:v>110.9209511</x:v>
      </x:c>
      <x:c r="D681" s="24" t="n">
        <x:v>21.6656961</x:v>
      </x:c>
      <x:c r="E681" s="17" t="str">
        <x:v>C02</x:v>
      </x:c>
      <x:c r="F681" s="17" t="str">
        <x:v>深圳虚拟回收/检测中心</x:v>
      </x:c>
      <x:c r="G681" s="17" t="str">
        <x:v>回收中心候选</x:v>
      </x:c>
      <x:c r="H681" s="24" t="n">
        <x:v>114.0545429</x:v>
      </x:c>
      <x:c r="I681" s="24" t="n">
        <x:v>22.5445741</x:v>
      </x:c>
      <x:c r="J681" s="21" t="n">
        <x:f>6371*ACOS(MIN(1,COS(D681*PI()/180)*COS(I681*PI()/180)*COS((H681-C681)*PI()/180)+SIN(D681*PI()/180)*SIN(I681*PI()/180)))</x:f>
        <x:v>337.2852485873363</x:v>
      </x:c>
      <x:c r="K681" s="21" t="n">
        <x:f>'情景参数模板'!$D$31</x:f>
        <x:v>1.2</x:v>
      </x:c>
      <x:c r="L681" s="21" t="n">
        <x:f>J681*K681</x:f>
        <x:v>404.74229830480357</x:v>
      </x:c>
    </x:row>
    <x:row r="682">
      <x:c r="A682" s="17" t="str">
        <x:v>GD16</x:v>
      </x:c>
      <x:c r="B682" s="17" t="str">
        <x:v>茂名</x:v>
      </x:c>
      <x:c r="C682" s="24" t="n">
        <x:v>110.9209511</x:v>
      </x:c>
      <x:c r="D682" s="24" t="n">
        <x:v>21.6656961</x:v>
      </x:c>
      <x:c r="E682" s="17" t="str">
        <x:v>C03</x:v>
      </x:c>
      <x:c r="F682" s="17" t="str">
        <x:v>珠海虚拟回收/检测中心</x:v>
      </x:c>
      <x:c r="G682" s="17" t="str">
        <x:v>回收中心候选</x:v>
      </x:c>
      <x:c r="H682" s="24" t="n">
        <x:v>113.5721327</x:v>
      </x:c>
      <x:c r="I682" s="24" t="n">
        <x:v>22.273734</x:v>
      </x:c>
      <x:c r="J682" s="21" t="n">
        <x:f>6371*ACOS(MIN(1,COS(D682*PI()/180)*COS(I682*PI()/180)*COS((H682-C682)*PI()/180)+SIN(D682*PI()/180)*SIN(I682*PI()/180)))</x:f>
        <x:v>281.6212285375003</x:v>
      </x:c>
      <x:c r="K682" s="21" t="n">
        <x:f>'情景参数模板'!$D$31</x:f>
        <x:v>1.2</x:v>
      </x:c>
      <x:c r="L682" s="21" t="n">
        <x:f>J682*K682</x:f>
        <x:v>337.94547424500036</x:v>
      </x:c>
    </x:row>
    <x:row r="683">
      <x:c r="A683" s="17" t="str">
        <x:v>GD16</x:v>
      </x:c>
      <x:c r="B683" s="17" t="str">
        <x:v>茂名</x:v>
      </x:c>
      <x:c r="C683" s="24" t="n">
        <x:v>110.9209511</x:v>
      </x:c>
      <x:c r="D683" s="24" t="n">
        <x:v>21.6656961</x:v>
      </x:c>
      <x:c r="E683" s="17" t="str">
        <x:v>C04</x:v>
      </x:c>
      <x:c r="F683" s="17" t="str">
        <x:v>汕头虚拟回收/检测中心</x:v>
      </x:c>
      <x:c r="G683" s="17" t="str">
        <x:v>回收中心候选</x:v>
      </x:c>
      <x:c r="H683" s="24" t="n">
        <x:v>116.6775856</x:v>
      </x:c>
      <x:c r="I683" s="24" t="n">
        <x:v>23.3563921</x:v>
      </x:c>
      <x:c r="J683" s="21" t="n">
        <x:f>6371*ACOS(MIN(1,COS(D683*PI()/180)*COS(I683*PI()/180)*COS((H683-C683)*PI()/180)+SIN(D683*PI()/180)*SIN(I683*PI()/180)))</x:f>
        <x:v>620.4348566157764</x:v>
      </x:c>
      <x:c r="K683" s="21" t="n">
        <x:f>'情景参数模板'!$D$31</x:f>
        <x:v>1.2</x:v>
      </x:c>
      <x:c r="L683" s="21" t="n">
        <x:f>J683*K683</x:f>
        <x:v>744.5218279389317</x:v>
      </x:c>
    </x:row>
    <x:row r="684">
      <x:c r="A684" s="17" t="str">
        <x:v>GD16</x:v>
      </x:c>
      <x:c r="B684" s="17" t="str">
        <x:v>茂名</x:v>
      </x:c>
      <x:c r="C684" s="24" t="n">
        <x:v>110.9209511</x:v>
      </x:c>
      <x:c r="D684" s="24" t="n">
        <x:v>21.6656961</x:v>
      </x:c>
      <x:c r="E684" s="17" t="str">
        <x:v>C05</x:v>
      </x:c>
      <x:c r="F684" s="17" t="str">
        <x:v>佛山虚拟回收/检测中心</x:v>
      </x:c>
      <x:c r="G684" s="17" t="str">
        <x:v>回收中心候选</x:v>
      </x:c>
      <x:c r="H684" s="24" t="n">
        <x:v>113.1159558</x:v>
      </x:c>
      <x:c r="I684" s="24" t="n">
        <x:v>23.0239788</x:v>
      </x:c>
      <x:c r="J684" s="21" t="n">
        <x:f>6371*ACOS(MIN(1,COS(D684*PI()/180)*COS(I684*PI()/180)*COS((H684-C684)*PI()/180)+SIN(D684*PI()/180)*SIN(I684*PI()/180)))</x:f>
        <x:v>271.60321814176973</x:v>
      </x:c>
      <x:c r="K684" s="21" t="n">
        <x:f>'情景参数模板'!$D$31</x:f>
        <x:v>1.2</x:v>
      </x:c>
      <x:c r="L684" s="21" t="n">
        <x:f>J684*K684</x:f>
        <x:v>325.92386177012366</x:v>
      </x:c>
    </x:row>
    <x:row r="685">
      <x:c r="A685" s="17" t="str">
        <x:v>GD16</x:v>
      </x:c>
      <x:c r="B685" s="17" t="str">
        <x:v>茂名</x:v>
      </x:c>
      <x:c r="C685" s="24" t="n">
        <x:v>110.9209511</x:v>
      </x:c>
      <x:c r="D685" s="24" t="n">
        <x:v>21.6656961</x:v>
      </x:c>
      <x:c r="E685" s="17" t="str">
        <x:v>C06</x:v>
      </x:c>
      <x:c r="F685" s="17" t="str">
        <x:v>韶关虚拟回收/检测中心</x:v>
      </x:c>
      <x:c r="G685" s="17" t="str">
        <x:v>回收中心候选</x:v>
      </x:c>
      <x:c r="H685" s="24" t="n">
        <x:v>113.8155263</x:v>
      </x:c>
      <x:c r="I685" s="24" t="n">
        <x:v>24.8309489</x:v>
      </x:c>
      <x:c r="J685" s="21" t="n">
        <x:f>6371*ACOS(MIN(1,COS(D685*PI()/180)*COS(I685*PI()/180)*COS((H685-C685)*PI()/180)+SIN(D685*PI()/180)*SIN(I685*PI()/180)))</x:f>
        <x:v>459.66654172601613</x:v>
      </x:c>
      <x:c r="K685" s="21" t="n">
        <x:f>'情景参数模板'!$D$31</x:f>
        <x:v>1.2</x:v>
      </x:c>
      <x:c r="L685" s="21" t="n">
        <x:f>J685*K685</x:f>
        <x:v>551.5998500712193</x:v>
      </x:c>
    </x:row>
    <x:row r="686">
      <x:c r="A686" s="17" t="str">
        <x:v>GD16</x:v>
      </x:c>
      <x:c r="B686" s="17" t="str">
        <x:v>茂名</x:v>
      </x:c>
      <x:c r="C686" s="24" t="n">
        <x:v>110.9209511</x:v>
      </x:c>
      <x:c r="D686" s="24" t="n">
        <x:v>21.6656961</x:v>
      </x:c>
      <x:c r="E686" s="17" t="str">
        <x:v>C07</x:v>
      </x:c>
      <x:c r="F686" s="17" t="str">
        <x:v>河源虚拟回收/检测中心</x:v>
      </x:c>
      <x:c r="G686" s="17" t="str">
        <x:v>回收中心候选</x:v>
      </x:c>
      <x:c r="H686" s="24" t="n">
        <x:v>115.0577538</x:v>
      </x:c>
      <x:c r="I686" s="24" t="n">
        <x:v>24.1014769</x:v>
      </x:c>
      <x:c r="J686" s="21" t="n">
        <x:f>6371*ACOS(MIN(1,COS(D686*PI()/180)*COS(I686*PI()/180)*COS((H686-C686)*PI()/180)+SIN(D686*PI()/180)*SIN(I686*PI()/180)))</x:f>
        <x:v>502.8929784594784</x:v>
      </x:c>
      <x:c r="K686" s="21" t="n">
        <x:f>'情景参数模板'!$D$31</x:f>
        <x:v>1.2</x:v>
      </x:c>
      <x:c r="L686" s="21" t="n">
        <x:f>J686*K686</x:f>
        <x:v>603.471574151374</x:v>
      </x:c>
    </x:row>
    <x:row r="687">
      <x:c r="A687" s="17" t="str">
        <x:v>GD16</x:v>
      </x:c>
      <x:c r="B687" s="17" t="str">
        <x:v>茂名</x:v>
      </x:c>
      <x:c r="C687" s="24" t="n">
        <x:v>110.9209511</x:v>
      </x:c>
      <x:c r="D687" s="24" t="n">
        <x:v>21.6656961</x:v>
      </x:c>
      <x:c r="E687" s="17" t="str">
        <x:v>C08</x:v>
      </x:c>
      <x:c r="F687" s="17" t="str">
        <x:v>梅州虚拟回收/检测中心</x:v>
      </x:c>
      <x:c r="G687" s="17" t="str">
        <x:v>回收中心候选</x:v>
      </x:c>
      <x:c r="H687" s="24" t="n">
        <x:v>116.1171428</x:v>
      </x:c>
      <x:c r="I687" s="24" t="n">
        <x:v>24.2918414</x:v>
      </x:c>
      <x:c r="J687" s="21" t="n">
        <x:f>6371*ACOS(MIN(1,COS(D687*PI()/180)*COS(I687*PI()/180)*COS((H687-C687)*PI()/180)+SIN(D687*PI()/180)*SIN(I687*PI()/180)))</x:f>
        <x:v>606.7362765416557</x:v>
      </x:c>
      <x:c r="K687" s="21" t="n">
        <x:f>'情景参数模板'!$D$31</x:f>
        <x:v>1.2</x:v>
      </x:c>
      <x:c r="L687" s="21" t="n">
        <x:f>J687*K687</x:f>
        <x:v>728.0835318499868</x:v>
      </x:c>
    </x:row>
    <x:row r="688">
      <x:c r="A688" s="17" t="str">
        <x:v>GD16</x:v>
      </x:c>
      <x:c r="B688" s="17" t="str">
        <x:v>茂名</x:v>
      </x:c>
      <x:c r="C688" s="24" t="n">
        <x:v>110.9209511</x:v>
      </x:c>
      <x:c r="D688" s="24" t="n">
        <x:v>21.6656961</x:v>
      </x:c>
      <x:c r="E688" s="17" t="str">
        <x:v>C09</x:v>
      </x:c>
      <x:c r="F688" s="17" t="str">
        <x:v>惠州虚拟回收/检测中心</x:v>
      </x:c>
      <x:c r="G688" s="17" t="str">
        <x:v>回收中心候选</x:v>
      </x:c>
      <x:c r="H688" s="24" t="n">
        <x:v>114.4127007</x:v>
      </x:c>
      <x:c r="I688" s="24" t="n">
        <x:v>23.1125153</x:v>
      </x:c>
      <x:c r="J688" s="21" t="n">
        <x:f>6371*ACOS(MIN(1,COS(D688*PI()/180)*COS(I688*PI()/180)*COS((H688-C688)*PI()/180)+SIN(D688*PI()/180)*SIN(I688*PI()/180)))</x:f>
        <x:v>393.3759625308256</x:v>
      </x:c>
      <x:c r="K688" s="21" t="n">
        <x:f>'情景参数模板'!$D$31</x:f>
        <x:v>1.2</x:v>
      </x:c>
      <x:c r="L688" s="21" t="n">
        <x:f>J688*K688</x:f>
        <x:v>472.0511550369907</x:v>
      </x:c>
    </x:row>
    <x:row r="689">
      <x:c r="A689" s="17" t="str">
        <x:v>GD16</x:v>
      </x:c>
      <x:c r="B689" s="17" t="str">
        <x:v>茂名</x:v>
      </x:c>
      <x:c r="C689" s="24" t="n">
        <x:v>110.9209511</x:v>
      </x:c>
      <x:c r="D689" s="24" t="n">
        <x:v>21.6656961</x:v>
      </x:c>
      <x:c r="E689" s="17" t="str">
        <x:v>C10</x:v>
      </x:c>
      <x:c r="F689" s="17" t="str">
        <x:v>汕尾虚拟回收/检测中心</x:v>
      </x:c>
      <x:c r="G689" s="17" t="str">
        <x:v>回收中心候选</x:v>
      </x:c>
      <x:c r="H689" s="24" t="n">
        <x:v>115.5099937</x:v>
      </x:c>
      <x:c r="I689" s="24" t="n">
        <x:v>23.0123639</x:v>
      </x:c>
      <x:c r="J689" s="21" t="n">
        <x:f>6371*ACOS(MIN(1,COS(D689*PI()/180)*COS(I689*PI()/180)*COS((H689-C689)*PI()/180)+SIN(D689*PI()/180)*SIN(I689*PI()/180)))</x:f>
        <x:v>495.1338872559812</x:v>
      </x:c>
      <x:c r="K689" s="21" t="n">
        <x:f>'情景参数模板'!$D$31</x:f>
        <x:v>1.2</x:v>
      </x:c>
      <x:c r="L689" s="21" t="n">
        <x:f>J689*K689</x:f>
        <x:v>594.1606647071775</x:v>
      </x:c>
    </x:row>
    <x:row r="690">
      <x:c r="A690" s="17" t="str">
        <x:v>GD16</x:v>
      </x:c>
      <x:c r="B690" s="17" t="str">
        <x:v>茂名</x:v>
      </x:c>
      <x:c r="C690" s="24" t="n">
        <x:v>110.9209511</x:v>
      </x:c>
      <x:c r="D690" s="24" t="n">
        <x:v>21.6656961</x:v>
      </x:c>
      <x:c r="E690" s="17" t="str">
        <x:v>C11</x:v>
      </x:c>
      <x:c r="F690" s="17" t="str">
        <x:v>东莞虚拟回收/检测中心</x:v>
      </x:c>
      <x:c r="G690" s="17" t="str">
        <x:v>回收中心候选</x:v>
      </x:c>
      <x:c r="H690" s="24" t="n">
        <x:v>113.7452332</x:v>
      </x:c>
      <x:c r="I690" s="24" t="n">
        <x:v>23.0183568</x:v>
      </x:c>
      <x:c r="J690" s="21" t="n">
        <x:f>6371*ACOS(MIN(1,COS(D690*PI()/180)*COS(I690*PI()/180)*COS((H690-C690)*PI()/180)+SIN(D690*PI()/180)*SIN(I690*PI()/180)))</x:f>
        <x:v>327.0898464197607</x:v>
      </x:c>
      <x:c r="K690" s="21" t="n">
        <x:f>'情景参数模板'!$D$31</x:f>
        <x:v>1.2</x:v>
      </x:c>
      <x:c r="L690" s="21" t="n">
        <x:f>J690*K690</x:f>
        <x:v>392.5078157037128</x:v>
      </x:c>
    </x:row>
    <x:row r="691">
      <x:c r="A691" s="17" t="str">
        <x:v>GD16</x:v>
      </x:c>
      <x:c r="B691" s="17" t="str">
        <x:v>茂名</x:v>
      </x:c>
      <x:c r="C691" s="24" t="n">
        <x:v>110.9209511</x:v>
      </x:c>
      <x:c r="D691" s="24" t="n">
        <x:v>21.6656961</x:v>
      </x:c>
      <x:c r="E691" s="17" t="str">
        <x:v>C12</x:v>
      </x:c>
      <x:c r="F691" s="17" t="str">
        <x:v>中山虚拟回收/检测中心</x:v>
      </x:c>
      <x:c r="G691" s="17" t="str">
        <x:v>回收中心候选</x:v>
      </x:c>
      <x:c r="H691" s="24" t="n">
        <x:v>113.3872302</x:v>
      </x:c>
      <x:c r="I691" s="24" t="n">
        <x:v>22.5197073</x:v>
      </x:c>
      <x:c r="J691" s="21" t="n">
        <x:f>6371*ACOS(MIN(1,COS(D691*PI()/180)*COS(I691*PI()/180)*COS((H691-C691)*PI()/180)+SIN(D691*PI()/180)*SIN(I691*PI()/180)))</x:f>
        <x:v>271.26090740261486</x:v>
      </x:c>
      <x:c r="K691" s="21" t="n">
        <x:f>'情景参数模板'!$D$31</x:f>
        <x:v>1.2</x:v>
      </x:c>
      <x:c r="L691" s="21" t="n">
        <x:f>J691*K691</x:f>
        <x:v>325.5130888831378</x:v>
      </x:c>
    </x:row>
    <x:row r="692">
      <x:c r="A692" s="17" t="str">
        <x:v>GD16</x:v>
      </x:c>
      <x:c r="B692" s="17" t="str">
        <x:v>茂名</x:v>
      </x:c>
      <x:c r="C692" s="24" t="n">
        <x:v>110.9209511</x:v>
      </x:c>
      <x:c r="D692" s="24" t="n">
        <x:v>21.6656961</x:v>
      </x:c>
      <x:c r="E692" s="17" t="str">
        <x:v>C13</x:v>
      </x:c>
      <x:c r="F692" s="17" t="str">
        <x:v>江门虚拟回收/检测中心</x:v>
      </x:c>
      <x:c r="G692" s="17" t="str">
        <x:v>回收中心候选</x:v>
      </x:c>
      <x:c r="H692" s="24" t="n">
        <x:v>113.0761073</x:v>
      </x:c>
      <x:c r="I692" s="24" t="n">
        <x:v>22.5816619</x:v>
      </x:c>
      <x:c r="J692" s="21" t="n">
        <x:f>6371*ACOS(MIN(1,COS(D692*PI()/180)*COS(I692*PI()/180)*COS((H692-C692)*PI()/180)+SIN(D692*PI()/180)*SIN(I692*PI()/180)))</x:f>
        <x:v>244.2425541235698</x:v>
      </x:c>
      <x:c r="K692" s="21" t="n">
        <x:f>'情景参数模板'!$D$31</x:f>
        <x:v>1.2</x:v>
      </x:c>
      <x:c r="L692" s="21" t="n">
        <x:f>J692*K692</x:f>
        <x:v>293.09106494828376</x:v>
      </x:c>
    </x:row>
    <x:row r="693">
      <x:c r="A693" s="17" t="str">
        <x:v>GD16</x:v>
      </x:c>
      <x:c r="B693" s="17" t="str">
        <x:v>茂名</x:v>
      </x:c>
      <x:c r="C693" s="24" t="n">
        <x:v>110.9209511</x:v>
      </x:c>
      <x:c r="D693" s="24" t="n">
        <x:v>21.6656961</x:v>
      </x:c>
      <x:c r="E693" s="17" t="str">
        <x:v>C14</x:v>
      </x:c>
      <x:c r="F693" s="17" t="str">
        <x:v>阳江虚拟回收/检测中心</x:v>
      </x:c>
      <x:c r="G693" s="17" t="str">
        <x:v>回收中心候选</x:v>
      </x:c>
      <x:c r="H693" s="24" t="n">
        <x:v>111.7831393</x:v>
      </x:c>
      <x:c r="I693" s="24" t="n">
        <x:v>22.0958223</x:v>
      </x:c>
      <x:c r="J693" s="21" t="n">
        <x:f>6371*ACOS(MIN(1,COS(D693*PI()/180)*COS(I693*PI()/180)*COS((H693-C693)*PI()/180)+SIN(D693*PI()/180)*SIN(I693*PI()/180)))</x:f>
        <x:v>101.00553735425996</x:v>
      </x:c>
      <x:c r="K693" s="21" t="n">
        <x:f>'情景参数模板'!$D$31</x:f>
        <x:v>1.2</x:v>
      </x:c>
      <x:c r="L693" s="21" t="n">
        <x:f>J693*K693</x:f>
        <x:v>121.20664482511194</x:v>
      </x:c>
    </x:row>
    <x:row r="694">
      <x:c r="A694" s="17" t="str">
        <x:v>GD16</x:v>
      </x:c>
      <x:c r="B694" s="17" t="str">
        <x:v>茂名</x:v>
      </x:c>
      <x:c r="C694" s="24" t="n">
        <x:v>110.9209511</x:v>
      </x:c>
      <x:c r="D694" s="24" t="n">
        <x:v>21.6656961</x:v>
      </x:c>
      <x:c r="E694" s="17" t="str">
        <x:v>C15</x:v>
      </x:c>
      <x:c r="F694" s="17" t="str">
        <x:v>湛江虚拟回收/检测中心</x:v>
      </x:c>
      <x:c r="G694" s="17" t="str">
        <x:v>回收中心候选</x:v>
      </x:c>
      <x:c r="H694" s="24" t="n">
        <x:v>110.3548318</x:v>
      </x:c>
      <x:c r="I694" s="24" t="n">
        <x:v>21.2737079</x:v>
      </x:c>
      <x:c r="J694" s="21" t="n">
        <x:f>6371*ACOS(MIN(1,COS(D694*PI()/180)*COS(I694*PI()/180)*COS((H694-C694)*PI()/180)+SIN(D694*PI()/180)*SIN(I694*PI()/180)))</x:f>
        <x:v>73.017913774945</x:v>
      </x:c>
      <x:c r="K694" s="21" t="n">
        <x:f>'情景参数模板'!$D$31</x:f>
        <x:v>1.2</x:v>
      </x:c>
      <x:c r="L694" s="21" t="n">
        <x:f>J694*K694</x:f>
        <x:v>87.62149652993399</x:v>
      </x:c>
    </x:row>
    <x:row r="695">
      <x:c r="A695" s="17" t="str">
        <x:v>GD16</x:v>
      </x:c>
      <x:c r="B695" s="17" t="str">
        <x:v>茂名</x:v>
      </x:c>
      <x:c r="C695" s="24" t="n">
        <x:v>110.9209511</x:v>
      </x:c>
      <x:c r="D695" s="24" t="n">
        <x:v>21.6656961</x:v>
      </x:c>
      <x:c r="E695" s="17" t="str">
        <x:v>C16</x:v>
      </x:c>
      <x:c r="F695" s="17" t="str">
        <x:v>茂名虚拟回收/检测中心</x:v>
      </x:c>
      <x:c r="G695" s="17" t="str">
        <x:v>回收中心候选</x:v>
      </x:c>
      <x:c r="H695" s="24" t="n">
        <x:v>110.9209511</x:v>
      </x:c>
      <x:c r="I695" s="24" t="n">
        <x:v>21.6656961</x:v>
      </x:c>
      <x:c r="J695" s="21" t="n">
        <x:f>6371*ACOS(MIN(1,COS(D695*PI()/180)*COS(I695*PI()/180)*COS((H695-C695)*PI()/180)+SIN(D695*PI()/180)*SIN(I695*PI()/180)))</x:f>
        <x:v>0.00009493529796600342</x:v>
      </x:c>
      <x:c r="K695" s="21" t="n">
        <x:f>'情景参数模板'!$D$31</x:f>
        <x:v>1.2</x:v>
      </x:c>
      <x:c r="L695" s="21" t="n">
        <x:f>J695*K695</x:f>
        <x:v>0.0001139223575592041</x:v>
      </x:c>
    </x:row>
    <x:row r="696">
      <x:c r="A696" s="17" t="str">
        <x:v>GD16</x:v>
      </x:c>
      <x:c r="B696" s="17" t="str">
        <x:v>茂名</x:v>
      </x:c>
      <x:c r="C696" s="24" t="n">
        <x:v>110.9209511</x:v>
      </x:c>
      <x:c r="D696" s="24" t="n">
        <x:v>21.6656961</x:v>
      </x:c>
      <x:c r="E696" s="17" t="str">
        <x:v>C17</x:v>
      </x:c>
      <x:c r="F696" s="17" t="str">
        <x:v>肇庆虚拟回收/检测中心</x:v>
      </x:c>
      <x:c r="G696" s="17" t="str">
        <x:v>回收中心候选</x:v>
      </x:c>
      <x:c r="H696" s="24" t="n">
        <x:v>112.4603629</x:v>
      </x:c>
      <x:c r="I696" s="24" t="n">
        <x:v>23.0501661</x:v>
      </x:c>
      <x:c r="J696" s="21" t="n">
        <x:f>6371*ACOS(MIN(1,COS(D696*PI()/180)*COS(I696*PI()/180)*COS((H696-C696)*PI()/180)+SIN(D696*PI()/180)*SIN(I696*PI()/180)))</x:f>
        <x:v>220.81298704421815</x:v>
      </x:c>
      <x:c r="K696" s="21" t="n">
        <x:f>'情景参数模板'!$D$31</x:f>
        <x:v>1.2</x:v>
      </x:c>
      <x:c r="L696" s="21" t="n">
        <x:f>J696*K696</x:f>
        <x:v>264.97558445306174</x:v>
      </x:c>
    </x:row>
    <x:row r="697">
      <x:c r="A697" s="17" t="str">
        <x:v>GD16</x:v>
      </x:c>
      <x:c r="B697" s="17" t="str">
        <x:v>茂名</x:v>
      </x:c>
      <x:c r="C697" s="24" t="n">
        <x:v>110.9209511</x:v>
      </x:c>
      <x:c r="D697" s="24" t="n">
        <x:v>21.6656961</x:v>
      </x:c>
      <x:c r="E697" s="17" t="str">
        <x:v>C18</x:v>
      </x:c>
      <x:c r="F697" s="17" t="str">
        <x:v>清远虚拟回收/检测中心</x:v>
      </x:c>
      <x:c r="G697" s="17" t="str">
        <x:v>回收中心候选</x:v>
      </x:c>
      <x:c r="H697" s="24" t="n">
        <x:v>113.0505994</x:v>
      </x:c>
      <x:c r="I697" s="24" t="n">
        <x:v>23.6832984</x:v>
      </x:c>
      <x:c r="J697" s="21" t="n">
        <x:f>6371*ACOS(MIN(1,COS(D697*PI()/180)*COS(I697*PI()/180)*COS((H697-C697)*PI()/180)+SIN(D697*PI()/180)*SIN(I697*PI()/180)))</x:f>
        <x:v>313.15649752256786</x:v>
      </x:c>
      <x:c r="K697" s="21" t="n">
        <x:f>'情景参数模板'!$D$31</x:f>
        <x:v>1.2</x:v>
      </x:c>
      <x:c r="L697" s="21" t="n">
        <x:f>J697*K697</x:f>
        <x:v>375.7877970270814</x:v>
      </x:c>
    </x:row>
    <x:row r="698">
      <x:c r="A698" s="17" t="str">
        <x:v>GD16</x:v>
      </x:c>
      <x:c r="B698" s="17" t="str">
        <x:v>茂名</x:v>
      </x:c>
      <x:c r="C698" s="24" t="n">
        <x:v>110.9209511</x:v>
      </x:c>
      <x:c r="D698" s="24" t="n">
        <x:v>21.6656961</x:v>
      </x:c>
      <x:c r="E698" s="17" t="str">
        <x:v>C19</x:v>
      </x:c>
      <x:c r="F698" s="17" t="str">
        <x:v>潮州虚拟回收/检测中心</x:v>
      </x:c>
      <x:c r="G698" s="17" t="str">
        <x:v>回收中心候选</x:v>
      </x:c>
      <x:c r="H698" s="24" t="n">
        <x:v>116.6204223</x:v>
      </x:c>
      <x:c r="I698" s="24" t="n">
        <x:v>23.656593</x:v>
      </x:c>
      <x:c r="J698" s="21" t="n">
        <x:f>6371*ACOS(MIN(1,COS(D698*PI()/180)*COS(I698*PI()/180)*COS((H698-C698)*PI()/180)+SIN(D698*PI()/180)*SIN(I698*PI()/180)))</x:f>
        <x:v>625.2484183411569</x:v>
      </x:c>
      <x:c r="K698" s="21" t="n">
        <x:f>'情景参数模板'!$D$31</x:f>
        <x:v>1.2</x:v>
      </x:c>
      <x:c r="L698" s="21" t="n">
        <x:f>J698*K698</x:f>
        <x:v>750.2981020093883</x:v>
      </x:c>
    </x:row>
    <x:row r="699">
      <x:c r="A699" s="17" t="str">
        <x:v>GD16</x:v>
      </x:c>
      <x:c r="B699" s="17" t="str">
        <x:v>茂名</x:v>
      </x:c>
      <x:c r="C699" s="24" t="n">
        <x:v>110.9209511</x:v>
      </x:c>
      <x:c r="D699" s="24" t="n">
        <x:v>21.6656961</x:v>
      </x:c>
      <x:c r="E699" s="17" t="str">
        <x:v>C20</x:v>
      </x:c>
      <x:c r="F699" s="17" t="str">
        <x:v>揭阳虚拟回收/检测中心</x:v>
      </x:c>
      <x:c r="G699" s="17" t="str">
        <x:v>回收中心候选</x:v>
      </x:c>
      <x:c r="H699" s="24" t="n">
        <x:v>116.3680354</x:v>
      </x:c>
      <x:c r="I699" s="24" t="n">
        <x:v>23.553156</x:v>
      </x:c>
      <x:c r="J699" s="21" t="n">
        <x:f>6371*ACOS(MIN(1,COS(D699*PI()/180)*COS(I699*PI()/180)*COS((H699-C699)*PI()/180)+SIN(D699*PI()/180)*SIN(I699*PI()/180)))</x:f>
        <x:v>597.1655712096995</x:v>
      </x:c>
      <x:c r="K699" s="21" t="n">
        <x:f>'情景参数模板'!$D$31</x:f>
        <x:v>1.2</x:v>
      </x:c>
      <x:c r="L699" s="21" t="n">
        <x:f>J699*K699</x:f>
        <x:v>716.5986854516393</x:v>
      </x:c>
    </x:row>
    <x:row r="700">
      <x:c r="A700" s="17" t="str">
        <x:v>GD16</x:v>
      </x:c>
      <x:c r="B700" s="17" t="str">
        <x:v>茂名</x:v>
      </x:c>
      <x:c r="C700" s="24" t="n">
        <x:v>110.9209511</x:v>
      </x:c>
      <x:c r="D700" s="24" t="n">
        <x:v>21.6656961</x:v>
      </x:c>
      <x:c r="E700" s="17" t="str">
        <x:v>C21</x:v>
      </x:c>
      <x:c r="F700" s="17" t="str">
        <x:v>云浮虚拟回收/检测中心</x:v>
      </x:c>
      <x:c r="G700" s="17" t="str">
        <x:v>回收中心候选</x:v>
      </x:c>
      <x:c r="H700" s="24" t="n">
        <x:v>111.8078586</x:v>
      </x:c>
      <x:c r="I700" s="24" t="n">
        <x:v>22.8546663</x:v>
      </x:c>
      <x:c r="J700" s="21" t="n">
        <x:f>6371*ACOS(MIN(1,COS(D700*PI()/180)*COS(I700*PI()/180)*COS((H700-C700)*PI()/180)+SIN(D700*PI()/180)*SIN(I700*PI()/180)))</x:f>
        <x:v>160.65029167234215</x:v>
      </x:c>
      <x:c r="K700" s="21" t="n">
        <x:f>'情景参数模板'!$D$31</x:f>
        <x:v>1.2</x:v>
      </x:c>
      <x:c r="L700" s="21" t="n">
        <x:f>J700*K700</x:f>
        <x:v>192.78035000681058</x:v>
      </x:c>
    </x:row>
    <x:row r="701">
      <x:c r="A701" s="17" t="str">
        <x:v>GD16</x:v>
      </x:c>
      <x:c r="B701" s="17" t="str">
        <x:v>茂名</x:v>
      </x:c>
      <x:c r="C701" s="24" t="n">
        <x:v>110.9209511</x:v>
      </x:c>
      <x:c r="D701" s="24" t="n">
        <x:v>21.6656961</x:v>
      </x:c>
      <x:c r="E701" s="17" t="str">
        <x:v>P01</x:v>
      </x:c>
      <x:c r="F701" s="17" t="str">
        <x:v>汕尾比亚迪废旧动力电池回收项目</x:v>
      </x:c>
      <x:c r="G701" s="17" t="str">
        <x:v>再生利用</x:v>
      </x:c>
      <x:c r="H701" s="24" t="n">
        <x:v>115.3492668</x:v>
      </x:c>
      <x:c r="I701" s="24" t="n">
        <x:v>22.838065</x:v>
      </x:c>
      <x:c r="J701" s="21" t="n">
        <x:f>6371*ACOS(MIN(1,COS(D701*PI()/180)*COS(I701*PI()/180)*COS((H701-C701)*PI()/180)+SIN(D701*PI()/180)*SIN(I701*PI()/180)))</x:f>
        <x:v>473.98682700950883</x:v>
      </x:c>
      <x:c r="K701" s="21" t="n">
        <x:f>'情景参数模板'!$D$31</x:f>
        <x:v>1.2</x:v>
      </x:c>
      <x:c r="L701" s="21" t="n">
        <x:f>J701*K701</x:f>
        <x:v>568.7841924114106</x:v>
      </x:c>
    </x:row>
    <x:row r="702">
      <x:c r="A702" s="17" t="str">
        <x:v>GD16</x:v>
      </x:c>
      <x:c r="B702" s="17" t="str">
        <x:v>茂名</x:v>
      </x:c>
      <x:c r="C702" s="24" t="n">
        <x:v>110.9209511</x:v>
      </x:c>
      <x:c r="D702" s="24" t="n">
        <x:v>21.6656961</x:v>
      </x:c>
      <x:c r="E702" s="17" t="str">
        <x:v>P02E</x:v>
      </x:c>
      <x:c r="F702" s="17" t="str">
        <x:v>广东光华科技股份有限公司（梯次功能）</x:v>
      </x:c>
      <x:c r="G702" s="17" t="str">
        <x:v>梯次利用</x:v>
      </x:c>
      <x:c r="H702" s="24" t="n">
        <x:v>116.6775856</x:v>
      </x:c>
      <x:c r="I702" s="24" t="n">
        <x:v>23.3563921</x:v>
      </x:c>
      <x:c r="J702" s="21" t="n">
        <x:f>6371*ACOS(MIN(1,COS(D702*PI()/180)*COS(I702*PI()/180)*COS((H702-C702)*PI()/180)+SIN(D702*PI()/180)*SIN(I702*PI()/180)))</x:f>
        <x:v>620.4348566157764</x:v>
      </x:c>
      <x:c r="K702" s="21" t="n">
        <x:f>'情景参数模板'!$D$31</x:f>
        <x:v>1.2</x:v>
      </x:c>
      <x:c r="L702" s="21" t="n">
        <x:f>J702*K702</x:f>
        <x:v>744.5218279389317</x:v>
      </x:c>
    </x:row>
    <x:row r="703">
      <x:c r="A703" s="17" t="str">
        <x:v>GD16</x:v>
      </x:c>
      <x:c r="B703" s="17" t="str">
        <x:v>茂名</x:v>
      </x:c>
      <x:c r="C703" s="24" t="n">
        <x:v>110.9209511</x:v>
      </x:c>
      <x:c r="D703" s="24" t="n">
        <x:v>21.6656961</x:v>
      </x:c>
      <x:c r="E703" s="17" t="str">
        <x:v>P02R</x:v>
      </x:c>
      <x:c r="F703" s="17" t="str">
        <x:v>广东光华科技股份有限公司（再生功能）</x:v>
      </x:c>
      <x:c r="G703" s="17" t="str">
        <x:v>再生利用</x:v>
      </x:c>
      <x:c r="H703" s="24" t="n">
        <x:v>116.6775856</x:v>
      </x:c>
      <x:c r="I703" s="24" t="n">
        <x:v>23.3563921</x:v>
      </x:c>
      <x:c r="J703" s="21" t="n">
        <x:f>6371*ACOS(MIN(1,COS(D703*PI()/180)*COS(I703*PI()/180)*COS((H703-C703)*PI()/180)+SIN(D703*PI()/180)*SIN(I703*PI()/180)))</x:f>
        <x:v>620.4348566157764</x:v>
      </x:c>
      <x:c r="K703" s="21" t="n">
        <x:f>'情景参数模板'!$D$31</x:f>
        <x:v>1.2</x:v>
      </x:c>
      <x:c r="L703" s="21" t="n">
        <x:f>J703*K703</x:f>
        <x:v>744.5218279389317</x:v>
      </x:c>
    </x:row>
    <x:row r="704">
      <x:c r="A704" s="17" t="str">
        <x:v>GD16</x:v>
      </x:c>
      <x:c r="B704" s="17" t="str">
        <x:v>茂名</x:v>
      </x:c>
      <x:c r="C704" s="24" t="n">
        <x:v>110.9209511</x:v>
      </x:c>
      <x:c r="D704" s="24" t="n">
        <x:v>21.6656961</x:v>
      </x:c>
      <x:c r="E704" s="17" t="str">
        <x:v>P03</x:v>
      </x:c>
      <x:c r="F704" s="17" t="str">
        <x:v>深圳深汕特别合作区乾泰技术有限公司</x:v>
      </x:c>
      <x:c r="G704" s="17" t="str">
        <x:v>梯次利用</x:v>
      </x:c>
      <x:c r="H704" s="24" t="n">
        <x:v>115.5099937</x:v>
      </x:c>
      <x:c r="I704" s="24" t="n">
        <x:v>23.0123639</x:v>
      </x:c>
      <x:c r="J704" s="21" t="n">
        <x:f>6371*ACOS(MIN(1,COS(D704*PI()/180)*COS(I704*PI()/180)*COS((H704-C704)*PI()/180)+SIN(D704*PI()/180)*SIN(I704*PI()/180)))</x:f>
        <x:v>495.1338872559812</x:v>
      </x:c>
      <x:c r="K704" s="21" t="n">
        <x:f>'情景参数模板'!$D$31</x:f>
        <x:v>1.2</x:v>
      </x:c>
      <x:c r="L704" s="21" t="n">
        <x:f>J704*K704</x:f>
        <x:v>594.1606647071775</x:v>
      </x:c>
    </x:row>
    <x:row r="705">
      <x:c r="A705" s="17" t="str">
        <x:v>GD16</x:v>
      </x:c>
      <x:c r="B705" s="17" t="str">
        <x:v>茂名</x:v>
      </x:c>
      <x:c r="C705" s="24" t="n">
        <x:v>110.9209511</x:v>
      </x:c>
      <x:c r="D705" s="24" t="n">
        <x:v>21.6656961</x:v>
      </x:c>
      <x:c r="E705" s="17" t="str">
        <x:v>P04</x:v>
      </x:c>
      <x:c r="F705" s="17" t="str">
        <x:v>珠海中力新能源科技有限公司</x:v>
      </x:c>
      <x:c r="G705" s="17" t="str">
        <x:v>梯次利用</x:v>
      </x:c>
      <x:c r="H705" s="24" t="n">
        <x:v>113.5721327</x:v>
      </x:c>
      <x:c r="I705" s="24" t="n">
        <x:v>22.273734</x:v>
      </x:c>
      <x:c r="J705" s="21" t="n">
        <x:f>6371*ACOS(MIN(1,COS(D705*PI()/180)*COS(I705*PI()/180)*COS((H705-C705)*PI()/180)+SIN(D705*PI()/180)*SIN(I705*PI()/180)))</x:f>
        <x:v>281.6212285375003</x:v>
      </x:c>
      <x:c r="K705" s="21" t="n">
        <x:f>'情景参数模板'!$D$31</x:f>
        <x:v>1.2</x:v>
      </x:c>
      <x:c r="L705" s="21" t="n">
        <x:f>J705*K705</x:f>
        <x:v>337.94547424500036</x:v>
      </x:c>
    </x:row>
    <x:row r="706">
      <x:c r="A706" s="17" t="str">
        <x:v>GD16</x:v>
      </x:c>
      <x:c r="B706" s="17" t="str">
        <x:v>茂名</x:v>
      </x:c>
      <x:c r="C706" s="24" t="n">
        <x:v>110.9209511</x:v>
      </x:c>
      <x:c r="D706" s="24" t="n">
        <x:v>21.6656961</x:v>
      </x:c>
      <x:c r="E706" s="17" t="str">
        <x:v>P05</x:v>
      </x:c>
      <x:c r="F706" s="17" t="str">
        <x:v>惠州市恒创睿能环保科技有限公司</x:v>
      </x:c>
      <x:c r="G706" s="17" t="str">
        <x:v>梯次利用</x:v>
      </x:c>
      <x:c r="H706" s="24" t="n">
        <x:v>114.4127007</x:v>
      </x:c>
      <x:c r="I706" s="24" t="n">
        <x:v>23.1125153</x:v>
      </x:c>
      <x:c r="J706" s="21" t="n">
        <x:f>6371*ACOS(MIN(1,COS(D706*PI()/180)*COS(I706*PI()/180)*COS((H706-C706)*PI()/180)+SIN(D706*PI()/180)*SIN(I706*PI()/180)))</x:f>
        <x:v>393.3759625308256</x:v>
      </x:c>
      <x:c r="K706" s="21" t="n">
        <x:f>'情景参数模板'!$D$31</x:f>
        <x:v>1.2</x:v>
      </x:c>
      <x:c r="L706" s="21" t="n">
        <x:f>J706*K706</x:f>
        <x:v>472.0511550369907</x:v>
      </x:c>
    </x:row>
    <x:row r="707">
      <x:c r="A707" s="17" t="str">
        <x:v>GD16</x:v>
      </x:c>
      <x:c r="B707" s="17" t="str">
        <x:v>茂名</x:v>
      </x:c>
      <x:c r="C707" s="24" t="n">
        <x:v>110.9209511</x:v>
      </x:c>
      <x:c r="D707" s="24" t="n">
        <x:v>21.6656961</x:v>
      </x:c>
      <x:c r="E707" s="17" t="str">
        <x:v>P06</x:v>
      </x:c>
      <x:c r="F707" s="17" t="str">
        <x:v>江门市朗达锂电池有限公司</x:v>
      </x:c>
      <x:c r="G707" s="17" t="str">
        <x:v>梯次利用</x:v>
      </x:c>
      <x:c r="H707" s="24" t="n">
        <x:v>113.0761073</x:v>
      </x:c>
      <x:c r="I707" s="24" t="n">
        <x:v>22.5816619</x:v>
      </x:c>
      <x:c r="J707" s="21" t="n">
        <x:f>6371*ACOS(MIN(1,COS(D707*PI()/180)*COS(I707*PI()/180)*COS((H707-C707)*PI()/180)+SIN(D707*PI()/180)*SIN(I707*PI()/180)))</x:f>
        <x:v>244.2425541235698</x:v>
      </x:c>
      <x:c r="K707" s="21" t="n">
        <x:f>'情景参数模板'!$D$31</x:f>
        <x:v>1.2</x:v>
      </x:c>
      <x:c r="L707" s="21" t="n">
        <x:f>J707*K707</x:f>
        <x:v>293.09106494828376</x:v>
      </x:c>
    </x:row>
    <x:row r="708">
      <x:c r="A708" s="17" t="str">
        <x:v>GD16</x:v>
      </x:c>
      <x:c r="B708" s="17" t="str">
        <x:v>茂名</x:v>
      </x:c>
      <x:c r="C708" s="24" t="n">
        <x:v>110.9209511</x:v>
      </x:c>
      <x:c r="D708" s="24" t="n">
        <x:v>21.6656961</x:v>
      </x:c>
      <x:c r="E708" s="17" t="str">
        <x:v>P07</x:v>
      </x:c>
      <x:c r="F708" s="17" t="str">
        <x:v>广东迪度新能源有限公司</x:v>
      </x:c>
      <x:c r="G708" s="17" t="str">
        <x:v>梯次利用</x:v>
      </x:c>
      <x:c r="H708" s="24" t="n">
        <x:v>113.7452332</x:v>
      </x:c>
      <x:c r="I708" s="24" t="n">
        <x:v>23.0183568</x:v>
      </x:c>
      <x:c r="J708" s="21" t="n">
        <x:f>6371*ACOS(MIN(1,COS(D708*PI()/180)*COS(I708*PI()/180)*COS((H708-C708)*PI()/180)+SIN(D708*PI()/180)*SIN(I708*PI()/180)))</x:f>
        <x:v>327.0898464197607</x:v>
      </x:c>
      <x:c r="K708" s="21" t="n">
        <x:f>'情景参数模板'!$D$31</x:f>
        <x:v>1.2</x:v>
      </x:c>
      <x:c r="L708" s="21" t="n">
        <x:f>J708*K708</x:f>
        <x:v>392.5078157037128</x:v>
      </x:c>
    </x:row>
    <x:row r="709">
      <x:c r="A709" s="17" t="str">
        <x:v>GD16</x:v>
      </x:c>
      <x:c r="B709" s="17" t="str">
        <x:v>茂名</x:v>
      </x:c>
      <x:c r="C709" s="24" t="n">
        <x:v>110.9209511</x:v>
      </x:c>
      <x:c r="D709" s="24" t="n">
        <x:v>21.6656961</x:v>
      </x:c>
      <x:c r="E709" s="17" t="str">
        <x:v>P08</x:v>
      </x:c>
      <x:c r="F709" s="17" t="str">
        <x:v>东莞市博森新能源有限公司</x:v>
      </x:c>
      <x:c r="G709" s="17" t="str">
        <x:v>梯次利用</x:v>
      </x:c>
      <x:c r="H709" s="24" t="n">
        <x:v>113.7452332</x:v>
      </x:c>
      <x:c r="I709" s="24" t="n">
        <x:v>23.0183568</x:v>
      </x:c>
      <x:c r="J709" s="21" t="n">
        <x:f>6371*ACOS(MIN(1,COS(D709*PI()/180)*COS(I709*PI()/180)*COS((H709-C709)*PI()/180)+SIN(D709*PI()/180)*SIN(I709*PI()/180)))</x:f>
        <x:v>327.0898464197607</x:v>
      </x:c>
      <x:c r="K709" s="21" t="n">
        <x:f>'情景参数模板'!$D$31</x:f>
        <x:v>1.2</x:v>
      </x:c>
      <x:c r="L709" s="21" t="n">
        <x:f>J709*K709</x:f>
        <x:v>392.5078157037128</x:v>
      </x:c>
    </x:row>
    <x:row r="710">
      <x:c r="A710" s="17" t="str">
        <x:v>GD16</x:v>
      </x:c>
      <x:c r="B710" s="17" t="str">
        <x:v>茂名</x:v>
      </x:c>
      <x:c r="C710" s="24" t="n">
        <x:v>110.9209511</x:v>
      </x:c>
      <x:c r="D710" s="24" t="n">
        <x:v>21.6656961</x:v>
      </x:c>
      <x:c r="E710" s="17" t="str">
        <x:v>P09</x:v>
      </x:c>
      <x:c r="F710" s="17" t="str">
        <x:v>广东宇阳新能源有限公司</x:v>
      </x:c>
      <x:c r="G710" s="17" t="str">
        <x:v>梯次利用</x:v>
      </x:c>
      <x:c r="H710" s="24" t="n">
        <x:v>113.7452332</x:v>
      </x:c>
      <x:c r="I710" s="24" t="n">
        <x:v>23.0183568</x:v>
      </x:c>
      <x:c r="J710" s="21" t="n">
        <x:f>6371*ACOS(MIN(1,COS(D710*PI()/180)*COS(I710*PI()/180)*COS((H710-C710)*PI()/180)+SIN(D710*PI()/180)*SIN(I710*PI()/180)))</x:f>
        <x:v>327.0898464197607</x:v>
      </x:c>
      <x:c r="K710" s="21" t="n">
        <x:f>'情景参数模板'!$D$31</x:f>
        <x:v>1.2</x:v>
      </x:c>
      <x:c r="L710" s="21" t="n">
        <x:f>J710*K710</x:f>
        <x:v>392.5078157037128</x:v>
      </x:c>
    </x:row>
    <x:row r="711">
      <x:c r="A711" s="17" t="str">
        <x:v>GD16</x:v>
      </x:c>
      <x:c r="B711" s="17" t="str">
        <x:v>茂名</x:v>
      </x:c>
      <x:c r="C711" s="24" t="n">
        <x:v>110.9209511</x:v>
      </x:c>
      <x:c r="D711" s="24" t="n">
        <x:v>21.6656961</x:v>
      </x:c>
      <x:c r="E711" s="17" t="str">
        <x:v>P10</x:v>
      </x:c>
      <x:c r="F711" s="17" t="str">
        <x:v>广州广汽商贸再生资源有限公司</x:v>
      </x:c>
      <x:c r="G711" s="17" t="str">
        <x:v>梯次利用</x:v>
      </x:c>
      <x:c r="H711" s="24" t="n">
        <x:v>113.2589581</x:v>
      </x:c>
      <x:c r="I711" s="24" t="n">
        <x:v>23.1288429</x:v>
      </x:c>
      <x:c r="J711" s="21" t="n">
        <x:f>6371*ACOS(MIN(1,COS(D711*PI()/180)*COS(I711*PI()/180)*COS((H711-C711)*PI()/180)+SIN(D711*PI()/180)*SIN(I711*PI()/180)))</x:f>
        <x:v>290.23788677814406</x:v>
      </x:c>
      <x:c r="K711" s="21" t="n">
        <x:f>'情景参数模板'!$D$31</x:f>
        <x:v>1.2</x:v>
      </x:c>
      <x:c r="L711" s="21" t="n">
        <x:f>J711*K711</x:f>
        <x:v>348.28546413377285</x:v>
      </x:c>
    </x:row>
    <x:row r="712">
      <x:c r="A712" s="17" t="str">
        <x:v>GD16</x:v>
      </x:c>
      <x:c r="B712" s="17" t="str">
        <x:v>茂名</x:v>
      </x:c>
      <x:c r="C712" s="24" t="n">
        <x:v>110.9209511</x:v>
      </x:c>
      <x:c r="D712" s="24" t="n">
        <x:v>21.6656961</x:v>
      </x:c>
      <x:c r="E712" s="17" t="str">
        <x:v>P11</x:v>
      </x:c>
      <x:c r="F712" s="17" t="str">
        <x:v>深圳市杰成镍钴新能源科技有限公司</x:v>
      </x:c>
      <x:c r="G712" s="17" t="str">
        <x:v>梯次利用</x:v>
      </x:c>
      <x:c r="H712" s="24" t="n">
        <x:v>114.0545429</x:v>
      </x:c>
      <x:c r="I712" s="24" t="n">
        <x:v>22.5445741</x:v>
      </x:c>
      <x:c r="J712" s="21" t="n">
        <x:f>6371*ACOS(MIN(1,COS(D712*PI()/180)*COS(I712*PI()/180)*COS((H712-C712)*PI()/180)+SIN(D712*PI()/180)*SIN(I712*PI()/180)))</x:f>
        <x:v>337.2852485873363</x:v>
      </x:c>
      <x:c r="K712" s="21" t="n">
        <x:f>'情景参数模板'!$D$31</x:f>
        <x:v>1.2</x:v>
      </x:c>
      <x:c r="L712" s="21" t="n">
        <x:f>J712*K712</x:f>
        <x:v>404.74229830480357</x:v>
      </x:c>
    </x:row>
    <x:row r="713">
      <x:c r="A713" s="17" t="str">
        <x:v>GD16</x:v>
      </x:c>
      <x:c r="B713" s="17" t="str">
        <x:v>茂名</x:v>
      </x:c>
      <x:c r="C713" s="24" t="n">
        <x:v>110.9209511</x:v>
      </x:c>
      <x:c r="D713" s="24" t="n">
        <x:v>21.6656961</x:v>
      </x:c>
      <x:c r="E713" s="17" t="str">
        <x:v>P12</x:v>
      </x:c>
      <x:c r="F713" s="17" t="str">
        <x:v>江门市恒创睿能环保科技有限公司</x:v>
      </x:c>
      <x:c r="G713" s="17" t="str">
        <x:v>再生利用</x:v>
      </x:c>
      <x:c r="H713" s="24" t="n">
        <x:v>113.0761073</x:v>
      </x:c>
      <x:c r="I713" s="24" t="n">
        <x:v>22.5816619</x:v>
      </x:c>
      <x:c r="J713" s="21" t="n">
        <x:f>6371*ACOS(MIN(1,COS(D713*PI()/180)*COS(I713*PI()/180)*COS((H713-C713)*PI()/180)+SIN(D713*PI()/180)*SIN(I713*PI()/180)))</x:f>
        <x:v>244.2425541235698</x:v>
      </x:c>
      <x:c r="K713" s="21" t="n">
        <x:f>'情景参数模板'!$D$31</x:f>
        <x:v>1.2</x:v>
      </x:c>
      <x:c r="L713" s="21" t="n">
        <x:f>J713*K713</x:f>
        <x:v>293.09106494828376</x:v>
      </x:c>
    </x:row>
    <x:row r="714">
      <x:c r="A714" s="17" t="str">
        <x:v>GD16</x:v>
      </x:c>
      <x:c r="B714" s="17" t="str">
        <x:v>茂名</x:v>
      </x:c>
      <x:c r="C714" s="24" t="n">
        <x:v>110.9209511</x:v>
      </x:c>
      <x:c r="D714" s="24" t="n">
        <x:v>21.6656961</x:v>
      </x:c>
      <x:c r="E714" s="17" t="str">
        <x:v>P13</x:v>
      </x:c>
      <x:c r="F714" s="17" t="str">
        <x:v>广东佳纳能源科技有限公司</x:v>
      </x:c>
      <x:c r="G714" s="17" t="str">
        <x:v>再生利用</x:v>
      </x:c>
      <x:c r="H714" s="24" t="n">
        <x:v>113.0505994</x:v>
      </x:c>
      <x:c r="I714" s="24" t="n">
        <x:v>23.6832984</x:v>
      </x:c>
      <x:c r="J714" s="21" t="n">
        <x:f>6371*ACOS(MIN(1,COS(D714*PI()/180)*COS(I714*PI()/180)*COS((H714-C714)*PI()/180)+SIN(D714*PI()/180)*SIN(I714*PI()/180)))</x:f>
        <x:v>313.15649752256786</x:v>
      </x:c>
      <x:c r="K714" s="21" t="n">
        <x:f>'情景参数模板'!$D$31</x:f>
        <x:v>1.2</x:v>
      </x:c>
      <x:c r="L714" s="21" t="n">
        <x:f>J714*K714</x:f>
        <x:v>375.7877970270814</x:v>
      </x:c>
    </x:row>
    <x:row r="715">
      <x:c r="A715" s="17" t="str">
        <x:v>GD16</x:v>
      </x:c>
      <x:c r="B715" s="17" t="str">
        <x:v>茂名</x:v>
      </x:c>
      <x:c r="C715" s="24" t="n">
        <x:v>110.9209511</x:v>
      </x:c>
      <x:c r="D715" s="24" t="n">
        <x:v>21.6656961</x:v>
      </x:c>
      <x:c r="E715" s="17" t="str">
        <x:v>P14</x:v>
      </x:c>
      <x:c r="F715" s="17" t="str">
        <x:v>格林美（深圳）循环科技有限公司</x:v>
      </x:c>
      <x:c r="G715" s="17" t="str">
        <x:v>梯次利用</x:v>
      </x:c>
      <x:c r="H715" s="24" t="n">
        <x:v>114.0545429</x:v>
      </x:c>
      <x:c r="I715" s="24" t="n">
        <x:v>22.5445741</x:v>
      </x:c>
      <x:c r="J715" s="21" t="n">
        <x:f>6371*ACOS(MIN(1,COS(D715*PI()/180)*COS(I715*PI()/180)*COS((H715-C715)*PI()/180)+SIN(D715*PI()/180)*SIN(I715*PI()/180)))</x:f>
        <x:v>337.2852485873363</x:v>
      </x:c>
      <x:c r="K715" s="21" t="n">
        <x:f>'情景参数模板'!$D$31</x:f>
        <x:v>1.2</x:v>
      </x:c>
      <x:c r="L715" s="21" t="n">
        <x:f>J715*K715</x:f>
        <x:v>404.74229830480357</x:v>
      </x:c>
    </x:row>
    <x:row r="716">
      <x:c r="A716" s="17" t="str">
        <x:v>GD16</x:v>
      </x:c>
      <x:c r="B716" s="17" t="str">
        <x:v>茂名</x:v>
      </x:c>
      <x:c r="C716" s="24" t="n">
        <x:v>110.9209511</x:v>
      </x:c>
      <x:c r="D716" s="24" t="n">
        <x:v>21.6656961</x:v>
      </x:c>
      <x:c r="E716" s="17" t="str">
        <x:v>P15</x:v>
      </x:c>
      <x:c r="F716" s="17" t="str">
        <x:v>绿循新能源科技（佛山）有限责任公司</x:v>
      </x:c>
      <x:c r="G716" s="17" t="str">
        <x:v>梯次利用</x:v>
      </x:c>
      <x:c r="H716" s="24" t="n">
        <x:v>113.1159558</x:v>
      </x:c>
      <x:c r="I716" s="24" t="n">
        <x:v>23.0239788</x:v>
      </x:c>
      <x:c r="J716" s="21" t="n">
        <x:f>6371*ACOS(MIN(1,COS(D716*PI()/180)*COS(I716*PI()/180)*COS((H716-C716)*PI()/180)+SIN(D716*PI()/180)*SIN(I716*PI()/180)))</x:f>
        <x:v>271.60321814176973</x:v>
      </x:c>
      <x:c r="K716" s="21" t="n">
        <x:f>'情景参数模板'!$D$31</x:f>
        <x:v>1.2</x:v>
      </x:c>
      <x:c r="L716" s="21" t="n">
        <x:f>J716*K716</x:f>
        <x:v>325.92386177012366</x:v>
      </x:c>
    </x:row>
    <x:row r="717">
      <x:c r="A717" s="17" t="str">
        <x:v>GD16</x:v>
      </x:c>
      <x:c r="B717" s="17" t="str">
        <x:v>茂名</x:v>
      </x:c>
      <x:c r="C717" s="24" t="n">
        <x:v>110.9209511</x:v>
      </x:c>
      <x:c r="D717" s="24" t="n">
        <x:v>21.6656961</x:v>
      </x:c>
      <x:c r="E717" s="17" t="str">
        <x:v>P16</x:v>
      </x:c>
      <x:c r="F717" s="17" t="str">
        <x:v>深圳艾云动智慧科技有限公司</x:v>
      </x:c>
      <x:c r="G717" s="17" t="str">
        <x:v>梯次利用</x:v>
      </x:c>
      <x:c r="H717" s="24" t="n">
        <x:v>114.0545429</x:v>
      </x:c>
      <x:c r="I717" s="24" t="n">
        <x:v>22.5445741</x:v>
      </x:c>
      <x:c r="J717" s="21" t="n">
        <x:f>6371*ACOS(MIN(1,COS(D717*PI()/180)*COS(I717*PI()/180)*COS((H717-C717)*PI()/180)+SIN(D717*PI()/180)*SIN(I717*PI()/180)))</x:f>
        <x:v>337.2852485873363</x:v>
      </x:c>
      <x:c r="K717" s="21" t="n">
        <x:f>'情景参数模板'!$D$31</x:f>
        <x:v>1.2</x:v>
      </x:c>
      <x:c r="L717" s="21" t="n">
        <x:f>J717*K717</x:f>
        <x:v>404.74229830480357</x:v>
      </x:c>
    </x:row>
    <x:row r="718">
      <x:c r="A718" s="17" t="str">
        <x:v>GD16</x:v>
      </x:c>
      <x:c r="B718" s="17" t="str">
        <x:v>茂名</x:v>
      </x:c>
      <x:c r="C718" s="24" t="n">
        <x:v>110.9209511</x:v>
      </x:c>
      <x:c r="D718" s="24" t="n">
        <x:v>21.6656961</x:v>
      </x:c>
      <x:c r="E718" s="17" t="str">
        <x:v>P17</x:v>
      </x:c>
      <x:c r="F718" s="17" t="str">
        <x:v>深圳市荣高晟新能源科技有限公司</x:v>
      </x:c>
      <x:c r="G718" s="17" t="str">
        <x:v>梯次利用</x:v>
      </x:c>
      <x:c r="H718" s="24" t="n">
        <x:v>114.0545429</x:v>
      </x:c>
      <x:c r="I718" s="24" t="n">
        <x:v>22.5445741</x:v>
      </x:c>
      <x:c r="J718" s="21" t="n">
        <x:f>6371*ACOS(MIN(1,COS(D718*PI()/180)*COS(I718*PI()/180)*COS((H718-C718)*PI()/180)+SIN(D718*PI()/180)*SIN(I718*PI()/180)))</x:f>
        <x:v>337.2852485873363</x:v>
      </x:c>
      <x:c r="K718" s="21" t="n">
        <x:f>'情景参数模板'!$D$31</x:f>
        <x:v>1.2</x:v>
      </x:c>
      <x:c r="L718" s="21" t="n">
        <x:f>J718*K718</x:f>
        <x:v>404.74229830480357</x:v>
      </x:c>
    </x:row>
    <x:row r="719">
      <x:c r="A719" s="17" t="str">
        <x:v>GD16</x:v>
      </x:c>
      <x:c r="B719" s="17" t="str">
        <x:v>茂名</x:v>
      </x:c>
      <x:c r="C719" s="24" t="n">
        <x:v>110.9209511</x:v>
      </x:c>
      <x:c r="D719" s="24" t="n">
        <x:v>21.6656961</x:v>
      </x:c>
      <x:c r="E719" s="17" t="str">
        <x:v>P18</x:v>
      </x:c>
      <x:c r="F719" s="17" t="str">
        <x:v>中商锂新能源科技（惠州）有限公司</x:v>
      </x:c>
      <x:c r="G719" s="17" t="str">
        <x:v>梯次利用</x:v>
      </x:c>
      <x:c r="H719" s="24" t="n">
        <x:v>114.4127007</x:v>
      </x:c>
      <x:c r="I719" s="24" t="n">
        <x:v>23.1125153</x:v>
      </x:c>
      <x:c r="J719" s="21" t="n">
        <x:f>6371*ACOS(MIN(1,COS(D719*PI()/180)*COS(I719*PI()/180)*COS((H719-C719)*PI()/180)+SIN(D719*PI()/180)*SIN(I719*PI()/180)))</x:f>
        <x:v>393.3759625308256</x:v>
      </x:c>
      <x:c r="K719" s="21" t="n">
        <x:f>'情景参数模板'!$D$31</x:f>
        <x:v>1.2</x:v>
      </x:c>
      <x:c r="L719" s="21" t="n">
        <x:f>J719*K719</x:f>
        <x:v>472.0511550369907</x:v>
      </x:c>
    </x:row>
    <x:row r="720">
      <x:c r="A720" s="17" t="str">
        <x:v>GD16</x:v>
      </x:c>
      <x:c r="B720" s="17" t="str">
        <x:v>茂名</x:v>
      </x:c>
      <x:c r="C720" s="24" t="n">
        <x:v>110.9209511</x:v>
      </x:c>
      <x:c r="D720" s="24" t="n">
        <x:v>21.6656961</x:v>
      </x:c>
      <x:c r="E720" s="17" t="str">
        <x:v>P19</x:v>
      </x:c>
      <x:c r="F720" s="17" t="str">
        <x:v>广东盛祥新材料科技有限公司</x:v>
      </x:c>
      <x:c r="G720" s="17" t="str">
        <x:v>再生利用</x:v>
      </x:c>
      <x:c r="H720" s="24" t="n">
        <x:v>113.8155263</x:v>
      </x:c>
      <x:c r="I720" s="24" t="n">
        <x:v>24.8309489</x:v>
      </x:c>
      <x:c r="J720" s="21" t="n">
        <x:f>6371*ACOS(MIN(1,COS(D720*PI()/180)*COS(I720*PI()/180)*COS((H720-C720)*PI()/180)+SIN(D720*PI()/180)*SIN(I720*PI()/180)))</x:f>
        <x:v>459.66654172601613</x:v>
      </x:c>
      <x:c r="K720" s="21" t="n">
        <x:f>'情景参数模板'!$D$31</x:f>
        <x:v>1.2</x:v>
      </x:c>
      <x:c r="L720" s="21" t="n">
        <x:f>J720*K720</x:f>
        <x:v>551.5998500712193</x:v>
      </x:c>
    </x:row>
    <x:row r="721">
      <x:c r="A721" s="17" t="str">
        <x:v>GD16</x:v>
      </x:c>
      <x:c r="B721" s="17" t="str">
        <x:v>茂名</x:v>
      </x:c>
      <x:c r="C721" s="24" t="n">
        <x:v>110.9209511</x:v>
      </x:c>
      <x:c r="D721" s="24" t="n">
        <x:v>21.6656961</x:v>
      </x:c>
      <x:c r="E721" s="17" t="str">
        <x:v>P20E</x:v>
      </x:c>
      <x:c r="F721" s="17" t="str">
        <x:v>广东金晟新能源股份有限公司（梯次功能）</x:v>
      </x:c>
      <x:c r="G721" s="17" t="str">
        <x:v>梯次利用</x:v>
      </x:c>
      <x:c r="H721" s="24" t="n">
        <x:v>112.4603629</x:v>
      </x:c>
      <x:c r="I721" s="24" t="n">
        <x:v>23.0501661</x:v>
      </x:c>
      <x:c r="J721" s="21" t="n">
        <x:f>6371*ACOS(MIN(1,COS(D721*PI()/180)*COS(I721*PI()/180)*COS((H721-C721)*PI()/180)+SIN(D721*PI()/180)*SIN(I721*PI()/180)))</x:f>
        <x:v>220.81298704421815</x:v>
      </x:c>
      <x:c r="K721" s="21" t="n">
        <x:f>'情景参数模板'!$D$31</x:f>
        <x:v>1.2</x:v>
      </x:c>
      <x:c r="L721" s="21" t="n">
        <x:f>J721*K721</x:f>
        <x:v>264.97558445306174</x:v>
      </x:c>
    </x:row>
    <x:row r="722">
      <x:c r="A722" s="17" t="str">
        <x:v>GD16</x:v>
      </x:c>
      <x:c r="B722" s="17" t="str">
        <x:v>茂名</x:v>
      </x:c>
      <x:c r="C722" s="24" t="n">
        <x:v>110.9209511</x:v>
      </x:c>
      <x:c r="D722" s="24" t="n">
        <x:v>21.6656961</x:v>
      </x:c>
      <x:c r="E722" s="17" t="str">
        <x:v>P20R</x:v>
      </x:c>
      <x:c r="F722" s="17" t="str">
        <x:v>广东金晟新能源股份有限公司（再生功能）</x:v>
      </x:c>
      <x:c r="G722" s="17" t="str">
        <x:v>再生利用</x:v>
      </x:c>
      <x:c r="H722" s="24" t="n">
        <x:v>112.4603629</x:v>
      </x:c>
      <x:c r="I722" s="24" t="n">
        <x:v>23.0501661</x:v>
      </x:c>
      <x:c r="J722" s="21" t="n">
        <x:f>6371*ACOS(MIN(1,COS(D722*PI()/180)*COS(I722*PI()/180)*COS((H722-C722)*PI()/180)+SIN(D722*PI()/180)*SIN(I722*PI()/180)))</x:f>
        <x:v>220.81298704421815</x:v>
      </x:c>
      <x:c r="K722" s="21" t="n">
        <x:f>'情景参数模板'!$D$31</x:f>
        <x:v>1.2</x:v>
      </x:c>
      <x:c r="L722" s="21" t="n">
        <x:f>J722*K722</x:f>
        <x:v>264.97558445306174</x:v>
      </x:c>
    </x:row>
    <x:row r="723">
      <x:c r="A723" s="17" t="str">
        <x:v>GD16</x:v>
      </x:c>
      <x:c r="B723" s="17" t="str">
        <x:v>茂名</x:v>
      </x:c>
      <x:c r="C723" s="24" t="n">
        <x:v>110.9209511</x:v>
      </x:c>
      <x:c r="D723" s="24" t="n">
        <x:v>21.6656961</x:v>
      </x:c>
      <x:c r="E723" s="17" t="str">
        <x:v>P21E</x:v>
      </x:c>
      <x:c r="F723" s="17" t="str">
        <x:v>广东瑞科美电源技术有限公司（梯次功能）</x:v>
      </x:c>
      <x:c r="G723" s="17" t="str">
        <x:v>梯次利用</x:v>
      </x:c>
      <x:c r="H723" s="24" t="n">
        <x:v>113.1159558</x:v>
      </x:c>
      <x:c r="I723" s="24" t="n">
        <x:v>23.0239788</x:v>
      </x:c>
      <x:c r="J723" s="21" t="n">
        <x:f>6371*ACOS(MIN(1,COS(D723*PI()/180)*COS(I723*PI()/180)*COS((H723-C723)*PI()/180)+SIN(D723*PI()/180)*SIN(I723*PI()/180)))</x:f>
        <x:v>271.60321814176973</x:v>
      </x:c>
      <x:c r="K723" s="21" t="n">
        <x:f>'情景参数模板'!$D$31</x:f>
        <x:v>1.2</x:v>
      </x:c>
      <x:c r="L723" s="21" t="n">
        <x:f>J723*K723</x:f>
        <x:v>325.92386177012366</x:v>
      </x:c>
    </x:row>
    <x:row r="724">
      <x:c r="A724" s="17" t="str">
        <x:v>GD16</x:v>
      </x:c>
      <x:c r="B724" s="17" t="str">
        <x:v>茂名</x:v>
      </x:c>
      <x:c r="C724" s="24" t="n">
        <x:v>110.9209511</x:v>
      </x:c>
      <x:c r="D724" s="24" t="n">
        <x:v>21.6656961</x:v>
      </x:c>
      <x:c r="E724" s="17" t="str">
        <x:v>P21R</x:v>
      </x:c>
      <x:c r="F724" s="17" t="str">
        <x:v>广东瑞科美电源技术有限公司（再生功能）</x:v>
      </x:c>
      <x:c r="G724" s="17" t="str">
        <x:v>再生利用</x:v>
      </x:c>
      <x:c r="H724" s="24" t="n">
        <x:v>113.1159558</x:v>
      </x:c>
      <x:c r="I724" s="24" t="n">
        <x:v>23.0239788</x:v>
      </x:c>
      <x:c r="J724" s="21" t="n">
        <x:f>6371*ACOS(MIN(1,COS(D724*PI()/180)*COS(I724*PI()/180)*COS((H724-C724)*PI()/180)+SIN(D724*PI()/180)*SIN(I724*PI()/180)))</x:f>
        <x:v>271.60321814176973</x:v>
      </x:c>
      <x:c r="K724" s="21" t="n">
        <x:f>'情景参数模板'!$D$31</x:f>
        <x:v>1.2</x:v>
      </x:c>
      <x:c r="L724" s="21" t="n">
        <x:f>J724*K724</x:f>
        <x:v>325.92386177012366</x:v>
      </x:c>
    </x:row>
    <x:row r="725">
      <x:c r="A725" s="17" t="str">
        <x:v>GD17</x:v>
      </x:c>
      <x:c r="B725" s="17" t="str">
        <x:v>肇庆</x:v>
      </x:c>
      <x:c r="C725" s="24" t="n">
        <x:v>112.4603629</x:v>
      </x:c>
      <x:c r="D725" s="24" t="n">
        <x:v>23.0501661</x:v>
      </x:c>
      <x:c r="E725" s="17" t="str">
        <x:v>C01</x:v>
      </x:c>
      <x:c r="F725" s="17" t="str">
        <x:v>广州虚拟回收/检测中心</x:v>
      </x:c>
      <x:c r="G725" s="17" t="str">
        <x:v>回收中心候选</x:v>
      </x:c>
      <x:c r="H725" s="24" t="n">
        <x:v>113.2589581</x:v>
      </x:c>
      <x:c r="I725" s="24" t="n">
        <x:v>23.1288429</x:v>
      </x:c>
      <x:c r="J725" s="21" t="n">
        <x:f>6371*ACOS(MIN(1,COS(D725*PI()/180)*COS(I725*PI()/180)*COS((H725-C725)*PI()/180)+SIN(D725*PI()/180)*SIN(I725*PI()/180)))</x:f>
        <x:v>82.15331137313247</x:v>
      </x:c>
      <x:c r="K725" s="21" t="n">
        <x:f>'情景参数模板'!$D$31</x:f>
        <x:v>1.2</x:v>
      </x:c>
      <x:c r="L725" s="21" t="n">
        <x:f>J725*K725</x:f>
        <x:v>98.58397364775895</x:v>
      </x:c>
    </x:row>
    <x:row r="726">
      <x:c r="A726" s="17" t="str">
        <x:v>GD17</x:v>
      </x:c>
      <x:c r="B726" s="17" t="str">
        <x:v>肇庆</x:v>
      </x:c>
      <x:c r="C726" s="24" t="n">
        <x:v>112.4603629</x:v>
      </x:c>
      <x:c r="D726" s="24" t="n">
        <x:v>23.0501661</x:v>
      </x:c>
      <x:c r="E726" s="17" t="str">
        <x:v>C02</x:v>
      </x:c>
      <x:c r="F726" s="17" t="str">
        <x:v>深圳虚拟回收/检测中心</x:v>
      </x:c>
      <x:c r="G726" s="17" t="str">
        <x:v>回收中心候选</x:v>
      </x:c>
      <x:c r="H726" s="24" t="n">
        <x:v>114.0545429</x:v>
      </x:c>
      <x:c r="I726" s="24" t="n">
        <x:v>22.5445741</x:v>
      </x:c>
      <x:c r="J726" s="21" t="n">
        <x:f>6371*ACOS(MIN(1,COS(D726*PI()/180)*COS(I726*PI()/180)*COS((H726-C726)*PI()/180)+SIN(D726*PI()/180)*SIN(I726*PI()/180)))</x:f>
        <x:v>172.815477677631</x:v>
      </x:c>
      <x:c r="K726" s="21" t="n">
        <x:f>'情景参数模板'!$D$31</x:f>
        <x:v>1.2</x:v>
      </x:c>
      <x:c r="L726" s="21" t="n">
        <x:f>J726*K726</x:f>
        <x:v>207.3785732131572</x:v>
      </x:c>
    </x:row>
    <x:row r="727">
      <x:c r="A727" s="17" t="str">
        <x:v>GD17</x:v>
      </x:c>
      <x:c r="B727" s="17" t="str">
        <x:v>肇庆</x:v>
      </x:c>
      <x:c r="C727" s="24" t="n">
        <x:v>112.4603629</x:v>
      </x:c>
      <x:c r="D727" s="24" t="n">
        <x:v>23.0501661</x:v>
      </x:c>
      <x:c r="E727" s="17" t="str">
        <x:v>C03</x:v>
      </x:c>
      <x:c r="F727" s="17" t="str">
        <x:v>珠海虚拟回收/检测中心</x:v>
      </x:c>
      <x:c r="G727" s="17" t="str">
        <x:v>回收中心候选</x:v>
      </x:c>
      <x:c r="H727" s="24" t="n">
        <x:v>113.5721327</x:v>
      </x:c>
      <x:c r="I727" s="24" t="n">
        <x:v>22.273734</x:v>
      </x:c>
      <x:c r="J727" s="21" t="n">
        <x:f>6371*ACOS(MIN(1,COS(D727*PI()/180)*COS(I727*PI()/180)*COS((H727-C727)*PI()/180)+SIN(D727*PI()/180)*SIN(I727*PI()/180)))</x:f>
        <x:v>143.0642477152054</x:v>
      </x:c>
      <x:c r="K727" s="21" t="n">
        <x:f>'情景参数模板'!$D$31</x:f>
        <x:v>1.2</x:v>
      </x:c>
      <x:c r="L727" s="21" t="n">
        <x:f>J727*K727</x:f>
        <x:v>171.67709725824648</x:v>
      </x:c>
    </x:row>
    <x:row r="728">
      <x:c r="A728" s="17" t="str">
        <x:v>GD17</x:v>
      </x:c>
      <x:c r="B728" s="17" t="str">
        <x:v>肇庆</x:v>
      </x:c>
      <x:c r="C728" s="24" t="n">
        <x:v>112.4603629</x:v>
      </x:c>
      <x:c r="D728" s="24" t="n">
        <x:v>23.0501661</x:v>
      </x:c>
      <x:c r="E728" s="17" t="str">
        <x:v>C04</x:v>
      </x:c>
      <x:c r="F728" s="17" t="str">
        <x:v>汕头虚拟回收/检测中心</x:v>
      </x:c>
      <x:c r="G728" s="17" t="str">
        <x:v>回收中心候选</x:v>
      </x:c>
      <x:c r="H728" s="24" t="n">
        <x:v>116.6775856</x:v>
      </x:c>
      <x:c r="I728" s="24" t="n">
        <x:v>23.3563921</x:v>
      </x:c>
      <x:c r="J728" s="21" t="n">
        <x:f>6371*ACOS(MIN(1,COS(D728*PI()/180)*COS(I728*PI()/180)*COS((H728-C728)*PI()/180)+SIN(D728*PI()/180)*SIN(I728*PI()/180)))</x:f>
        <x:v>432.3301436322801</x:v>
      </x:c>
      <x:c r="K728" s="21" t="n">
        <x:f>'情景参数模板'!$D$31</x:f>
        <x:v>1.2</x:v>
      </x:c>
      <x:c r="L728" s="21" t="n">
        <x:f>J728*K728</x:f>
        <x:v>518.7961723587362</x:v>
      </x:c>
    </x:row>
    <x:row r="729">
      <x:c r="A729" s="17" t="str">
        <x:v>GD17</x:v>
      </x:c>
      <x:c r="B729" s="17" t="str">
        <x:v>肇庆</x:v>
      </x:c>
      <x:c r="C729" s="24" t="n">
        <x:v>112.4603629</x:v>
      </x:c>
      <x:c r="D729" s="24" t="n">
        <x:v>23.0501661</x:v>
      </x:c>
      <x:c r="E729" s="17" t="str">
        <x:v>C05</x:v>
      </x:c>
      <x:c r="F729" s="17" t="str">
        <x:v>佛山虚拟回收/检测中心</x:v>
      </x:c>
      <x:c r="G729" s="17" t="str">
        <x:v>回收中心候选</x:v>
      </x:c>
      <x:c r="H729" s="24" t="n">
        <x:v>113.1159558</x:v>
      </x:c>
      <x:c r="I729" s="24" t="n">
        <x:v>23.0239788</x:v>
      </x:c>
      <x:c r="J729" s="21" t="n">
        <x:f>6371*ACOS(MIN(1,COS(D729*PI()/180)*COS(I729*PI()/180)*COS((H729-C729)*PI()/180)+SIN(D729*PI()/180)*SIN(I729*PI()/180)))</x:f>
        <x:v>67.14818534262002</x:v>
      </x:c>
      <x:c r="K729" s="21" t="n">
        <x:f>'情景参数模板'!$D$31</x:f>
        <x:v>1.2</x:v>
      </x:c>
      <x:c r="L729" s="21" t="n">
        <x:f>J729*K729</x:f>
        <x:v>80.57782241114403</x:v>
      </x:c>
    </x:row>
    <x:row r="730">
      <x:c r="A730" s="17" t="str">
        <x:v>GD17</x:v>
      </x:c>
      <x:c r="B730" s="17" t="str">
        <x:v>肇庆</x:v>
      </x:c>
      <x:c r="C730" s="24" t="n">
        <x:v>112.4603629</x:v>
      </x:c>
      <x:c r="D730" s="24" t="n">
        <x:v>23.0501661</x:v>
      </x:c>
      <x:c r="E730" s="17" t="str">
        <x:v>C06</x:v>
      </x:c>
      <x:c r="F730" s="17" t="str">
        <x:v>韶关虚拟回收/检测中心</x:v>
      </x:c>
      <x:c r="G730" s="17" t="str">
        <x:v>回收中心候选</x:v>
      </x:c>
      <x:c r="H730" s="24" t="n">
        <x:v>113.8155263</x:v>
      </x:c>
      <x:c r="I730" s="24" t="n">
        <x:v>24.8309489</x:v>
      </x:c>
      <x:c r="J730" s="21" t="n">
        <x:f>6371*ACOS(MIN(1,COS(D730*PI()/180)*COS(I730*PI()/180)*COS((H730-C730)*PI()/180)+SIN(D730*PI()/180)*SIN(I730*PI()/180)))</x:f>
        <x:v>241.1942270561686</x:v>
      </x:c>
      <x:c r="K730" s="21" t="n">
        <x:f>'情景参数模板'!$D$31</x:f>
        <x:v>1.2</x:v>
      </x:c>
      <x:c r="L730" s="21" t="n">
        <x:f>J730*K730</x:f>
        <x:v>289.43307246740227</x:v>
      </x:c>
    </x:row>
    <x:row r="731">
      <x:c r="A731" s="17" t="str">
        <x:v>GD17</x:v>
      </x:c>
      <x:c r="B731" s="17" t="str">
        <x:v>肇庆</x:v>
      </x:c>
      <x:c r="C731" s="24" t="n">
        <x:v>112.4603629</x:v>
      </x:c>
      <x:c r="D731" s="24" t="n">
        <x:v>23.0501661</x:v>
      </x:c>
      <x:c r="E731" s="17" t="str">
        <x:v>C07</x:v>
      </x:c>
      <x:c r="F731" s="17" t="str">
        <x:v>河源虚拟回收/检测中心</x:v>
      </x:c>
      <x:c r="G731" s="17" t="str">
        <x:v>回收中心候选</x:v>
      </x:c>
      <x:c r="H731" s="24" t="n">
        <x:v>115.0577538</x:v>
      </x:c>
      <x:c r="I731" s="24" t="n">
        <x:v>24.1014769</x:v>
      </x:c>
      <x:c r="J731" s="21" t="n">
        <x:f>6371*ACOS(MIN(1,COS(D731*PI()/180)*COS(I731*PI()/180)*COS((H731-C731)*PI()/180)+SIN(D731*PI()/180)*SIN(I731*PI()/180)))</x:f>
        <x:v>289.36462181183225</x:v>
      </x:c>
      <x:c r="K731" s="21" t="n">
        <x:f>'情景参数模板'!$D$31</x:f>
        <x:v>1.2</x:v>
      </x:c>
      <x:c r="L731" s="21" t="n">
        <x:f>J731*K731</x:f>
        <x:v>347.2375461741987</x:v>
      </x:c>
    </x:row>
    <x:row r="732">
      <x:c r="A732" s="17" t="str">
        <x:v>GD17</x:v>
      </x:c>
      <x:c r="B732" s="17" t="str">
        <x:v>肇庆</x:v>
      </x:c>
      <x:c r="C732" s="24" t="n">
        <x:v>112.4603629</x:v>
      </x:c>
      <x:c r="D732" s="24" t="n">
        <x:v>23.0501661</x:v>
      </x:c>
      <x:c r="E732" s="17" t="str">
        <x:v>C08</x:v>
      </x:c>
      <x:c r="F732" s="17" t="str">
        <x:v>梅州虚拟回收/检测中心</x:v>
      </x:c>
      <x:c r="G732" s="17" t="str">
        <x:v>回收中心候选</x:v>
      </x:c>
      <x:c r="H732" s="24" t="n">
        <x:v>116.1171428</x:v>
      </x:c>
      <x:c r="I732" s="24" t="n">
        <x:v>24.2918414</x:v>
      </x:c>
      <x:c r="J732" s="21" t="n">
        <x:f>6371*ACOS(MIN(1,COS(D732*PI()/180)*COS(I732*PI()/180)*COS((H732-C732)*PI()/180)+SIN(D732*PI()/180)*SIN(I732*PI()/180)))</x:f>
        <x:v>397.15515814756486</x:v>
      </x:c>
      <x:c r="K732" s="21" t="n">
        <x:f>'情景参数模板'!$D$31</x:f>
        <x:v>1.2</x:v>
      </x:c>
      <x:c r="L732" s="21" t="n">
        <x:f>J732*K732</x:f>
        <x:v>476.58618977707783</x:v>
      </x:c>
    </x:row>
    <x:row r="733">
      <x:c r="A733" s="17" t="str">
        <x:v>GD17</x:v>
      </x:c>
      <x:c r="B733" s="17" t="str">
        <x:v>肇庆</x:v>
      </x:c>
      <x:c r="C733" s="24" t="n">
        <x:v>112.4603629</x:v>
      </x:c>
      <x:c r="D733" s="24" t="n">
        <x:v>23.0501661</x:v>
      </x:c>
      <x:c r="E733" s="17" t="str">
        <x:v>C09</x:v>
      </x:c>
      <x:c r="F733" s="17" t="str">
        <x:v>惠州虚拟回收/检测中心</x:v>
      </x:c>
      <x:c r="G733" s="17" t="str">
        <x:v>回收中心候选</x:v>
      </x:c>
      <x:c r="H733" s="24" t="n">
        <x:v>114.4127007</x:v>
      </x:c>
      <x:c r="I733" s="24" t="n">
        <x:v>23.1125153</x:v>
      </x:c>
      <x:c r="J733" s="21" t="n">
        <x:f>6371*ACOS(MIN(1,COS(D733*PI()/180)*COS(I733*PI()/180)*COS((H733-C733)*PI()/180)+SIN(D733*PI()/180)*SIN(I733*PI()/180)))</x:f>
        <x:v>199.83063084164635</x:v>
      </x:c>
      <x:c r="K733" s="21" t="n">
        <x:f>'情景参数模板'!$D$31</x:f>
        <x:v>1.2</x:v>
      </x:c>
      <x:c r="L733" s="21" t="n">
        <x:f>J733*K733</x:f>
        <x:v>239.7967570099756</x:v>
      </x:c>
    </x:row>
    <x:row r="734">
      <x:c r="A734" s="17" t="str">
        <x:v>GD17</x:v>
      </x:c>
      <x:c r="B734" s="17" t="str">
        <x:v>肇庆</x:v>
      </x:c>
      <x:c r="C734" s="24" t="n">
        <x:v>112.4603629</x:v>
      </x:c>
      <x:c r="D734" s="24" t="n">
        <x:v>23.0501661</x:v>
      </x:c>
      <x:c r="E734" s="17" t="str">
        <x:v>C10</x:v>
      </x:c>
      <x:c r="F734" s="17" t="str">
        <x:v>汕尾虚拟回收/检测中心</x:v>
      </x:c>
      <x:c r="G734" s="17" t="str">
        <x:v>回收中心候选</x:v>
      </x:c>
      <x:c r="H734" s="24" t="n">
        <x:v>115.5099937</x:v>
      </x:c>
      <x:c r="I734" s="24" t="n">
        <x:v>23.0123639</x:v>
      </x:c>
      <x:c r="J734" s="21" t="n">
        <x:f>6371*ACOS(MIN(1,COS(D734*PI()/180)*COS(I734*PI()/180)*COS((H734-C734)*PI()/180)+SIN(D734*PI()/180)*SIN(I734*PI()/180)))</x:f>
        <x:v>312.0967041495048</x:v>
      </x:c>
      <x:c r="K734" s="21" t="n">
        <x:f>'情景参数模板'!$D$31</x:f>
        <x:v>1.2</x:v>
      </x:c>
      <x:c r="L734" s="21" t="n">
        <x:f>J734*K734</x:f>
        <x:v>374.5160449794057</x:v>
      </x:c>
    </x:row>
    <x:row r="735">
      <x:c r="A735" s="17" t="str">
        <x:v>GD17</x:v>
      </x:c>
      <x:c r="B735" s="17" t="str">
        <x:v>肇庆</x:v>
      </x:c>
      <x:c r="C735" s="24" t="n">
        <x:v>112.4603629</x:v>
      </x:c>
      <x:c r="D735" s="24" t="n">
        <x:v>23.0501661</x:v>
      </x:c>
      <x:c r="E735" s="17" t="str">
        <x:v>C11</x:v>
      </x:c>
      <x:c r="F735" s="17" t="str">
        <x:v>东莞虚拟回收/检测中心</x:v>
      </x:c>
      <x:c r="G735" s="17" t="str">
        <x:v>回收中心候选</x:v>
      </x:c>
      <x:c r="H735" s="24" t="n">
        <x:v>113.7452332</x:v>
      </x:c>
      <x:c r="I735" s="24" t="n">
        <x:v>23.0183568</x:v>
      </x:c>
      <x:c r="J735" s="21" t="n">
        <x:f>6371*ACOS(MIN(1,COS(D735*PI()/180)*COS(I735*PI()/180)*COS((H735-C735)*PI()/180)+SIN(D735*PI()/180)*SIN(I735*PI()/180)))</x:f>
        <x:v>131.52724118580286</x:v>
      </x:c>
      <x:c r="K735" s="21" t="n">
        <x:f>'情景参数模板'!$D$31</x:f>
        <x:v>1.2</x:v>
      </x:c>
      <x:c r="L735" s="21" t="n">
        <x:f>J735*K735</x:f>
        <x:v>157.83268942296343</x:v>
      </x:c>
    </x:row>
    <x:row r="736">
      <x:c r="A736" s="17" t="str">
        <x:v>GD17</x:v>
      </x:c>
      <x:c r="B736" s="17" t="str">
        <x:v>肇庆</x:v>
      </x:c>
      <x:c r="C736" s="24" t="n">
        <x:v>112.4603629</x:v>
      </x:c>
      <x:c r="D736" s="24" t="n">
        <x:v>23.0501661</x:v>
      </x:c>
      <x:c r="E736" s="17" t="str">
        <x:v>C12</x:v>
      </x:c>
      <x:c r="F736" s="17" t="str">
        <x:v>中山虚拟回收/检测中心</x:v>
      </x:c>
      <x:c r="G736" s="17" t="str">
        <x:v>回收中心候选</x:v>
      </x:c>
      <x:c r="H736" s="24" t="n">
        <x:v>113.3872302</x:v>
      </x:c>
      <x:c r="I736" s="24" t="n">
        <x:v>22.5197073</x:v>
      </x:c>
      <x:c r="J736" s="21" t="n">
        <x:f>6371*ACOS(MIN(1,COS(D736*PI()/180)*COS(I736*PI()/180)*COS((H736-C736)*PI()/180)+SIN(D736*PI()/180)*SIN(I736*PI()/180)))</x:f>
        <x:v>111.83874026153268</x:v>
      </x:c>
      <x:c r="K736" s="21" t="n">
        <x:f>'情景参数模板'!$D$31</x:f>
        <x:v>1.2</x:v>
      </x:c>
      <x:c r="L736" s="21" t="n">
        <x:f>J736*K736</x:f>
        <x:v>134.2064883138392</x:v>
      </x:c>
    </x:row>
    <x:row r="737">
      <x:c r="A737" s="17" t="str">
        <x:v>GD17</x:v>
      </x:c>
      <x:c r="B737" s="17" t="str">
        <x:v>肇庆</x:v>
      </x:c>
      <x:c r="C737" s="24" t="n">
        <x:v>112.4603629</x:v>
      </x:c>
      <x:c r="D737" s="24" t="n">
        <x:v>23.0501661</x:v>
      </x:c>
      <x:c r="E737" s="17" t="str">
        <x:v>C13</x:v>
      </x:c>
      <x:c r="F737" s="17" t="str">
        <x:v>江门虚拟回收/检测中心</x:v>
      </x:c>
      <x:c r="G737" s="17" t="str">
        <x:v>回收中心候选</x:v>
      </x:c>
      <x:c r="H737" s="24" t="n">
        <x:v>113.0761073</x:v>
      </x:c>
      <x:c r="I737" s="24" t="n">
        <x:v>22.5816619</x:v>
      </x:c>
      <x:c r="J737" s="21" t="n">
        <x:f>6371*ACOS(MIN(1,COS(D737*PI()/180)*COS(I737*PI()/180)*COS((H737-C737)*PI()/180)+SIN(D737*PI()/180)*SIN(I737*PI()/180)))</x:f>
        <x:v>81.8340180596413</x:v>
      </x:c>
      <x:c r="K737" s="21" t="n">
        <x:f>'情景参数模板'!$D$31</x:f>
        <x:v>1.2</x:v>
      </x:c>
      <x:c r="L737" s="21" t="n">
        <x:f>J737*K737</x:f>
        <x:v>98.20082167156956</x:v>
      </x:c>
    </x:row>
    <x:row r="738">
      <x:c r="A738" s="17" t="str">
        <x:v>GD17</x:v>
      </x:c>
      <x:c r="B738" s="17" t="str">
        <x:v>肇庆</x:v>
      </x:c>
      <x:c r="C738" s="24" t="n">
        <x:v>112.4603629</x:v>
      </x:c>
      <x:c r="D738" s="24" t="n">
        <x:v>23.0501661</x:v>
      </x:c>
      <x:c r="E738" s="17" t="str">
        <x:v>C14</x:v>
      </x:c>
      <x:c r="F738" s="17" t="str">
        <x:v>阳江虚拟回收/检测中心</x:v>
      </x:c>
      <x:c r="G738" s="17" t="str">
        <x:v>回收中心候选</x:v>
      </x:c>
      <x:c r="H738" s="24" t="n">
        <x:v>111.7831393</x:v>
      </x:c>
      <x:c r="I738" s="24" t="n">
        <x:v>22.0958223</x:v>
      </x:c>
      <x:c r="J738" s="21" t="n">
        <x:f>6371*ACOS(MIN(1,COS(D738*PI()/180)*COS(I738*PI()/180)*COS((H738-C738)*PI()/180)+SIN(D738*PI()/180)*SIN(I738*PI()/180)))</x:f>
        <x:v>126.86998761494044</x:v>
      </x:c>
      <x:c r="K738" s="21" t="n">
        <x:f>'情景参数模板'!$D$31</x:f>
        <x:v>1.2</x:v>
      </x:c>
      <x:c r="L738" s="21" t="n">
        <x:f>J738*K738</x:f>
        <x:v>152.24398513792852</x:v>
      </x:c>
    </x:row>
    <x:row r="739">
      <x:c r="A739" s="17" t="str">
        <x:v>GD17</x:v>
      </x:c>
      <x:c r="B739" s="17" t="str">
        <x:v>肇庆</x:v>
      </x:c>
      <x:c r="C739" s="24" t="n">
        <x:v>112.4603629</x:v>
      </x:c>
      <x:c r="D739" s="24" t="n">
        <x:v>23.0501661</x:v>
      </x:c>
      <x:c r="E739" s="17" t="str">
        <x:v>C15</x:v>
      </x:c>
      <x:c r="F739" s="17" t="str">
        <x:v>湛江虚拟回收/检测中心</x:v>
      </x:c>
      <x:c r="G739" s="17" t="str">
        <x:v>回收中心候选</x:v>
      </x:c>
      <x:c r="H739" s="24" t="n">
        <x:v>110.3548318</x:v>
      </x:c>
      <x:c r="I739" s="24" t="n">
        <x:v>21.2737079</x:v>
      </x:c>
      <x:c r="J739" s="21" t="n">
        <x:f>6371*ACOS(MIN(1,COS(D739*PI()/180)*COS(I739*PI()/180)*COS((H739-C739)*PI()/180)+SIN(D739*PI()/180)*SIN(I739*PI()/180)))</x:f>
        <x:v>293.3038557955491</x:v>
      </x:c>
      <x:c r="K739" s="21" t="n">
        <x:f>'情景参数模板'!$D$31</x:f>
        <x:v>1.2</x:v>
      </x:c>
      <x:c r="L739" s="21" t="n">
        <x:f>J739*K739</x:f>
        <x:v>351.9646269546589</x:v>
      </x:c>
    </x:row>
    <x:row r="740">
      <x:c r="A740" s="17" t="str">
        <x:v>GD17</x:v>
      </x:c>
      <x:c r="B740" s="17" t="str">
        <x:v>肇庆</x:v>
      </x:c>
      <x:c r="C740" s="24" t="n">
        <x:v>112.4603629</x:v>
      </x:c>
      <x:c r="D740" s="24" t="n">
        <x:v>23.0501661</x:v>
      </x:c>
      <x:c r="E740" s="17" t="str">
        <x:v>C16</x:v>
      </x:c>
      <x:c r="F740" s="17" t="str">
        <x:v>茂名虚拟回收/检测中心</x:v>
      </x:c>
      <x:c r="G740" s="17" t="str">
        <x:v>回收中心候选</x:v>
      </x:c>
      <x:c r="H740" s="24" t="n">
        <x:v>110.9209511</x:v>
      </x:c>
      <x:c r="I740" s="24" t="n">
        <x:v>21.6656961</x:v>
      </x:c>
      <x:c r="J740" s="21" t="n">
        <x:f>6371*ACOS(MIN(1,COS(D740*PI()/180)*COS(I740*PI()/180)*COS((H740-C740)*PI()/180)+SIN(D740*PI()/180)*SIN(I740*PI()/180)))</x:f>
        <x:v>220.81298704421815</x:v>
      </x:c>
      <x:c r="K740" s="21" t="n">
        <x:f>'情景参数模板'!$D$31</x:f>
        <x:v>1.2</x:v>
      </x:c>
      <x:c r="L740" s="21" t="n">
        <x:f>J740*K740</x:f>
        <x:v>264.97558445306174</x:v>
      </x:c>
    </x:row>
    <x:row r="741">
      <x:c r="A741" s="17" t="str">
        <x:v>GD17</x:v>
      </x:c>
      <x:c r="B741" s="17" t="str">
        <x:v>肇庆</x:v>
      </x:c>
      <x:c r="C741" s="24" t="n">
        <x:v>112.4603629</x:v>
      </x:c>
      <x:c r="D741" s="24" t="n">
        <x:v>23.0501661</x:v>
      </x:c>
      <x:c r="E741" s="17" t="str">
        <x:v>C17</x:v>
      </x:c>
      <x:c r="F741" s="17" t="str">
        <x:v>肇庆虚拟回收/检测中心</x:v>
      </x:c>
      <x:c r="G741" s="17" t="str">
        <x:v>回收中心候选</x:v>
      </x:c>
      <x:c r="H741" s="24" t="n">
        <x:v>112.4603629</x:v>
      </x:c>
      <x:c r="I741" s="24" t="n">
        <x:v>23.0501661</x:v>
      </x:c>
      <x:c r="J741" s="21" t="n">
        <x:f>6371*ACOS(MIN(1,COS(D741*PI()/180)*COS(I741*PI()/180)*COS((H741-C741)*PI()/180)+SIN(D741*PI()/180)*SIN(I741*PI()/180)))</x:f>
        <x:v>0</x:v>
      </x:c>
      <x:c r="K741" s="21" t="n">
        <x:f>'情景参数模板'!$D$31</x:f>
        <x:v>1.2</x:v>
      </x:c>
      <x:c r="L741" s="21" t="n">
        <x:f>J741*K741</x:f>
        <x:v>0</x:v>
      </x:c>
    </x:row>
    <x:row r="742">
      <x:c r="A742" s="17" t="str">
        <x:v>GD17</x:v>
      </x:c>
      <x:c r="B742" s="17" t="str">
        <x:v>肇庆</x:v>
      </x:c>
      <x:c r="C742" s="24" t="n">
        <x:v>112.4603629</x:v>
      </x:c>
      <x:c r="D742" s="24" t="n">
        <x:v>23.0501661</x:v>
      </x:c>
      <x:c r="E742" s="17" t="str">
        <x:v>C18</x:v>
      </x:c>
      <x:c r="F742" s="17" t="str">
        <x:v>清远虚拟回收/检测中心</x:v>
      </x:c>
      <x:c r="G742" s="17" t="str">
        <x:v>回收中心候选</x:v>
      </x:c>
      <x:c r="H742" s="24" t="n">
        <x:v>113.0505994</x:v>
      </x:c>
      <x:c r="I742" s="24" t="n">
        <x:v>23.6832984</x:v>
      </x:c>
      <x:c r="J742" s="21" t="n">
        <x:f>6371*ACOS(MIN(1,COS(D742*PI()/180)*COS(I742*PI()/180)*COS((H742-C742)*PI()/180)+SIN(D742*PI()/180)*SIN(I742*PI()/180)))</x:f>
        <x:v>92.66143114992624</x:v>
      </x:c>
      <x:c r="K742" s="21" t="n">
        <x:f>'情景参数模板'!$D$31</x:f>
        <x:v>1.2</x:v>
      </x:c>
      <x:c r="L742" s="21" t="n">
        <x:f>J742*K742</x:f>
        <x:v>111.19371737991149</x:v>
      </x:c>
    </x:row>
    <x:row r="743">
      <x:c r="A743" s="17" t="str">
        <x:v>GD17</x:v>
      </x:c>
      <x:c r="B743" s="17" t="str">
        <x:v>肇庆</x:v>
      </x:c>
      <x:c r="C743" s="24" t="n">
        <x:v>112.4603629</x:v>
      </x:c>
      <x:c r="D743" s="24" t="n">
        <x:v>23.0501661</x:v>
      </x:c>
      <x:c r="E743" s="17" t="str">
        <x:v>C19</x:v>
      </x:c>
      <x:c r="F743" s="17" t="str">
        <x:v>潮州虚拟回收/检测中心</x:v>
      </x:c>
      <x:c r="G743" s="17" t="str">
        <x:v>回收中心候选</x:v>
      </x:c>
      <x:c r="H743" s="24" t="n">
        <x:v>116.6204223</x:v>
      </x:c>
      <x:c r="I743" s="24" t="n">
        <x:v>23.656593</x:v>
      </x:c>
      <x:c r="J743" s="21" t="n">
        <x:f>6371*ACOS(MIN(1,COS(D743*PI()/180)*COS(I743*PI()/180)*COS((H743-C743)*PI()/180)+SIN(D743*PI()/180)*SIN(I743*PI()/180)))</x:f>
        <x:v>429.98456385867706</x:v>
      </x:c>
      <x:c r="K743" s="21" t="n">
        <x:f>'情景参数模板'!$D$31</x:f>
        <x:v>1.2</x:v>
      </x:c>
      <x:c r="L743" s="21" t="n">
        <x:f>J743*K743</x:f>
        <x:v>515.9814766304124</x:v>
      </x:c>
    </x:row>
    <x:row r="744">
      <x:c r="A744" s="17" t="str">
        <x:v>GD17</x:v>
      </x:c>
      <x:c r="B744" s="17" t="str">
        <x:v>肇庆</x:v>
      </x:c>
      <x:c r="C744" s="24" t="n">
        <x:v>112.4603629</x:v>
      </x:c>
      <x:c r="D744" s="24" t="n">
        <x:v>23.0501661</x:v>
      </x:c>
      <x:c r="E744" s="17" t="str">
        <x:v>C20</x:v>
      </x:c>
      <x:c r="F744" s="17" t="str">
        <x:v>揭阳虚拟回收/检测中心</x:v>
      </x:c>
      <x:c r="G744" s="17" t="str">
        <x:v>回收中心候选</x:v>
      </x:c>
      <x:c r="H744" s="24" t="n">
        <x:v>116.3680354</x:v>
      </x:c>
      <x:c r="I744" s="24" t="n">
        <x:v>23.553156</x:v>
      </x:c>
      <x:c r="J744" s="21" t="n">
        <x:f>6371*ACOS(MIN(1,COS(D744*PI()/180)*COS(I744*PI()/180)*COS((H744-C744)*PI()/180)+SIN(D744*PI()/180)*SIN(I744*PI()/180)))</x:f>
        <x:v>402.95849892739517</x:v>
      </x:c>
      <x:c r="K744" s="21" t="n">
        <x:f>'情景参数模板'!$D$31</x:f>
        <x:v>1.2</x:v>
      </x:c>
      <x:c r="L744" s="21" t="n">
        <x:f>J744*K744</x:f>
        <x:v>483.5501987128742</x:v>
      </x:c>
    </x:row>
    <x:row r="745">
      <x:c r="A745" s="17" t="str">
        <x:v>GD17</x:v>
      </x:c>
      <x:c r="B745" s="17" t="str">
        <x:v>肇庆</x:v>
      </x:c>
      <x:c r="C745" s="24" t="n">
        <x:v>112.4603629</x:v>
      </x:c>
      <x:c r="D745" s="24" t="n">
        <x:v>23.0501661</x:v>
      </x:c>
      <x:c r="E745" s="17" t="str">
        <x:v>C21</x:v>
      </x:c>
      <x:c r="F745" s="17" t="str">
        <x:v>云浮虚拟回收/检测中心</x:v>
      </x:c>
      <x:c r="G745" s="17" t="str">
        <x:v>回收中心候选</x:v>
      </x:c>
      <x:c r="H745" s="24" t="n">
        <x:v>111.8078586</x:v>
      </x:c>
      <x:c r="I745" s="24" t="n">
        <x:v>22.8546663</x:v>
      </x:c>
      <x:c r="J745" s="21" t="n">
        <x:f>6371*ACOS(MIN(1,COS(D745*PI()/180)*COS(I745*PI()/180)*COS((H745-C745)*PI()/180)+SIN(D745*PI()/180)*SIN(I745*PI()/180)))</x:f>
        <x:v>70.25844555620367</x:v>
      </x:c>
      <x:c r="K745" s="21" t="n">
        <x:f>'情景参数模板'!$D$31</x:f>
        <x:v>1.2</x:v>
      </x:c>
      <x:c r="L745" s="21" t="n">
        <x:f>J745*K745</x:f>
        <x:v>84.3101346674444</x:v>
      </x:c>
    </x:row>
    <x:row r="746">
      <x:c r="A746" s="17" t="str">
        <x:v>GD17</x:v>
      </x:c>
      <x:c r="B746" s="17" t="str">
        <x:v>肇庆</x:v>
      </x:c>
      <x:c r="C746" s="24" t="n">
        <x:v>112.4603629</x:v>
      </x:c>
      <x:c r="D746" s="24" t="n">
        <x:v>23.0501661</x:v>
      </x:c>
      <x:c r="E746" s="17" t="str">
        <x:v>P01</x:v>
      </x:c>
      <x:c r="F746" s="17" t="str">
        <x:v>汕尾比亚迪废旧动力电池回收项目</x:v>
      </x:c>
      <x:c r="G746" s="17" t="str">
        <x:v>再生利用</x:v>
      </x:c>
      <x:c r="H746" s="24" t="n">
        <x:v>115.3492668</x:v>
      </x:c>
      <x:c r="I746" s="24" t="n">
        <x:v>22.838065</x:v>
      </x:c>
      <x:c r="J746" s="21" t="n">
        <x:f>6371*ACOS(MIN(1,COS(D746*PI()/180)*COS(I746*PI()/180)*COS((H746-C746)*PI()/180)+SIN(D746*PI()/180)*SIN(I746*PI()/180)))</x:f>
        <x:v>296.7510627302265</x:v>
      </x:c>
      <x:c r="K746" s="21" t="n">
        <x:f>'情景参数模板'!$D$31</x:f>
        <x:v>1.2</x:v>
      </x:c>
      <x:c r="L746" s="21" t="n">
        <x:f>J746*K746</x:f>
        <x:v>356.1012752762718</x:v>
      </x:c>
    </x:row>
    <x:row r="747">
      <x:c r="A747" s="17" t="str">
        <x:v>GD17</x:v>
      </x:c>
      <x:c r="B747" s="17" t="str">
        <x:v>肇庆</x:v>
      </x:c>
      <x:c r="C747" s="24" t="n">
        <x:v>112.4603629</x:v>
      </x:c>
      <x:c r="D747" s="24" t="n">
        <x:v>23.0501661</x:v>
      </x:c>
      <x:c r="E747" s="17" t="str">
        <x:v>P02E</x:v>
      </x:c>
      <x:c r="F747" s="17" t="str">
        <x:v>广东光华科技股份有限公司（梯次功能）</x:v>
      </x:c>
      <x:c r="G747" s="17" t="str">
        <x:v>梯次利用</x:v>
      </x:c>
      <x:c r="H747" s="24" t="n">
        <x:v>116.6775856</x:v>
      </x:c>
      <x:c r="I747" s="24" t="n">
        <x:v>23.3563921</x:v>
      </x:c>
      <x:c r="J747" s="21" t="n">
        <x:f>6371*ACOS(MIN(1,COS(D747*PI()/180)*COS(I747*PI()/180)*COS((H747-C747)*PI()/180)+SIN(D747*PI()/180)*SIN(I747*PI()/180)))</x:f>
        <x:v>432.3301436322801</x:v>
      </x:c>
      <x:c r="K747" s="21" t="n">
        <x:f>'情景参数模板'!$D$31</x:f>
        <x:v>1.2</x:v>
      </x:c>
      <x:c r="L747" s="21" t="n">
        <x:f>J747*K747</x:f>
        <x:v>518.7961723587362</x:v>
      </x:c>
    </x:row>
    <x:row r="748">
      <x:c r="A748" s="17" t="str">
        <x:v>GD17</x:v>
      </x:c>
      <x:c r="B748" s="17" t="str">
        <x:v>肇庆</x:v>
      </x:c>
      <x:c r="C748" s="24" t="n">
        <x:v>112.4603629</x:v>
      </x:c>
      <x:c r="D748" s="24" t="n">
        <x:v>23.0501661</x:v>
      </x:c>
      <x:c r="E748" s="17" t="str">
        <x:v>P02R</x:v>
      </x:c>
      <x:c r="F748" s="17" t="str">
        <x:v>广东光华科技股份有限公司（再生功能）</x:v>
      </x:c>
      <x:c r="G748" s="17" t="str">
        <x:v>再生利用</x:v>
      </x:c>
      <x:c r="H748" s="24" t="n">
        <x:v>116.6775856</x:v>
      </x:c>
      <x:c r="I748" s="24" t="n">
        <x:v>23.3563921</x:v>
      </x:c>
      <x:c r="J748" s="21" t="n">
        <x:f>6371*ACOS(MIN(1,COS(D748*PI()/180)*COS(I748*PI()/180)*COS((H748-C748)*PI()/180)+SIN(D748*PI()/180)*SIN(I748*PI()/180)))</x:f>
        <x:v>432.3301436322801</x:v>
      </x:c>
      <x:c r="K748" s="21" t="n">
        <x:f>'情景参数模板'!$D$31</x:f>
        <x:v>1.2</x:v>
      </x:c>
      <x:c r="L748" s="21" t="n">
        <x:f>J748*K748</x:f>
        <x:v>518.7961723587362</x:v>
      </x:c>
    </x:row>
    <x:row r="749">
      <x:c r="A749" s="17" t="str">
        <x:v>GD17</x:v>
      </x:c>
      <x:c r="B749" s="17" t="str">
        <x:v>肇庆</x:v>
      </x:c>
      <x:c r="C749" s="24" t="n">
        <x:v>112.4603629</x:v>
      </x:c>
      <x:c r="D749" s="24" t="n">
        <x:v>23.0501661</x:v>
      </x:c>
      <x:c r="E749" s="17" t="str">
        <x:v>P03</x:v>
      </x:c>
      <x:c r="F749" s="17" t="str">
        <x:v>深圳深汕特别合作区乾泰技术有限公司</x:v>
      </x:c>
      <x:c r="G749" s="17" t="str">
        <x:v>梯次利用</x:v>
      </x:c>
      <x:c r="H749" s="24" t="n">
        <x:v>115.5099937</x:v>
      </x:c>
      <x:c r="I749" s="24" t="n">
        <x:v>23.0123639</x:v>
      </x:c>
      <x:c r="J749" s="21" t="n">
        <x:f>6371*ACOS(MIN(1,COS(D749*PI()/180)*COS(I749*PI()/180)*COS((H749-C749)*PI()/180)+SIN(D749*PI()/180)*SIN(I749*PI()/180)))</x:f>
        <x:v>312.0967041495048</x:v>
      </x:c>
      <x:c r="K749" s="21" t="n">
        <x:f>'情景参数模板'!$D$31</x:f>
        <x:v>1.2</x:v>
      </x:c>
      <x:c r="L749" s="21" t="n">
        <x:f>J749*K749</x:f>
        <x:v>374.5160449794057</x:v>
      </x:c>
    </x:row>
    <x:row r="750">
      <x:c r="A750" s="17" t="str">
        <x:v>GD17</x:v>
      </x:c>
      <x:c r="B750" s="17" t="str">
        <x:v>肇庆</x:v>
      </x:c>
      <x:c r="C750" s="24" t="n">
        <x:v>112.4603629</x:v>
      </x:c>
      <x:c r="D750" s="24" t="n">
        <x:v>23.0501661</x:v>
      </x:c>
      <x:c r="E750" s="17" t="str">
        <x:v>P04</x:v>
      </x:c>
      <x:c r="F750" s="17" t="str">
        <x:v>珠海中力新能源科技有限公司</x:v>
      </x:c>
      <x:c r="G750" s="17" t="str">
        <x:v>梯次利用</x:v>
      </x:c>
      <x:c r="H750" s="24" t="n">
        <x:v>113.5721327</x:v>
      </x:c>
      <x:c r="I750" s="24" t="n">
        <x:v>22.273734</x:v>
      </x:c>
      <x:c r="J750" s="21" t="n">
        <x:f>6371*ACOS(MIN(1,COS(D750*PI()/180)*COS(I750*PI()/180)*COS((H750-C750)*PI()/180)+SIN(D750*PI()/180)*SIN(I750*PI()/180)))</x:f>
        <x:v>143.0642477152054</x:v>
      </x:c>
      <x:c r="K750" s="21" t="n">
        <x:f>'情景参数模板'!$D$31</x:f>
        <x:v>1.2</x:v>
      </x:c>
      <x:c r="L750" s="21" t="n">
        <x:f>J750*K750</x:f>
        <x:v>171.67709725824648</x:v>
      </x:c>
    </x:row>
    <x:row r="751">
      <x:c r="A751" s="17" t="str">
        <x:v>GD17</x:v>
      </x:c>
      <x:c r="B751" s="17" t="str">
        <x:v>肇庆</x:v>
      </x:c>
      <x:c r="C751" s="24" t="n">
        <x:v>112.4603629</x:v>
      </x:c>
      <x:c r="D751" s="24" t="n">
        <x:v>23.0501661</x:v>
      </x:c>
      <x:c r="E751" s="17" t="str">
        <x:v>P05</x:v>
      </x:c>
      <x:c r="F751" s="17" t="str">
        <x:v>惠州市恒创睿能环保科技有限公司</x:v>
      </x:c>
      <x:c r="G751" s="17" t="str">
        <x:v>梯次利用</x:v>
      </x:c>
      <x:c r="H751" s="24" t="n">
        <x:v>114.4127007</x:v>
      </x:c>
      <x:c r="I751" s="24" t="n">
        <x:v>23.1125153</x:v>
      </x:c>
      <x:c r="J751" s="21" t="n">
        <x:f>6371*ACOS(MIN(1,COS(D751*PI()/180)*COS(I751*PI()/180)*COS((H751-C751)*PI()/180)+SIN(D751*PI()/180)*SIN(I751*PI()/180)))</x:f>
        <x:v>199.83063084164635</x:v>
      </x:c>
      <x:c r="K751" s="21" t="n">
        <x:f>'情景参数模板'!$D$31</x:f>
        <x:v>1.2</x:v>
      </x:c>
      <x:c r="L751" s="21" t="n">
        <x:f>J751*K751</x:f>
        <x:v>239.7967570099756</x:v>
      </x:c>
    </x:row>
    <x:row r="752">
      <x:c r="A752" s="17" t="str">
        <x:v>GD17</x:v>
      </x:c>
      <x:c r="B752" s="17" t="str">
        <x:v>肇庆</x:v>
      </x:c>
      <x:c r="C752" s="24" t="n">
        <x:v>112.4603629</x:v>
      </x:c>
      <x:c r="D752" s="24" t="n">
        <x:v>23.0501661</x:v>
      </x:c>
      <x:c r="E752" s="17" t="str">
        <x:v>P06</x:v>
      </x:c>
      <x:c r="F752" s="17" t="str">
        <x:v>江门市朗达锂电池有限公司</x:v>
      </x:c>
      <x:c r="G752" s="17" t="str">
        <x:v>梯次利用</x:v>
      </x:c>
      <x:c r="H752" s="24" t="n">
        <x:v>113.0761073</x:v>
      </x:c>
      <x:c r="I752" s="24" t="n">
        <x:v>22.5816619</x:v>
      </x:c>
      <x:c r="J752" s="21" t="n">
        <x:f>6371*ACOS(MIN(1,COS(D752*PI()/180)*COS(I752*PI()/180)*COS((H752-C752)*PI()/180)+SIN(D752*PI()/180)*SIN(I752*PI()/180)))</x:f>
        <x:v>81.8340180596413</x:v>
      </x:c>
      <x:c r="K752" s="21" t="n">
        <x:f>'情景参数模板'!$D$31</x:f>
        <x:v>1.2</x:v>
      </x:c>
      <x:c r="L752" s="21" t="n">
        <x:f>J752*K752</x:f>
        <x:v>98.20082167156956</x:v>
      </x:c>
    </x:row>
    <x:row r="753">
      <x:c r="A753" s="17" t="str">
        <x:v>GD17</x:v>
      </x:c>
      <x:c r="B753" s="17" t="str">
        <x:v>肇庆</x:v>
      </x:c>
      <x:c r="C753" s="24" t="n">
        <x:v>112.4603629</x:v>
      </x:c>
      <x:c r="D753" s="24" t="n">
        <x:v>23.0501661</x:v>
      </x:c>
      <x:c r="E753" s="17" t="str">
        <x:v>P07</x:v>
      </x:c>
      <x:c r="F753" s="17" t="str">
        <x:v>广东迪度新能源有限公司</x:v>
      </x:c>
      <x:c r="G753" s="17" t="str">
        <x:v>梯次利用</x:v>
      </x:c>
      <x:c r="H753" s="24" t="n">
        <x:v>113.7452332</x:v>
      </x:c>
      <x:c r="I753" s="24" t="n">
        <x:v>23.0183568</x:v>
      </x:c>
      <x:c r="J753" s="21" t="n">
        <x:f>6371*ACOS(MIN(1,COS(D753*PI()/180)*COS(I753*PI()/180)*COS((H753-C753)*PI()/180)+SIN(D753*PI()/180)*SIN(I753*PI()/180)))</x:f>
        <x:v>131.52724118580286</x:v>
      </x:c>
      <x:c r="K753" s="21" t="n">
        <x:f>'情景参数模板'!$D$31</x:f>
        <x:v>1.2</x:v>
      </x:c>
      <x:c r="L753" s="21" t="n">
        <x:f>J753*K753</x:f>
        <x:v>157.83268942296343</x:v>
      </x:c>
    </x:row>
    <x:row r="754">
      <x:c r="A754" s="17" t="str">
        <x:v>GD17</x:v>
      </x:c>
      <x:c r="B754" s="17" t="str">
        <x:v>肇庆</x:v>
      </x:c>
      <x:c r="C754" s="24" t="n">
        <x:v>112.4603629</x:v>
      </x:c>
      <x:c r="D754" s="24" t="n">
        <x:v>23.0501661</x:v>
      </x:c>
      <x:c r="E754" s="17" t="str">
        <x:v>P08</x:v>
      </x:c>
      <x:c r="F754" s="17" t="str">
        <x:v>东莞市博森新能源有限公司</x:v>
      </x:c>
      <x:c r="G754" s="17" t="str">
        <x:v>梯次利用</x:v>
      </x:c>
      <x:c r="H754" s="24" t="n">
        <x:v>113.7452332</x:v>
      </x:c>
      <x:c r="I754" s="24" t="n">
        <x:v>23.0183568</x:v>
      </x:c>
      <x:c r="J754" s="21" t="n">
        <x:f>6371*ACOS(MIN(1,COS(D754*PI()/180)*COS(I754*PI()/180)*COS((H754-C754)*PI()/180)+SIN(D754*PI()/180)*SIN(I754*PI()/180)))</x:f>
        <x:v>131.52724118580286</x:v>
      </x:c>
      <x:c r="K754" s="21" t="n">
        <x:f>'情景参数模板'!$D$31</x:f>
        <x:v>1.2</x:v>
      </x:c>
      <x:c r="L754" s="21" t="n">
        <x:f>J754*K754</x:f>
        <x:v>157.83268942296343</x:v>
      </x:c>
    </x:row>
    <x:row r="755">
      <x:c r="A755" s="17" t="str">
        <x:v>GD17</x:v>
      </x:c>
      <x:c r="B755" s="17" t="str">
        <x:v>肇庆</x:v>
      </x:c>
      <x:c r="C755" s="24" t="n">
        <x:v>112.4603629</x:v>
      </x:c>
      <x:c r="D755" s="24" t="n">
        <x:v>23.0501661</x:v>
      </x:c>
      <x:c r="E755" s="17" t="str">
        <x:v>P09</x:v>
      </x:c>
      <x:c r="F755" s="17" t="str">
        <x:v>广东宇阳新能源有限公司</x:v>
      </x:c>
      <x:c r="G755" s="17" t="str">
        <x:v>梯次利用</x:v>
      </x:c>
      <x:c r="H755" s="24" t="n">
        <x:v>113.7452332</x:v>
      </x:c>
      <x:c r="I755" s="24" t="n">
        <x:v>23.0183568</x:v>
      </x:c>
      <x:c r="J755" s="21" t="n">
        <x:f>6371*ACOS(MIN(1,COS(D755*PI()/180)*COS(I755*PI()/180)*COS((H755-C755)*PI()/180)+SIN(D755*PI()/180)*SIN(I755*PI()/180)))</x:f>
        <x:v>131.52724118580286</x:v>
      </x:c>
      <x:c r="K755" s="21" t="n">
        <x:f>'情景参数模板'!$D$31</x:f>
        <x:v>1.2</x:v>
      </x:c>
      <x:c r="L755" s="21" t="n">
        <x:f>J755*K755</x:f>
        <x:v>157.83268942296343</x:v>
      </x:c>
    </x:row>
    <x:row r="756">
      <x:c r="A756" s="17" t="str">
        <x:v>GD17</x:v>
      </x:c>
      <x:c r="B756" s="17" t="str">
        <x:v>肇庆</x:v>
      </x:c>
      <x:c r="C756" s="24" t="n">
        <x:v>112.4603629</x:v>
      </x:c>
      <x:c r="D756" s="24" t="n">
        <x:v>23.0501661</x:v>
      </x:c>
      <x:c r="E756" s="17" t="str">
        <x:v>P10</x:v>
      </x:c>
      <x:c r="F756" s="17" t="str">
        <x:v>广州广汽商贸再生资源有限公司</x:v>
      </x:c>
      <x:c r="G756" s="17" t="str">
        <x:v>梯次利用</x:v>
      </x:c>
      <x:c r="H756" s="24" t="n">
        <x:v>113.2589581</x:v>
      </x:c>
      <x:c r="I756" s="24" t="n">
        <x:v>23.1288429</x:v>
      </x:c>
      <x:c r="J756" s="21" t="n">
        <x:f>6371*ACOS(MIN(1,COS(D756*PI()/180)*COS(I756*PI()/180)*COS((H756-C756)*PI()/180)+SIN(D756*PI()/180)*SIN(I756*PI()/180)))</x:f>
        <x:v>82.15331137313247</x:v>
      </x:c>
      <x:c r="K756" s="21" t="n">
        <x:f>'情景参数模板'!$D$31</x:f>
        <x:v>1.2</x:v>
      </x:c>
      <x:c r="L756" s="21" t="n">
        <x:f>J756*K756</x:f>
        <x:v>98.58397364775895</x:v>
      </x:c>
    </x:row>
    <x:row r="757">
      <x:c r="A757" s="17" t="str">
        <x:v>GD17</x:v>
      </x:c>
      <x:c r="B757" s="17" t="str">
        <x:v>肇庆</x:v>
      </x:c>
      <x:c r="C757" s="24" t="n">
        <x:v>112.4603629</x:v>
      </x:c>
      <x:c r="D757" s="24" t="n">
        <x:v>23.0501661</x:v>
      </x:c>
      <x:c r="E757" s="17" t="str">
        <x:v>P11</x:v>
      </x:c>
      <x:c r="F757" s="17" t="str">
        <x:v>深圳市杰成镍钴新能源科技有限公司</x:v>
      </x:c>
      <x:c r="G757" s="17" t="str">
        <x:v>梯次利用</x:v>
      </x:c>
      <x:c r="H757" s="24" t="n">
        <x:v>114.0545429</x:v>
      </x:c>
      <x:c r="I757" s="24" t="n">
        <x:v>22.5445741</x:v>
      </x:c>
      <x:c r="J757" s="21" t="n">
        <x:f>6371*ACOS(MIN(1,COS(D757*PI()/180)*COS(I757*PI()/180)*COS((H757-C757)*PI()/180)+SIN(D757*PI()/180)*SIN(I757*PI()/180)))</x:f>
        <x:v>172.815477677631</x:v>
      </x:c>
      <x:c r="K757" s="21" t="n">
        <x:f>'情景参数模板'!$D$31</x:f>
        <x:v>1.2</x:v>
      </x:c>
      <x:c r="L757" s="21" t="n">
        <x:f>J757*K757</x:f>
        <x:v>207.3785732131572</x:v>
      </x:c>
    </x:row>
    <x:row r="758">
      <x:c r="A758" s="17" t="str">
        <x:v>GD17</x:v>
      </x:c>
      <x:c r="B758" s="17" t="str">
        <x:v>肇庆</x:v>
      </x:c>
      <x:c r="C758" s="24" t="n">
        <x:v>112.4603629</x:v>
      </x:c>
      <x:c r="D758" s="24" t="n">
        <x:v>23.0501661</x:v>
      </x:c>
      <x:c r="E758" s="17" t="str">
        <x:v>P12</x:v>
      </x:c>
      <x:c r="F758" s="17" t="str">
        <x:v>江门市恒创睿能环保科技有限公司</x:v>
      </x:c>
      <x:c r="G758" s="17" t="str">
        <x:v>再生利用</x:v>
      </x:c>
      <x:c r="H758" s="24" t="n">
        <x:v>113.0761073</x:v>
      </x:c>
      <x:c r="I758" s="24" t="n">
        <x:v>22.5816619</x:v>
      </x:c>
      <x:c r="J758" s="21" t="n">
        <x:f>6371*ACOS(MIN(1,COS(D758*PI()/180)*COS(I758*PI()/180)*COS((H758-C758)*PI()/180)+SIN(D758*PI()/180)*SIN(I758*PI()/180)))</x:f>
        <x:v>81.8340180596413</x:v>
      </x:c>
      <x:c r="K758" s="21" t="n">
        <x:f>'情景参数模板'!$D$31</x:f>
        <x:v>1.2</x:v>
      </x:c>
      <x:c r="L758" s="21" t="n">
        <x:f>J758*K758</x:f>
        <x:v>98.20082167156956</x:v>
      </x:c>
    </x:row>
    <x:row r="759">
      <x:c r="A759" s="17" t="str">
        <x:v>GD17</x:v>
      </x:c>
      <x:c r="B759" s="17" t="str">
        <x:v>肇庆</x:v>
      </x:c>
      <x:c r="C759" s="24" t="n">
        <x:v>112.4603629</x:v>
      </x:c>
      <x:c r="D759" s="24" t="n">
        <x:v>23.0501661</x:v>
      </x:c>
      <x:c r="E759" s="17" t="str">
        <x:v>P13</x:v>
      </x:c>
      <x:c r="F759" s="17" t="str">
        <x:v>广东佳纳能源科技有限公司</x:v>
      </x:c>
      <x:c r="G759" s="17" t="str">
        <x:v>再生利用</x:v>
      </x:c>
      <x:c r="H759" s="24" t="n">
        <x:v>113.0505994</x:v>
      </x:c>
      <x:c r="I759" s="24" t="n">
        <x:v>23.6832984</x:v>
      </x:c>
      <x:c r="J759" s="21" t="n">
        <x:f>6371*ACOS(MIN(1,COS(D759*PI()/180)*COS(I759*PI()/180)*COS((H759-C759)*PI()/180)+SIN(D759*PI()/180)*SIN(I759*PI()/180)))</x:f>
        <x:v>92.66143114992624</x:v>
      </x:c>
      <x:c r="K759" s="21" t="n">
        <x:f>'情景参数模板'!$D$31</x:f>
        <x:v>1.2</x:v>
      </x:c>
      <x:c r="L759" s="21" t="n">
        <x:f>J759*K759</x:f>
        <x:v>111.19371737991149</x:v>
      </x:c>
    </x:row>
    <x:row r="760">
      <x:c r="A760" s="17" t="str">
        <x:v>GD17</x:v>
      </x:c>
      <x:c r="B760" s="17" t="str">
        <x:v>肇庆</x:v>
      </x:c>
      <x:c r="C760" s="24" t="n">
        <x:v>112.4603629</x:v>
      </x:c>
      <x:c r="D760" s="24" t="n">
        <x:v>23.0501661</x:v>
      </x:c>
      <x:c r="E760" s="17" t="str">
        <x:v>P14</x:v>
      </x:c>
      <x:c r="F760" s="17" t="str">
        <x:v>格林美（深圳）循环科技有限公司</x:v>
      </x:c>
      <x:c r="G760" s="17" t="str">
        <x:v>梯次利用</x:v>
      </x:c>
      <x:c r="H760" s="24" t="n">
        <x:v>114.0545429</x:v>
      </x:c>
      <x:c r="I760" s="24" t="n">
        <x:v>22.5445741</x:v>
      </x:c>
      <x:c r="J760" s="21" t="n">
        <x:f>6371*ACOS(MIN(1,COS(D760*PI()/180)*COS(I760*PI()/180)*COS((H760-C760)*PI()/180)+SIN(D760*PI()/180)*SIN(I760*PI()/180)))</x:f>
        <x:v>172.815477677631</x:v>
      </x:c>
      <x:c r="K760" s="21" t="n">
        <x:f>'情景参数模板'!$D$31</x:f>
        <x:v>1.2</x:v>
      </x:c>
      <x:c r="L760" s="21" t="n">
        <x:f>J760*K760</x:f>
        <x:v>207.3785732131572</x:v>
      </x:c>
    </x:row>
    <x:row r="761">
      <x:c r="A761" s="17" t="str">
        <x:v>GD17</x:v>
      </x:c>
      <x:c r="B761" s="17" t="str">
        <x:v>肇庆</x:v>
      </x:c>
      <x:c r="C761" s="24" t="n">
        <x:v>112.4603629</x:v>
      </x:c>
      <x:c r="D761" s="24" t="n">
        <x:v>23.0501661</x:v>
      </x:c>
      <x:c r="E761" s="17" t="str">
        <x:v>P15</x:v>
      </x:c>
      <x:c r="F761" s="17" t="str">
        <x:v>绿循新能源科技（佛山）有限责任公司</x:v>
      </x:c>
      <x:c r="G761" s="17" t="str">
        <x:v>梯次利用</x:v>
      </x:c>
      <x:c r="H761" s="24" t="n">
        <x:v>113.1159558</x:v>
      </x:c>
      <x:c r="I761" s="24" t="n">
        <x:v>23.0239788</x:v>
      </x:c>
      <x:c r="J761" s="21" t="n">
        <x:f>6371*ACOS(MIN(1,COS(D761*PI()/180)*COS(I761*PI()/180)*COS((H761-C761)*PI()/180)+SIN(D761*PI()/180)*SIN(I761*PI()/180)))</x:f>
        <x:v>67.14818534262002</x:v>
      </x:c>
      <x:c r="K761" s="21" t="n">
        <x:f>'情景参数模板'!$D$31</x:f>
        <x:v>1.2</x:v>
      </x:c>
      <x:c r="L761" s="21" t="n">
        <x:f>J761*K761</x:f>
        <x:v>80.57782241114403</x:v>
      </x:c>
    </x:row>
    <x:row r="762">
      <x:c r="A762" s="17" t="str">
        <x:v>GD17</x:v>
      </x:c>
      <x:c r="B762" s="17" t="str">
        <x:v>肇庆</x:v>
      </x:c>
      <x:c r="C762" s="24" t="n">
        <x:v>112.4603629</x:v>
      </x:c>
      <x:c r="D762" s="24" t="n">
        <x:v>23.0501661</x:v>
      </x:c>
      <x:c r="E762" s="17" t="str">
        <x:v>P16</x:v>
      </x:c>
      <x:c r="F762" s="17" t="str">
        <x:v>深圳艾云动智慧科技有限公司</x:v>
      </x:c>
      <x:c r="G762" s="17" t="str">
        <x:v>梯次利用</x:v>
      </x:c>
      <x:c r="H762" s="24" t="n">
        <x:v>114.0545429</x:v>
      </x:c>
      <x:c r="I762" s="24" t="n">
        <x:v>22.5445741</x:v>
      </x:c>
      <x:c r="J762" s="21" t="n">
        <x:f>6371*ACOS(MIN(1,COS(D762*PI()/180)*COS(I762*PI()/180)*COS((H762-C762)*PI()/180)+SIN(D762*PI()/180)*SIN(I762*PI()/180)))</x:f>
        <x:v>172.815477677631</x:v>
      </x:c>
      <x:c r="K762" s="21" t="n">
        <x:f>'情景参数模板'!$D$31</x:f>
        <x:v>1.2</x:v>
      </x:c>
      <x:c r="L762" s="21" t="n">
        <x:f>J762*K762</x:f>
        <x:v>207.3785732131572</x:v>
      </x:c>
    </x:row>
    <x:row r="763">
      <x:c r="A763" s="17" t="str">
        <x:v>GD17</x:v>
      </x:c>
      <x:c r="B763" s="17" t="str">
        <x:v>肇庆</x:v>
      </x:c>
      <x:c r="C763" s="24" t="n">
        <x:v>112.4603629</x:v>
      </x:c>
      <x:c r="D763" s="24" t="n">
        <x:v>23.0501661</x:v>
      </x:c>
      <x:c r="E763" s="17" t="str">
        <x:v>P17</x:v>
      </x:c>
      <x:c r="F763" s="17" t="str">
        <x:v>深圳市荣高晟新能源科技有限公司</x:v>
      </x:c>
      <x:c r="G763" s="17" t="str">
        <x:v>梯次利用</x:v>
      </x:c>
      <x:c r="H763" s="24" t="n">
        <x:v>114.0545429</x:v>
      </x:c>
      <x:c r="I763" s="24" t="n">
        <x:v>22.5445741</x:v>
      </x:c>
      <x:c r="J763" s="21" t="n">
        <x:f>6371*ACOS(MIN(1,COS(D763*PI()/180)*COS(I763*PI()/180)*COS((H763-C763)*PI()/180)+SIN(D763*PI()/180)*SIN(I763*PI()/180)))</x:f>
        <x:v>172.815477677631</x:v>
      </x:c>
      <x:c r="K763" s="21" t="n">
        <x:f>'情景参数模板'!$D$31</x:f>
        <x:v>1.2</x:v>
      </x:c>
      <x:c r="L763" s="21" t="n">
        <x:f>J763*K763</x:f>
        <x:v>207.3785732131572</x:v>
      </x:c>
    </x:row>
    <x:row r="764">
      <x:c r="A764" s="17" t="str">
        <x:v>GD17</x:v>
      </x:c>
      <x:c r="B764" s="17" t="str">
        <x:v>肇庆</x:v>
      </x:c>
      <x:c r="C764" s="24" t="n">
        <x:v>112.4603629</x:v>
      </x:c>
      <x:c r="D764" s="24" t="n">
        <x:v>23.0501661</x:v>
      </x:c>
      <x:c r="E764" s="17" t="str">
        <x:v>P18</x:v>
      </x:c>
      <x:c r="F764" s="17" t="str">
        <x:v>中商锂新能源科技（惠州）有限公司</x:v>
      </x:c>
      <x:c r="G764" s="17" t="str">
        <x:v>梯次利用</x:v>
      </x:c>
      <x:c r="H764" s="24" t="n">
        <x:v>114.4127007</x:v>
      </x:c>
      <x:c r="I764" s="24" t="n">
        <x:v>23.1125153</x:v>
      </x:c>
      <x:c r="J764" s="21" t="n">
        <x:f>6371*ACOS(MIN(1,COS(D764*PI()/180)*COS(I764*PI()/180)*COS((H764-C764)*PI()/180)+SIN(D764*PI()/180)*SIN(I764*PI()/180)))</x:f>
        <x:v>199.83063084164635</x:v>
      </x:c>
      <x:c r="K764" s="21" t="n">
        <x:f>'情景参数模板'!$D$31</x:f>
        <x:v>1.2</x:v>
      </x:c>
      <x:c r="L764" s="21" t="n">
        <x:f>J764*K764</x:f>
        <x:v>239.7967570099756</x:v>
      </x:c>
    </x:row>
    <x:row r="765">
      <x:c r="A765" s="17" t="str">
        <x:v>GD17</x:v>
      </x:c>
      <x:c r="B765" s="17" t="str">
        <x:v>肇庆</x:v>
      </x:c>
      <x:c r="C765" s="24" t="n">
        <x:v>112.4603629</x:v>
      </x:c>
      <x:c r="D765" s="24" t="n">
        <x:v>23.0501661</x:v>
      </x:c>
      <x:c r="E765" s="17" t="str">
        <x:v>P19</x:v>
      </x:c>
      <x:c r="F765" s="17" t="str">
        <x:v>广东盛祥新材料科技有限公司</x:v>
      </x:c>
      <x:c r="G765" s="17" t="str">
        <x:v>再生利用</x:v>
      </x:c>
      <x:c r="H765" s="24" t="n">
        <x:v>113.8155263</x:v>
      </x:c>
      <x:c r="I765" s="24" t="n">
        <x:v>24.8309489</x:v>
      </x:c>
      <x:c r="J765" s="21" t="n">
        <x:f>6371*ACOS(MIN(1,COS(D765*PI()/180)*COS(I765*PI()/180)*COS((H765-C765)*PI()/180)+SIN(D765*PI()/180)*SIN(I765*PI()/180)))</x:f>
        <x:v>241.1942270561686</x:v>
      </x:c>
      <x:c r="K765" s="21" t="n">
        <x:f>'情景参数模板'!$D$31</x:f>
        <x:v>1.2</x:v>
      </x:c>
      <x:c r="L765" s="21" t="n">
        <x:f>J765*K765</x:f>
        <x:v>289.43307246740227</x:v>
      </x:c>
    </x:row>
    <x:row r="766">
      <x:c r="A766" s="17" t="str">
        <x:v>GD17</x:v>
      </x:c>
      <x:c r="B766" s="17" t="str">
        <x:v>肇庆</x:v>
      </x:c>
      <x:c r="C766" s="24" t="n">
        <x:v>112.4603629</x:v>
      </x:c>
      <x:c r="D766" s="24" t="n">
        <x:v>23.0501661</x:v>
      </x:c>
      <x:c r="E766" s="17" t="str">
        <x:v>P20E</x:v>
      </x:c>
      <x:c r="F766" s="17" t="str">
        <x:v>广东金晟新能源股份有限公司（梯次功能）</x:v>
      </x:c>
      <x:c r="G766" s="17" t="str">
        <x:v>梯次利用</x:v>
      </x:c>
      <x:c r="H766" s="24" t="n">
        <x:v>112.4603629</x:v>
      </x:c>
      <x:c r="I766" s="24" t="n">
        <x:v>23.0501661</x:v>
      </x:c>
      <x:c r="J766" s="21" t="n">
        <x:f>6371*ACOS(MIN(1,COS(D766*PI()/180)*COS(I766*PI()/180)*COS((H766-C766)*PI()/180)+SIN(D766*PI()/180)*SIN(I766*PI()/180)))</x:f>
        <x:v>0</x:v>
      </x:c>
      <x:c r="K766" s="21" t="n">
        <x:f>'情景参数模板'!$D$31</x:f>
        <x:v>1.2</x:v>
      </x:c>
      <x:c r="L766" s="21" t="n">
        <x:f>J766*K766</x:f>
        <x:v>0</x:v>
      </x:c>
    </x:row>
    <x:row r="767">
      <x:c r="A767" s="17" t="str">
        <x:v>GD17</x:v>
      </x:c>
      <x:c r="B767" s="17" t="str">
        <x:v>肇庆</x:v>
      </x:c>
      <x:c r="C767" s="24" t="n">
        <x:v>112.4603629</x:v>
      </x:c>
      <x:c r="D767" s="24" t="n">
        <x:v>23.0501661</x:v>
      </x:c>
      <x:c r="E767" s="17" t="str">
        <x:v>P20R</x:v>
      </x:c>
      <x:c r="F767" s="17" t="str">
        <x:v>广东金晟新能源股份有限公司（再生功能）</x:v>
      </x:c>
      <x:c r="G767" s="17" t="str">
        <x:v>再生利用</x:v>
      </x:c>
      <x:c r="H767" s="24" t="n">
        <x:v>112.4603629</x:v>
      </x:c>
      <x:c r="I767" s="24" t="n">
        <x:v>23.0501661</x:v>
      </x:c>
      <x:c r="J767" s="21" t="n">
        <x:f>6371*ACOS(MIN(1,COS(D767*PI()/180)*COS(I767*PI()/180)*COS((H767-C767)*PI()/180)+SIN(D767*PI()/180)*SIN(I767*PI()/180)))</x:f>
        <x:v>0</x:v>
      </x:c>
      <x:c r="K767" s="21" t="n">
        <x:f>'情景参数模板'!$D$31</x:f>
        <x:v>1.2</x:v>
      </x:c>
      <x:c r="L767" s="21" t="n">
        <x:f>J767*K767</x:f>
        <x:v>0</x:v>
      </x:c>
    </x:row>
    <x:row r="768">
      <x:c r="A768" s="17" t="str">
        <x:v>GD17</x:v>
      </x:c>
      <x:c r="B768" s="17" t="str">
        <x:v>肇庆</x:v>
      </x:c>
      <x:c r="C768" s="24" t="n">
        <x:v>112.4603629</x:v>
      </x:c>
      <x:c r="D768" s="24" t="n">
        <x:v>23.0501661</x:v>
      </x:c>
      <x:c r="E768" s="17" t="str">
        <x:v>P21E</x:v>
      </x:c>
      <x:c r="F768" s="17" t="str">
        <x:v>广东瑞科美电源技术有限公司（梯次功能）</x:v>
      </x:c>
      <x:c r="G768" s="17" t="str">
        <x:v>梯次利用</x:v>
      </x:c>
      <x:c r="H768" s="24" t="n">
        <x:v>113.1159558</x:v>
      </x:c>
      <x:c r="I768" s="24" t="n">
        <x:v>23.0239788</x:v>
      </x:c>
      <x:c r="J768" s="21" t="n">
        <x:f>6371*ACOS(MIN(1,COS(D768*PI()/180)*COS(I768*PI()/180)*COS((H768-C768)*PI()/180)+SIN(D768*PI()/180)*SIN(I768*PI()/180)))</x:f>
        <x:v>67.14818534262002</x:v>
      </x:c>
      <x:c r="K768" s="21" t="n">
        <x:f>'情景参数模板'!$D$31</x:f>
        <x:v>1.2</x:v>
      </x:c>
      <x:c r="L768" s="21" t="n">
        <x:f>J768*K768</x:f>
        <x:v>80.57782241114403</x:v>
      </x:c>
    </x:row>
    <x:row r="769">
      <x:c r="A769" s="17" t="str">
        <x:v>GD17</x:v>
      </x:c>
      <x:c r="B769" s="17" t="str">
        <x:v>肇庆</x:v>
      </x:c>
      <x:c r="C769" s="24" t="n">
        <x:v>112.4603629</x:v>
      </x:c>
      <x:c r="D769" s="24" t="n">
        <x:v>23.0501661</x:v>
      </x:c>
      <x:c r="E769" s="17" t="str">
        <x:v>P21R</x:v>
      </x:c>
      <x:c r="F769" s="17" t="str">
        <x:v>广东瑞科美电源技术有限公司（再生功能）</x:v>
      </x:c>
      <x:c r="G769" s="17" t="str">
        <x:v>再生利用</x:v>
      </x:c>
      <x:c r="H769" s="24" t="n">
        <x:v>113.1159558</x:v>
      </x:c>
      <x:c r="I769" s="24" t="n">
        <x:v>23.0239788</x:v>
      </x:c>
      <x:c r="J769" s="21" t="n">
        <x:f>6371*ACOS(MIN(1,COS(D769*PI()/180)*COS(I769*PI()/180)*COS((H769-C769)*PI()/180)+SIN(D769*PI()/180)*SIN(I769*PI()/180)))</x:f>
        <x:v>67.14818534262002</x:v>
      </x:c>
      <x:c r="K769" s="21" t="n">
        <x:f>'情景参数模板'!$D$31</x:f>
        <x:v>1.2</x:v>
      </x:c>
      <x:c r="L769" s="21" t="n">
        <x:f>J769*K769</x:f>
        <x:v>80.57782241114403</x:v>
      </x:c>
    </x:row>
    <x:row r="770">
      <x:c r="A770" s="17" t="str">
        <x:v>GD18</x:v>
      </x:c>
      <x:c r="B770" s="17" t="str">
        <x:v>清远</x:v>
      </x:c>
      <x:c r="C770" s="24" t="n">
        <x:v>113.0505994</x:v>
      </x:c>
      <x:c r="D770" s="24" t="n">
        <x:v>23.6832984</x:v>
      </x:c>
      <x:c r="E770" s="17" t="str">
        <x:v>C01</x:v>
      </x:c>
      <x:c r="F770" s="17" t="str">
        <x:v>广州虚拟回收/检测中心</x:v>
      </x:c>
      <x:c r="G770" s="17" t="str">
        <x:v>回收中心候选</x:v>
      </x:c>
      <x:c r="H770" s="24" t="n">
        <x:v>113.2589581</x:v>
      </x:c>
      <x:c r="I770" s="24" t="n">
        <x:v>23.1288429</x:v>
      </x:c>
      <x:c r="J770" s="21" t="n">
        <x:f>6371*ACOS(MIN(1,COS(D770*PI()/180)*COS(I770*PI()/180)*COS((H770-C770)*PI()/180)+SIN(D770*PI()/180)*SIN(I770*PI()/180)))</x:f>
        <x:v>65.21589659147114</x:v>
      </x:c>
      <x:c r="K770" s="21" t="n">
        <x:f>'情景参数模板'!$D$31</x:f>
        <x:v>1.2</x:v>
      </x:c>
      <x:c r="L770" s="21" t="n">
        <x:f>J770*K770</x:f>
        <x:v>78.25907590976536</x:v>
      </x:c>
    </x:row>
    <x:row r="771">
      <x:c r="A771" s="17" t="str">
        <x:v>GD18</x:v>
      </x:c>
      <x:c r="B771" s="17" t="str">
        <x:v>清远</x:v>
      </x:c>
      <x:c r="C771" s="24" t="n">
        <x:v>113.0505994</x:v>
      </x:c>
      <x:c r="D771" s="24" t="n">
        <x:v>23.6832984</x:v>
      </x:c>
      <x:c r="E771" s="17" t="str">
        <x:v>C02</x:v>
      </x:c>
      <x:c r="F771" s="17" t="str">
        <x:v>深圳虚拟回收/检测中心</x:v>
      </x:c>
      <x:c r="G771" s="17" t="str">
        <x:v>回收中心候选</x:v>
      </x:c>
      <x:c r="H771" s="24" t="n">
        <x:v>114.0545429</x:v>
      </x:c>
      <x:c r="I771" s="24" t="n">
        <x:v>22.5445741</x:v>
      </x:c>
      <x:c r="J771" s="21" t="n">
        <x:f>6371*ACOS(MIN(1,COS(D771*PI()/180)*COS(I771*PI()/180)*COS((H771-C771)*PI()/180)+SIN(D771*PI()/180)*SIN(I771*PI()/180)))</x:f>
        <x:v>163.01445483081335</x:v>
      </x:c>
      <x:c r="K771" s="21" t="n">
        <x:f>'情景参数模板'!$D$31</x:f>
        <x:v>1.2</x:v>
      </x:c>
      <x:c r="L771" s="21" t="n">
        <x:f>J771*K771</x:f>
        <x:v>195.61734579697602</x:v>
      </x:c>
    </x:row>
    <x:row r="772">
      <x:c r="A772" s="17" t="str">
        <x:v>GD18</x:v>
      </x:c>
      <x:c r="B772" s="17" t="str">
        <x:v>清远</x:v>
      </x:c>
      <x:c r="C772" s="24" t="n">
        <x:v>113.0505994</x:v>
      </x:c>
      <x:c r="D772" s="24" t="n">
        <x:v>23.6832984</x:v>
      </x:c>
      <x:c r="E772" s="17" t="str">
        <x:v>C03</x:v>
      </x:c>
      <x:c r="F772" s="17" t="str">
        <x:v>珠海虚拟回收/检测中心</x:v>
      </x:c>
      <x:c r="G772" s="17" t="str">
        <x:v>回收中心候选</x:v>
      </x:c>
      <x:c r="H772" s="24" t="n">
        <x:v>113.5721327</x:v>
      </x:c>
      <x:c r="I772" s="24" t="n">
        <x:v>22.273734</x:v>
      </x:c>
      <x:c r="J772" s="21" t="n">
        <x:f>6371*ACOS(MIN(1,COS(D772*PI()/180)*COS(I772*PI()/180)*COS((H772-C772)*PI()/180)+SIN(D772*PI()/180)*SIN(I772*PI()/180)))</x:f>
        <x:v>165.57958735422196</x:v>
      </x:c>
      <x:c r="K772" s="21" t="n">
        <x:f>'情景参数模板'!$D$31</x:f>
        <x:v>1.2</x:v>
      </x:c>
      <x:c r="L772" s="21" t="n">
        <x:f>J772*K772</x:f>
        <x:v>198.69550482506634</x:v>
      </x:c>
    </x:row>
    <x:row r="773">
      <x:c r="A773" s="17" t="str">
        <x:v>GD18</x:v>
      </x:c>
      <x:c r="B773" s="17" t="str">
        <x:v>清远</x:v>
      </x:c>
      <x:c r="C773" s="24" t="n">
        <x:v>113.0505994</x:v>
      </x:c>
      <x:c r="D773" s="24" t="n">
        <x:v>23.6832984</x:v>
      </x:c>
      <x:c r="E773" s="17" t="str">
        <x:v>C04</x:v>
      </x:c>
      <x:c r="F773" s="17" t="str">
        <x:v>汕头虚拟回收/检测中心</x:v>
      </x:c>
      <x:c r="G773" s="17" t="str">
        <x:v>回收中心候选</x:v>
      </x:c>
      <x:c r="H773" s="24" t="n">
        <x:v>116.6775856</x:v>
      </x:c>
      <x:c r="I773" s="24" t="n">
        <x:v>23.3563921</x:v>
      </x:c>
      <x:c r="J773" s="21" t="n">
        <x:f>6371*ACOS(MIN(1,COS(D773*PI()/180)*COS(I773*PI()/180)*COS((H773-C773)*PI()/180)+SIN(D773*PI()/180)*SIN(I773*PI()/180)))</x:f>
        <x:v>371.5685810407413</x:v>
      </x:c>
      <x:c r="K773" s="21" t="n">
        <x:f>'情景参数模板'!$D$31</x:f>
        <x:v>1.2</x:v>
      </x:c>
      <x:c r="L773" s="21" t="n">
        <x:f>J773*K773</x:f>
        <x:v>445.8822972488896</x:v>
      </x:c>
    </x:row>
    <x:row r="774">
      <x:c r="A774" s="17" t="str">
        <x:v>GD18</x:v>
      </x:c>
      <x:c r="B774" s="17" t="str">
        <x:v>清远</x:v>
      </x:c>
      <x:c r="C774" s="24" t="n">
        <x:v>113.0505994</x:v>
      </x:c>
      <x:c r="D774" s="24" t="n">
        <x:v>23.6832984</x:v>
      </x:c>
      <x:c r="E774" s="17" t="str">
        <x:v>C05</x:v>
      </x:c>
      <x:c r="F774" s="17" t="str">
        <x:v>佛山虚拟回收/检测中心</x:v>
      </x:c>
      <x:c r="G774" s="17" t="str">
        <x:v>回收中心候选</x:v>
      </x:c>
      <x:c r="H774" s="24" t="n">
        <x:v>113.1159558</x:v>
      </x:c>
      <x:c r="I774" s="24" t="n">
        <x:v>23.0239788</x:v>
      </x:c>
      <x:c r="J774" s="21" t="n">
        <x:f>6371*ACOS(MIN(1,COS(D774*PI()/180)*COS(I774*PI()/180)*COS((H774-C774)*PI()/180)+SIN(D774*PI()/180)*SIN(I774*PI()/180)))</x:f>
        <x:v>73.61595665399058</x:v>
      </x:c>
      <x:c r="K774" s="21" t="n">
        <x:f>'情景参数模板'!$D$31</x:f>
        <x:v>1.2</x:v>
      </x:c>
      <x:c r="L774" s="21" t="n">
        <x:f>J774*K774</x:f>
        <x:v>88.3391479847887</x:v>
      </x:c>
    </x:row>
    <x:row r="775">
      <x:c r="A775" s="17" t="str">
        <x:v>GD18</x:v>
      </x:c>
      <x:c r="B775" s="17" t="str">
        <x:v>清远</x:v>
      </x:c>
      <x:c r="C775" s="24" t="n">
        <x:v>113.0505994</x:v>
      </x:c>
      <x:c r="D775" s="24" t="n">
        <x:v>23.6832984</x:v>
      </x:c>
      <x:c r="E775" s="17" t="str">
        <x:v>C06</x:v>
      </x:c>
      <x:c r="F775" s="17" t="str">
        <x:v>韶关虚拟回收/检测中心</x:v>
      </x:c>
      <x:c r="G775" s="17" t="str">
        <x:v>回收中心候选</x:v>
      </x:c>
      <x:c r="H775" s="24" t="n">
        <x:v>113.8155263</x:v>
      </x:c>
      <x:c r="I775" s="24" t="n">
        <x:v>24.8309489</x:v>
      </x:c>
      <x:c r="J775" s="21" t="n">
        <x:f>6371*ACOS(MIN(1,COS(D775*PI()/180)*COS(I775*PI()/180)*COS((H775-C775)*PI()/180)+SIN(D775*PI()/180)*SIN(I775*PI()/180)))</x:f>
        <x:v>149.32572957361296</x:v>
      </x:c>
      <x:c r="K775" s="21" t="n">
        <x:f>'情景参数模板'!$D$31</x:f>
        <x:v>1.2</x:v>
      </x:c>
      <x:c r="L775" s="21" t="n">
        <x:f>J775*K775</x:f>
        <x:v>179.19087548833554</x:v>
      </x:c>
    </x:row>
    <x:row r="776">
      <x:c r="A776" s="17" t="str">
        <x:v>GD18</x:v>
      </x:c>
      <x:c r="B776" s="17" t="str">
        <x:v>清远</x:v>
      </x:c>
      <x:c r="C776" s="24" t="n">
        <x:v>113.0505994</x:v>
      </x:c>
      <x:c r="D776" s="24" t="n">
        <x:v>23.6832984</x:v>
      </x:c>
      <x:c r="E776" s="17" t="str">
        <x:v>C07</x:v>
      </x:c>
      <x:c r="F776" s="17" t="str">
        <x:v>河源虚拟回收/检测中心</x:v>
      </x:c>
      <x:c r="G776" s="17" t="str">
        <x:v>回收中心候选</x:v>
      </x:c>
      <x:c r="H776" s="24" t="n">
        <x:v>115.0577538</x:v>
      </x:c>
      <x:c r="I776" s="24" t="n">
        <x:v>24.1014769</x:v>
      </x:c>
      <x:c r="J776" s="21" t="n">
        <x:f>6371*ACOS(MIN(1,COS(D776*PI()/180)*COS(I776*PI()/180)*COS((H776-C776)*PI()/180)+SIN(D776*PI()/180)*SIN(I776*PI()/180)))</x:f>
        <x:v>209.288636539523</x:v>
      </x:c>
      <x:c r="K776" s="21" t="n">
        <x:f>'情景参数模板'!$D$31</x:f>
        <x:v>1.2</x:v>
      </x:c>
      <x:c r="L776" s="21" t="n">
        <x:f>J776*K776</x:f>
        <x:v>251.14636384742758</x:v>
      </x:c>
    </x:row>
    <x:row r="777">
      <x:c r="A777" s="17" t="str">
        <x:v>GD18</x:v>
      </x:c>
      <x:c r="B777" s="17" t="str">
        <x:v>清远</x:v>
      </x:c>
      <x:c r="C777" s="24" t="n">
        <x:v>113.0505994</x:v>
      </x:c>
      <x:c r="D777" s="24" t="n">
        <x:v>23.6832984</x:v>
      </x:c>
      <x:c r="E777" s="17" t="str">
        <x:v>C08</x:v>
      </x:c>
      <x:c r="F777" s="17" t="str">
        <x:v>梅州虚拟回收/检测中心</x:v>
      </x:c>
      <x:c r="G777" s="17" t="str">
        <x:v>回收中心候选</x:v>
      </x:c>
      <x:c r="H777" s="24" t="n">
        <x:v>116.1171428</x:v>
      </x:c>
      <x:c r="I777" s="24" t="n">
        <x:v>24.2918414</x:v>
      </x:c>
      <x:c r="J777" s="21" t="n">
        <x:f>6371*ACOS(MIN(1,COS(D777*PI()/180)*COS(I777*PI()/180)*COS((H777-C777)*PI()/180)+SIN(D777*PI()/180)*SIN(I777*PI()/180)))</x:f>
        <x:v>318.7903486527325</x:v>
      </x:c>
      <x:c r="K777" s="21" t="n">
        <x:f>'情景参数模板'!$D$31</x:f>
        <x:v>1.2</x:v>
      </x:c>
      <x:c r="L777" s="21" t="n">
        <x:f>J777*K777</x:f>
        <x:v>382.548418383279</x:v>
      </x:c>
    </x:row>
    <x:row r="778">
      <x:c r="A778" s="17" t="str">
        <x:v>GD18</x:v>
      </x:c>
      <x:c r="B778" s="17" t="str">
        <x:v>清远</x:v>
      </x:c>
      <x:c r="C778" s="24" t="n">
        <x:v>113.0505994</x:v>
      </x:c>
      <x:c r="D778" s="24" t="n">
        <x:v>23.6832984</x:v>
      </x:c>
      <x:c r="E778" s="17" t="str">
        <x:v>C09</x:v>
      </x:c>
      <x:c r="F778" s="17" t="str">
        <x:v>惠州虚拟回收/检测中心</x:v>
      </x:c>
      <x:c r="G778" s="17" t="str">
        <x:v>回收中心候选</x:v>
      </x:c>
      <x:c r="H778" s="24" t="n">
        <x:v>114.4127007</x:v>
      </x:c>
      <x:c r="I778" s="24" t="n">
        <x:v>23.1125153</x:v>
      </x:c>
      <x:c r="J778" s="21" t="n">
        <x:f>6371*ACOS(MIN(1,COS(D778*PI()/180)*COS(I778*PI()/180)*COS((H778-C778)*PI()/180)+SIN(D778*PI()/180)*SIN(I778*PI()/180)))</x:f>
        <x:v>152.80699130297583</x:v>
      </x:c>
      <x:c r="K778" s="21" t="n">
        <x:f>'情景参数模板'!$D$31</x:f>
        <x:v>1.2</x:v>
      </x:c>
      <x:c r="L778" s="21" t="n">
        <x:f>J778*K778</x:f>
        <x:v>183.368389563571</x:v>
      </x:c>
    </x:row>
    <x:row r="779">
      <x:c r="A779" s="17" t="str">
        <x:v>GD18</x:v>
      </x:c>
      <x:c r="B779" s="17" t="str">
        <x:v>清远</x:v>
      </x:c>
      <x:c r="C779" s="24" t="n">
        <x:v>113.0505994</x:v>
      </x:c>
      <x:c r="D779" s="24" t="n">
        <x:v>23.6832984</x:v>
      </x:c>
      <x:c r="E779" s="17" t="str">
        <x:v>C10</x:v>
      </x:c>
      <x:c r="F779" s="17" t="str">
        <x:v>汕尾虚拟回收/检测中心</x:v>
      </x:c>
      <x:c r="G779" s="17" t="str">
        <x:v>回收中心候选</x:v>
      </x:c>
      <x:c r="H779" s="24" t="n">
        <x:v>115.5099937</x:v>
      </x:c>
      <x:c r="I779" s="24" t="n">
        <x:v>23.0123639</x:v>
      </x:c>
      <x:c r="J779" s="21" t="n">
        <x:f>6371*ACOS(MIN(1,COS(D779*PI()/180)*COS(I779*PI()/180)*COS((H779-C779)*PI()/180)+SIN(D779*PI()/180)*SIN(I779*PI()/180)))</x:f>
        <x:v>261.9235028063955</x:v>
      </x:c>
      <x:c r="K779" s="21" t="n">
        <x:f>'情景参数模板'!$D$31</x:f>
        <x:v>1.2</x:v>
      </x:c>
      <x:c r="L779" s="21" t="n">
        <x:f>J779*K779</x:f>
        <x:v>314.3082033676746</x:v>
      </x:c>
    </x:row>
    <x:row r="780">
      <x:c r="A780" s="17" t="str">
        <x:v>GD18</x:v>
      </x:c>
      <x:c r="B780" s="17" t="str">
        <x:v>清远</x:v>
      </x:c>
      <x:c r="C780" s="24" t="n">
        <x:v>113.0505994</x:v>
      </x:c>
      <x:c r="D780" s="24" t="n">
        <x:v>23.6832984</x:v>
      </x:c>
      <x:c r="E780" s="17" t="str">
        <x:v>C11</x:v>
      </x:c>
      <x:c r="F780" s="17" t="str">
        <x:v>东莞虚拟回收/检测中心</x:v>
      </x:c>
      <x:c r="G780" s="17" t="str">
        <x:v>回收中心候选</x:v>
      </x:c>
      <x:c r="H780" s="24" t="n">
        <x:v>113.7452332</x:v>
      </x:c>
      <x:c r="I780" s="24" t="n">
        <x:v>23.0183568</x:v>
      </x:c>
      <x:c r="J780" s="21" t="n">
        <x:f>6371*ACOS(MIN(1,COS(D780*PI()/180)*COS(I780*PI()/180)*COS((H780-C780)*PI()/180)+SIN(D780*PI()/180)*SIN(I780*PI()/180)))</x:f>
        <x:v>102.44738181217072</x:v>
      </x:c>
      <x:c r="K780" s="21" t="n">
        <x:f>'情景参数模板'!$D$31</x:f>
        <x:v>1.2</x:v>
      </x:c>
      <x:c r="L780" s="21" t="n">
        <x:f>J780*K780</x:f>
        <x:v>122.93685817460485</x:v>
      </x:c>
    </x:row>
    <x:row r="781">
      <x:c r="A781" s="17" t="str">
        <x:v>GD18</x:v>
      </x:c>
      <x:c r="B781" s="17" t="str">
        <x:v>清远</x:v>
      </x:c>
      <x:c r="C781" s="24" t="n">
        <x:v>113.0505994</x:v>
      </x:c>
      <x:c r="D781" s="24" t="n">
        <x:v>23.6832984</x:v>
      </x:c>
      <x:c r="E781" s="17" t="str">
        <x:v>C12</x:v>
      </x:c>
      <x:c r="F781" s="17" t="str">
        <x:v>中山虚拟回收/检测中心</x:v>
      </x:c>
      <x:c r="G781" s="17" t="str">
        <x:v>回收中心候选</x:v>
      </x:c>
      <x:c r="H781" s="24" t="n">
        <x:v>113.3872302</x:v>
      </x:c>
      <x:c r="I781" s="24" t="n">
        <x:v>22.5197073</x:v>
      </x:c>
      <x:c r="J781" s="21" t="n">
        <x:f>6371*ACOS(MIN(1,COS(D781*PI()/180)*COS(I781*PI()/180)*COS((H781-C781)*PI()/180)+SIN(D781*PI()/180)*SIN(I781*PI()/180)))</x:f>
        <x:v>133.88783670594157</x:v>
      </x:c>
      <x:c r="K781" s="21" t="n">
        <x:f>'情景参数模板'!$D$31</x:f>
        <x:v>1.2</x:v>
      </x:c>
      <x:c r="L781" s="21" t="n">
        <x:f>J781*K781</x:f>
        <x:v>160.66540404712987</x:v>
      </x:c>
    </x:row>
    <x:row r="782">
      <x:c r="A782" s="17" t="str">
        <x:v>GD18</x:v>
      </x:c>
      <x:c r="B782" s="17" t="str">
        <x:v>清远</x:v>
      </x:c>
      <x:c r="C782" s="24" t="n">
        <x:v>113.0505994</x:v>
      </x:c>
      <x:c r="D782" s="24" t="n">
        <x:v>23.6832984</x:v>
      </x:c>
      <x:c r="E782" s="17" t="str">
        <x:v>C13</x:v>
      </x:c>
      <x:c r="F782" s="17" t="str">
        <x:v>江门虚拟回收/检测中心</x:v>
      </x:c>
      <x:c r="G782" s="17" t="str">
        <x:v>回收中心候选</x:v>
      </x:c>
      <x:c r="H782" s="24" t="n">
        <x:v>113.0761073</x:v>
      </x:c>
      <x:c r="I782" s="24" t="n">
        <x:v>22.5816619</x:v>
      </x:c>
      <x:c r="J782" s="21" t="n">
        <x:f>6371*ACOS(MIN(1,COS(D782*PI()/180)*COS(I782*PI()/180)*COS((H782-C782)*PI()/180)+SIN(D782*PI()/180)*SIN(I782*PI()/180)))</x:f>
        <x:v>122.52415451208954</x:v>
      </x:c>
      <x:c r="K782" s="21" t="n">
        <x:f>'情景参数模板'!$D$31</x:f>
        <x:v>1.2</x:v>
      </x:c>
      <x:c r="L782" s="21" t="n">
        <x:f>J782*K782</x:f>
        <x:v>147.02898541450745</x:v>
      </x:c>
    </x:row>
    <x:row r="783">
      <x:c r="A783" s="17" t="str">
        <x:v>GD18</x:v>
      </x:c>
      <x:c r="B783" s="17" t="str">
        <x:v>清远</x:v>
      </x:c>
      <x:c r="C783" s="24" t="n">
        <x:v>113.0505994</x:v>
      </x:c>
      <x:c r="D783" s="24" t="n">
        <x:v>23.6832984</x:v>
      </x:c>
      <x:c r="E783" s="17" t="str">
        <x:v>C14</x:v>
      </x:c>
      <x:c r="F783" s="17" t="str">
        <x:v>阳江虚拟回收/检测中心</x:v>
      </x:c>
      <x:c r="G783" s="17" t="str">
        <x:v>回收中心候选</x:v>
      </x:c>
      <x:c r="H783" s="24" t="n">
        <x:v>111.7831393</x:v>
      </x:c>
      <x:c r="I783" s="24" t="n">
        <x:v>22.0958223</x:v>
      </x:c>
      <x:c r="J783" s="21" t="n">
        <x:f>6371*ACOS(MIN(1,COS(D783*PI()/180)*COS(I783*PI()/180)*COS((H783-C783)*PI()/180)+SIN(D783*PI()/180)*SIN(I783*PI()/180)))</x:f>
        <x:v>219.12335494772935</x:v>
      </x:c>
      <x:c r="K783" s="21" t="n">
        <x:f>'情景参数模板'!$D$31</x:f>
        <x:v>1.2</x:v>
      </x:c>
      <x:c r="L783" s="21" t="n">
        <x:f>J783*K783</x:f>
        <x:v>262.9480259372752</x:v>
      </x:c>
    </x:row>
    <x:row r="784">
      <x:c r="A784" s="17" t="str">
        <x:v>GD18</x:v>
      </x:c>
      <x:c r="B784" s="17" t="str">
        <x:v>清远</x:v>
      </x:c>
      <x:c r="C784" s="24" t="n">
        <x:v>113.0505994</x:v>
      </x:c>
      <x:c r="D784" s="24" t="n">
        <x:v>23.6832984</x:v>
      </x:c>
      <x:c r="E784" s="17" t="str">
        <x:v>C15</x:v>
      </x:c>
      <x:c r="F784" s="17" t="str">
        <x:v>湛江虚拟回收/检测中心</x:v>
      </x:c>
      <x:c r="G784" s="17" t="str">
        <x:v>回收中心候选</x:v>
      </x:c>
      <x:c r="H784" s="24" t="n">
        <x:v>110.3548318</x:v>
      </x:c>
      <x:c r="I784" s="24" t="n">
        <x:v>21.2737079</x:v>
      </x:c>
      <x:c r="J784" s="21" t="n">
        <x:f>6371*ACOS(MIN(1,COS(D784*PI()/180)*COS(I784*PI()/180)*COS((H784-C784)*PI()/180)+SIN(D784*PI()/180)*SIN(I784*PI()/180)))</x:f>
        <x:v>385.34157769899264</x:v>
      </x:c>
      <x:c r="K784" s="21" t="n">
        <x:f>'情景参数模板'!$D$31</x:f>
        <x:v>1.2</x:v>
      </x:c>
      <x:c r="L784" s="21" t="n">
        <x:f>J784*K784</x:f>
        <x:v>462.40989323879114</x:v>
      </x:c>
    </x:row>
    <x:row r="785">
      <x:c r="A785" s="17" t="str">
        <x:v>GD18</x:v>
      </x:c>
      <x:c r="B785" s="17" t="str">
        <x:v>清远</x:v>
      </x:c>
      <x:c r="C785" s="24" t="n">
        <x:v>113.0505994</x:v>
      </x:c>
      <x:c r="D785" s="24" t="n">
        <x:v>23.6832984</x:v>
      </x:c>
      <x:c r="E785" s="17" t="str">
        <x:v>C16</x:v>
      </x:c>
      <x:c r="F785" s="17" t="str">
        <x:v>茂名虚拟回收/检测中心</x:v>
      </x:c>
      <x:c r="G785" s="17" t="str">
        <x:v>回收中心候选</x:v>
      </x:c>
      <x:c r="H785" s="24" t="n">
        <x:v>110.9209511</x:v>
      </x:c>
      <x:c r="I785" s="24" t="n">
        <x:v>21.6656961</x:v>
      </x:c>
      <x:c r="J785" s="21" t="n">
        <x:f>6371*ACOS(MIN(1,COS(D785*PI()/180)*COS(I785*PI()/180)*COS((H785-C785)*PI()/180)+SIN(D785*PI()/180)*SIN(I785*PI()/180)))</x:f>
        <x:v>313.15649752256786</x:v>
      </x:c>
      <x:c r="K785" s="21" t="n">
        <x:f>'情景参数模板'!$D$31</x:f>
        <x:v>1.2</x:v>
      </x:c>
      <x:c r="L785" s="21" t="n">
        <x:f>J785*K785</x:f>
        <x:v>375.7877970270814</x:v>
      </x:c>
    </x:row>
    <x:row r="786">
      <x:c r="A786" s="17" t="str">
        <x:v>GD18</x:v>
      </x:c>
      <x:c r="B786" s="17" t="str">
        <x:v>清远</x:v>
      </x:c>
      <x:c r="C786" s="24" t="n">
        <x:v>113.0505994</x:v>
      </x:c>
      <x:c r="D786" s="24" t="n">
        <x:v>23.6832984</x:v>
      </x:c>
      <x:c r="E786" s="17" t="str">
        <x:v>C17</x:v>
      </x:c>
      <x:c r="F786" s="17" t="str">
        <x:v>肇庆虚拟回收/检测中心</x:v>
      </x:c>
      <x:c r="G786" s="17" t="str">
        <x:v>回收中心候选</x:v>
      </x:c>
      <x:c r="H786" s="24" t="n">
        <x:v>112.4603629</x:v>
      </x:c>
      <x:c r="I786" s="24" t="n">
        <x:v>23.0501661</x:v>
      </x:c>
      <x:c r="J786" s="21" t="n">
        <x:f>6371*ACOS(MIN(1,COS(D786*PI()/180)*COS(I786*PI()/180)*COS((H786-C786)*PI()/180)+SIN(D786*PI()/180)*SIN(I786*PI()/180)))</x:f>
        <x:v>92.66143114992624</x:v>
      </x:c>
      <x:c r="K786" s="21" t="n">
        <x:f>'情景参数模板'!$D$31</x:f>
        <x:v>1.2</x:v>
      </x:c>
      <x:c r="L786" s="21" t="n">
        <x:f>J786*K786</x:f>
        <x:v>111.19371737991149</x:v>
      </x:c>
    </x:row>
    <x:row r="787">
      <x:c r="A787" s="17" t="str">
        <x:v>GD18</x:v>
      </x:c>
      <x:c r="B787" s="17" t="str">
        <x:v>清远</x:v>
      </x:c>
      <x:c r="C787" s="24" t="n">
        <x:v>113.0505994</x:v>
      </x:c>
      <x:c r="D787" s="24" t="n">
        <x:v>23.6832984</x:v>
      </x:c>
      <x:c r="E787" s="17" t="str">
        <x:v>C18</x:v>
      </x:c>
      <x:c r="F787" s="17" t="str">
        <x:v>清远虚拟回收/检测中心</x:v>
      </x:c>
      <x:c r="G787" s="17" t="str">
        <x:v>回收中心候选</x:v>
      </x:c>
      <x:c r="H787" s="24" t="n">
        <x:v>113.0505994</x:v>
      </x:c>
      <x:c r="I787" s="24" t="n">
        <x:v>23.6832984</x:v>
      </x:c>
      <x:c r="J787" s="21" t="n">
        <x:f>6371*ACOS(MIN(1,COS(D787*PI()/180)*COS(I787*PI()/180)*COS((H787-C787)*PI()/180)+SIN(D787*PI()/180)*SIN(I787*PI()/180)))</x:f>
        <x:v>0</x:v>
      </x:c>
      <x:c r="K787" s="21" t="n">
        <x:f>'情景参数模板'!$D$31</x:f>
        <x:v>1.2</x:v>
      </x:c>
      <x:c r="L787" s="21" t="n">
        <x:f>J787*K787</x:f>
        <x:v>0</x:v>
      </x:c>
    </x:row>
    <x:row r="788">
      <x:c r="A788" s="17" t="str">
        <x:v>GD18</x:v>
      </x:c>
      <x:c r="B788" s="17" t="str">
        <x:v>清远</x:v>
      </x:c>
      <x:c r="C788" s="24" t="n">
        <x:v>113.0505994</x:v>
      </x:c>
      <x:c r="D788" s="24" t="n">
        <x:v>23.6832984</x:v>
      </x:c>
      <x:c r="E788" s="17" t="str">
        <x:v>C19</x:v>
      </x:c>
      <x:c r="F788" s="17" t="str">
        <x:v>潮州虚拟回收/检测中心</x:v>
      </x:c>
      <x:c r="G788" s="17" t="str">
        <x:v>回收中心候选</x:v>
      </x:c>
      <x:c r="H788" s="24" t="n">
        <x:v>116.6204223</x:v>
      </x:c>
      <x:c r="I788" s="24" t="n">
        <x:v>23.656593</x:v>
      </x:c>
      <x:c r="J788" s="21" t="n">
        <x:f>6371*ACOS(MIN(1,COS(D788*PI()/180)*COS(I788*PI()/180)*COS((H788-C788)*PI()/180)+SIN(D788*PI()/180)*SIN(I788*PI()/180)))</x:f>
        <x:v>363.5550667063742</x:v>
      </x:c>
      <x:c r="K788" s="21" t="n">
        <x:f>'情景参数模板'!$D$31</x:f>
        <x:v>1.2</x:v>
      </x:c>
      <x:c r="L788" s="21" t="n">
        <x:f>J788*K788</x:f>
        <x:v>436.26608004764904</x:v>
      </x:c>
    </x:row>
    <x:row r="789">
      <x:c r="A789" s="17" t="str">
        <x:v>GD18</x:v>
      </x:c>
      <x:c r="B789" s="17" t="str">
        <x:v>清远</x:v>
      </x:c>
      <x:c r="C789" s="24" t="n">
        <x:v>113.0505994</x:v>
      </x:c>
      <x:c r="D789" s="24" t="n">
        <x:v>23.6832984</x:v>
      </x:c>
      <x:c r="E789" s="17" t="str">
        <x:v>C20</x:v>
      </x:c>
      <x:c r="F789" s="17" t="str">
        <x:v>揭阳虚拟回收/检测中心</x:v>
      </x:c>
      <x:c r="G789" s="17" t="str">
        <x:v>回收中心候选</x:v>
      </x:c>
      <x:c r="H789" s="24" t="n">
        <x:v>116.3680354</x:v>
      </x:c>
      <x:c r="I789" s="24" t="n">
        <x:v>23.553156</x:v>
      </x:c>
      <x:c r="J789" s="21" t="n">
        <x:f>6371*ACOS(MIN(1,COS(D789*PI()/180)*COS(I789*PI()/180)*COS((H789-C789)*PI()/180)+SIN(D789*PI()/180)*SIN(I789*PI()/180)))</x:f>
        <x:v>338.28473835116233</x:v>
      </x:c>
      <x:c r="K789" s="21" t="n">
        <x:f>'情景参数模板'!$D$31</x:f>
        <x:v>1.2</x:v>
      </x:c>
      <x:c r="L789" s="21" t="n">
        <x:f>J789*K789</x:f>
        <x:v>405.9416860213948</x:v>
      </x:c>
    </x:row>
    <x:row r="790">
      <x:c r="A790" s="17" t="str">
        <x:v>GD18</x:v>
      </x:c>
      <x:c r="B790" s="17" t="str">
        <x:v>清远</x:v>
      </x:c>
      <x:c r="C790" s="24" t="n">
        <x:v>113.0505994</x:v>
      </x:c>
      <x:c r="D790" s="24" t="n">
        <x:v>23.6832984</x:v>
      </x:c>
      <x:c r="E790" s="17" t="str">
        <x:v>C21</x:v>
      </x:c>
      <x:c r="F790" s="17" t="str">
        <x:v>云浮虚拟回收/检测中心</x:v>
      </x:c>
      <x:c r="G790" s="17" t="str">
        <x:v>回收中心候选</x:v>
      </x:c>
      <x:c r="H790" s="24" t="n">
        <x:v>111.8078586</x:v>
      </x:c>
      <x:c r="I790" s="24" t="n">
        <x:v>22.8546663</x:v>
      </x:c>
      <x:c r="J790" s="21" t="n">
        <x:f>6371*ACOS(MIN(1,COS(D790*PI()/180)*COS(I790*PI()/180)*COS((H790-C790)*PI()/180)+SIN(D790*PI()/180)*SIN(I790*PI()/180)))</x:f>
        <x:v>156.85848449978135</x:v>
      </x:c>
      <x:c r="K790" s="21" t="n">
        <x:f>'情景参数模板'!$D$31</x:f>
        <x:v>1.2</x:v>
      </x:c>
      <x:c r="L790" s="21" t="n">
        <x:f>J790*K790</x:f>
        <x:v>188.23018139973763</x:v>
      </x:c>
    </x:row>
    <x:row r="791">
      <x:c r="A791" s="17" t="str">
        <x:v>GD18</x:v>
      </x:c>
      <x:c r="B791" s="17" t="str">
        <x:v>清远</x:v>
      </x:c>
      <x:c r="C791" s="24" t="n">
        <x:v>113.0505994</x:v>
      </x:c>
      <x:c r="D791" s="24" t="n">
        <x:v>23.6832984</x:v>
      </x:c>
      <x:c r="E791" s="17" t="str">
        <x:v>P01</x:v>
      </x:c>
      <x:c r="F791" s="17" t="str">
        <x:v>汕尾比亚迪废旧动力电池回收项目</x:v>
      </x:c>
      <x:c r="G791" s="17" t="str">
        <x:v>再生利用</x:v>
      </x:c>
      <x:c r="H791" s="24" t="n">
        <x:v>115.3492668</x:v>
      </x:c>
      <x:c r="I791" s="24" t="n">
        <x:v>22.838065</x:v>
      </x:c>
      <x:c r="J791" s="21" t="n">
        <x:f>6371*ACOS(MIN(1,COS(D791*PI()/180)*COS(I791*PI()/180)*COS((H791-C791)*PI()/180)+SIN(D791*PI()/180)*SIN(I791*PI()/180)))</x:f>
        <x:v>252.92899620442395</x:v>
      </x:c>
      <x:c r="K791" s="21" t="n">
        <x:f>'情景参数模板'!$D$31</x:f>
        <x:v>1.2</x:v>
      </x:c>
      <x:c r="L791" s="21" t="n">
        <x:f>J791*K791</x:f>
        <x:v>303.5147954453087</x:v>
      </x:c>
    </x:row>
    <x:row r="792">
      <x:c r="A792" s="17" t="str">
        <x:v>GD18</x:v>
      </x:c>
      <x:c r="B792" s="17" t="str">
        <x:v>清远</x:v>
      </x:c>
      <x:c r="C792" s="24" t="n">
        <x:v>113.0505994</x:v>
      </x:c>
      <x:c r="D792" s="24" t="n">
        <x:v>23.6832984</x:v>
      </x:c>
      <x:c r="E792" s="17" t="str">
        <x:v>P02E</x:v>
      </x:c>
      <x:c r="F792" s="17" t="str">
        <x:v>广东光华科技股份有限公司（梯次功能）</x:v>
      </x:c>
      <x:c r="G792" s="17" t="str">
        <x:v>梯次利用</x:v>
      </x:c>
      <x:c r="H792" s="24" t="n">
        <x:v>116.6775856</x:v>
      </x:c>
      <x:c r="I792" s="24" t="n">
        <x:v>23.3563921</x:v>
      </x:c>
      <x:c r="J792" s="21" t="n">
        <x:f>6371*ACOS(MIN(1,COS(D792*PI()/180)*COS(I792*PI()/180)*COS((H792-C792)*PI()/180)+SIN(D792*PI()/180)*SIN(I792*PI()/180)))</x:f>
        <x:v>371.5685810407413</x:v>
      </x:c>
      <x:c r="K792" s="21" t="n">
        <x:f>'情景参数模板'!$D$31</x:f>
        <x:v>1.2</x:v>
      </x:c>
      <x:c r="L792" s="21" t="n">
        <x:f>J792*K792</x:f>
        <x:v>445.8822972488896</x:v>
      </x:c>
    </x:row>
    <x:row r="793">
      <x:c r="A793" s="17" t="str">
        <x:v>GD18</x:v>
      </x:c>
      <x:c r="B793" s="17" t="str">
        <x:v>清远</x:v>
      </x:c>
      <x:c r="C793" s="24" t="n">
        <x:v>113.0505994</x:v>
      </x:c>
      <x:c r="D793" s="24" t="n">
        <x:v>23.6832984</x:v>
      </x:c>
      <x:c r="E793" s="17" t="str">
        <x:v>P02R</x:v>
      </x:c>
      <x:c r="F793" s="17" t="str">
        <x:v>广东光华科技股份有限公司（再生功能）</x:v>
      </x:c>
      <x:c r="G793" s="17" t="str">
        <x:v>再生利用</x:v>
      </x:c>
      <x:c r="H793" s="24" t="n">
        <x:v>116.6775856</x:v>
      </x:c>
      <x:c r="I793" s="24" t="n">
        <x:v>23.3563921</x:v>
      </x:c>
      <x:c r="J793" s="21" t="n">
        <x:f>6371*ACOS(MIN(1,COS(D793*PI()/180)*COS(I793*PI()/180)*COS((H793-C793)*PI()/180)+SIN(D793*PI()/180)*SIN(I793*PI()/180)))</x:f>
        <x:v>371.5685810407413</x:v>
      </x:c>
      <x:c r="K793" s="21" t="n">
        <x:f>'情景参数模板'!$D$31</x:f>
        <x:v>1.2</x:v>
      </x:c>
      <x:c r="L793" s="21" t="n">
        <x:f>J793*K793</x:f>
        <x:v>445.8822972488896</x:v>
      </x:c>
    </x:row>
    <x:row r="794">
      <x:c r="A794" s="17" t="str">
        <x:v>GD18</x:v>
      </x:c>
      <x:c r="B794" s="17" t="str">
        <x:v>清远</x:v>
      </x:c>
      <x:c r="C794" s="24" t="n">
        <x:v>113.0505994</x:v>
      </x:c>
      <x:c r="D794" s="24" t="n">
        <x:v>23.6832984</x:v>
      </x:c>
      <x:c r="E794" s="17" t="str">
        <x:v>P03</x:v>
      </x:c>
      <x:c r="F794" s="17" t="str">
        <x:v>深圳深汕特别合作区乾泰技术有限公司</x:v>
      </x:c>
      <x:c r="G794" s="17" t="str">
        <x:v>梯次利用</x:v>
      </x:c>
      <x:c r="H794" s="24" t="n">
        <x:v>115.5099937</x:v>
      </x:c>
      <x:c r="I794" s="24" t="n">
        <x:v>23.0123639</x:v>
      </x:c>
      <x:c r="J794" s="21" t="n">
        <x:f>6371*ACOS(MIN(1,COS(D794*PI()/180)*COS(I794*PI()/180)*COS((H794-C794)*PI()/180)+SIN(D794*PI()/180)*SIN(I794*PI()/180)))</x:f>
        <x:v>261.9235028063955</x:v>
      </x:c>
      <x:c r="K794" s="21" t="n">
        <x:f>'情景参数模板'!$D$31</x:f>
        <x:v>1.2</x:v>
      </x:c>
      <x:c r="L794" s="21" t="n">
        <x:f>J794*K794</x:f>
        <x:v>314.3082033676746</x:v>
      </x:c>
    </x:row>
    <x:row r="795">
      <x:c r="A795" s="17" t="str">
        <x:v>GD18</x:v>
      </x:c>
      <x:c r="B795" s="17" t="str">
        <x:v>清远</x:v>
      </x:c>
      <x:c r="C795" s="24" t="n">
        <x:v>113.0505994</x:v>
      </x:c>
      <x:c r="D795" s="24" t="n">
        <x:v>23.6832984</x:v>
      </x:c>
      <x:c r="E795" s="17" t="str">
        <x:v>P04</x:v>
      </x:c>
      <x:c r="F795" s="17" t="str">
        <x:v>珠海中力新能源科技有限公司</x:v>
      </x:c>
      <x:c r="G795" s="17" t="str">
        <x:v>梯次利用</x:v>
      </x:c>
      <x:c r="H795" s="24" t="n">
        <x:v>113.5721327</x:v>
      </x:c>
      <x:c r="I795" s="24" t="n">
        <x:v>22.273734</x:v>
      </x:c>
      <x:c r="J795" s="21" t="n">
        <x:f>6371*ACOS(MIN(1,COS(D795*PI()/180)*COS(I795*PI()/180)*COS((H795-C795)*PI()/180)+SIN(D795*PI()/180)*SIN(I795*PI()/180)))</x:f>
        <x:v>165.57958735422196</x:v>
      </x:c>
      <x:c r="K795" s="21" t="n">
        <x:f>'情景参数模板'!$D$31</x:f>
        <x:v>1.2</x:v>
      </x:c>
      <x:c r="L795" s="21" t="n">
        <x:f>J795*K795</x:f>
        <x:v>198.69550482506634</x:v>
      </x:c>
    </x:row>
    <x:row r="796">
      <x:c r="A796" s="17" t="str">
        <x:v>GD18</x:v>
      </x:c>
      <x:c r="B796" s="17" t="str">
        <x:v>清远</x:v>
      </x:c>
      <x:c r="C796" s="24" t="n">
        <x:v>113.0505994</x:v>
      </x:c>
      <x:c r="D796" s="24" t="n">
        <x:v>23.6832984</x:v>
      </x:c>
      <x:c r="E796" s="17" t="str">
        <x:v>P05</x:v>
      </x:c>
      <x:c r="F796" s="17" t="str">
        <x:v>惠州市恒创睿能环保科技有限公司</x:v>
      </x:c>
      <x:c r="G796" s="17" t="str">
        <x:v>梯次利用</x:v>
      </x:c>
      <x:c r="H796" s="24" t="n">
        <x:v>114.4127007</x:v>
      </x:c>
      <x:c r="I796" s="24" t="n">
        <x:v>23.1125153</x:v>
      </x:c>
      <x:c r="J796" s="21" t="n">
        <x:f>6371*ACOS(MIN(1,COS(D796*PI()/180)*COS(I796*PI()/180)*COS((H796-C796)*PI()/180)+SIN(D796*PI()/180)*SIN(I796*PI()/180)))</x:f>
        <x:v>152.80699130297583</x:v>
      </x:c>
      <x:c r="K796" s="21" t="n">
        <x:f>'情景参数模板'!$D$31</x:f>
        <x:v>1.2</x:v>
      </x:c>
      <x:c r="L796" s="21" t="n">
        <x:f>J796*K796</x:f>
        <x:v>183.368389563571</x:v>
      </x:c>
    </x:row>
    <x:row r="797">
      <x:c r="A797" s="17" t="str">
        <x:v>GD18</x:v>
      </x:c>
      <x:c r="B797" s="17" t="str">
        <x:v>清远</x:v>
      </x:c>
      <x:c r="C797" s="24" t="n">
        <x:v>113.0505994</x:v>
      </x:c>
      <x:c r="D797" s="24" t="n">
        <x:v>23.6832984</x:v>
      </x:c>
      <x:c r="E797" s="17" t="str">
        <x:v>P06</x:v>
      </x:c>
      <x:c r="F797" s="17" t="str">
        <x:v>江门市朗达锂电池有限公司</x:v>
      </x:c>
      <x:c r="G797" s="17" t="str">
        <x:v>梯次利用</x:v>
      </x:c>
      <x:c r="H797" s="24" t="n">
        <x:v>113.0761073</x:v>
      </x:c>
      <x:c r="I797" s="24" t="n">
        <x:v>22.5816619</x:v>
      </x:c>
      <x:c r="J797" s="21" t="n">
        <x:f>6371*ACOS(MIN(1,COS(D797*PI()/180)*COS(I797*PI()/180)*COS((H797-C797)*PI()/180)+SIN(D797*PI()/180)*SIN(I797*PI()/180)))</x:f>
        <x:v>122.52415451208954</x:v>
      </x:c>
      <x:c r="K797" s="21" t="n">
        <x:f>'情景参数模板'!$D$31</x:f>
        <x:v>1.2</x:v>
      </x:c>
      <x:c r="L797" s="21" t="n">
        <x:f>J797*K797</x:f>
        <x:v>147.02898541450745</x:v>
      </x:c>
    </x:row>
    <x:row r="798">
      <x:c r="A798" s="17" t="str">
        <x:v>GD18</x:v>
      </x:c>
      <x:c r="B798" s="17" t="str">
        <x:v>清远</x:v>
      </x:c>
      <x:c r="C798" s="24" t="n">
        <x:v>113.0505994</x:v>
      </x:c>
      <x:c r="D798" s="24" t="n">
        <x:v>23.6832984</x:v>
      </x:c>
      <x:c r="E798" s="17" t="str">
        <x:v>P07</x:v>
      </x:c>
      <x:c r="F798" s="17" t="str">
        <x:v>广东迪度新能源有限公司</x:v>
      </x:c>
      <x:c r="G798" s="17" t="str">
        <x:v>梯次利用</x:v>
      </x:c>
      <x:c r="H798" s="24" t="n">
        <x:v>113.7452332</x:v>
      </x:c>
      <x:c r="I798" s="24" t="n">
        <x:v>23.0183568</x:v>
      </x:c>
      <x:c r="J798" s="21" t="n">
        <x:f>6371*ACOS(MIN(1,COS(D798*PI()/180)*COS(I798*PI()/180)*COS((H798-C798)*PI()/180)+SIN(D798*PI()/180)*SIN(I798*PI()/180)))</x:f>
        <x:v>102.44738181217072</x:v>
      </x:c>
      <x:c r="K798" s="21" t="n">
        <x:f>'情景参数模板'!$D$31</x:f>
        <x:v>1.2</x:v>
      </x:c>
      <x:c r="L798" s="21" t="n">
        <x:f>J798*K798</x:f>
        <x:v>122.93685817460485</x:v>
      </x:c>
    </x:row>
    <x:row r="799">
      <x:c r="A799" s="17" t="str">
        <x:v>GD18</x:v>
      </x:c>
      <x:c r="B799" s="17" t="str">
        <x:v>清远</x:v>
      </x:c>
      <x:c r="C799" s="24" t="n">
        <x:v>113.0505994</x:v>
      </x:c>
      <x:c r="D799" s="24" t="n">
        <x:v>23.6832984</x:v>
      </x:c>
      <x:c r="E799" s="17" t="str">
        <x:v>P08</x:v>
      </x:c>
      <x:c r="F799" s="17" t="str">
        <x:v>东莞市博森新能源有限公司</x:v>
      </x:c>
      <x:c r="G799" s="17" t="str">
        <x:v>梯次利用</x:v>
      </x:c>
      <x:c r="H799" s="24" t="n">
        <x:v>113.7452332</x:v>
      </x:c>
      <x:c r="I799" s="24" t="n">
        <x:v>23.0183568</x:v>
      </x:c>
      <x:c r="J799" s="21" t="n">
        <x:f>6371*ACOS(MIN(1,COS(D799*PI()/180)*COS(I799*PI()/180)*COS((H799-C799)*PI()/180)+SIN(D799*PI()/180)*SIN(I799*PI()/180)))</x:f>
        <x:v>102.44738181217072</x:v>
      </x:c>
      <x:c r="K799" s="21" t="n">
        <x:f>'情景参数模板'!$D$31</x:f>
        <x:v>1.2</x:v>
      </x:c>
      <x:c r="L799" s="21" t="n">
        <x:f>J799*K799</x:f>
        <x:v>122.93685817460485</x:v>
      </x:c>
    </x:row>
    <x:row r="800">
      <x:c r="A800" s="17" t="str">
        <x:v>GD18</x:v>
      </x:c>
      <x:c r="B800" s="17" t="str">
        <x:v>清远</x:v>
      </x:c>
      <x:c r="C800" s="24" t="n">
        <x:v>113.0505994</x:v>
      </x:c>
      <x:c r="D800" s="24" t="n">
        <x:v>23.6832984</x:v>
      </x:c>
      <x:c r="E800" s="17" t="str">
        <x:v>P09</x:v>
      </x:c>
      <x:c r="F800" s="17" t="str">
        <x:v>广东宇阳新能源有限公司</x:v>
      </x:c>
      <x:c r="G800" s="17" t="str">
        <x:v>梯次利用</x:v>
      </x:c>
      <x:c r="H800" s="24" t="n">
        <x:v>113.7452332</x:v>
      </x:c>
      <x:c r="I800" s="24" t="n">
        <x:v>23.0183568</x:v>
      </x:c>
      <x:c r="J800" s="21" t="n">
        <x:f>6371*ACOS(MIN(1,COS(D800*PI()/180)*COS(I800*PI()/180)*COS((H800-C800)*PI()/180)+SIN(D800*PI()/180)*SIN(I800*PI()/180)))</x:f>
        <x:v>102.44738181217072</x:v>
      </x:c>
      <x:c r="K800" s="21" t="n">
        <x:f>'情景参数模板'!$D$31</x:f>
        <x:v>1.2</x:v>
      </x:c>
      <x:c r="L800" s="21" t="n">
        <x:f>J800*K800</x:f>
        <x:v>122.93685817460485</x:v>
      </x:c>
    </x:row>
    <x:row r="801">
      <x:c r="A801" s="17" t="str">
        <x:v>GD18</x:v>
      </x:c>
      <x:c r="B801" s="17" t="str">
        <x:v>清远</x:v>
      </x:c>
      <x:c r="C801" s="24" t="n">
        <x:v>113.0505994</x:v>
      </x:c>
      <x:c r="D801" s="24" t="n">
        <x:v>23.6832984</x:v>
      </x:c>
      <x:c r="E801" s="17" t="str">
        <x:v>P10</x:v>
      </x:c>
      <x:c r="F801" s="17" t="str">
        <x:v>广州广汽商贸再生资源有限公司</x:v>
      </x:c>
      <x:c r="G801" s="17" t="str">
        <x:v>梯次利用</x:v>
      </x:c>
      <x:c r="H801" s="24" t="n">
        <x:v>113.2589581</x:v>
      </x:c>
      <x:c r="I801" s="24" t="n">
        <x:v>23.1288429</x:v>
      </x:c>
      <x:c r="J801" s="21" t="n">
        <x:f>6371*ACOS(MIN(1,COS(D801*PI()/180)*COS(I801*PI()/180)*COS((H801-C801)*PI()/180)+SIN(D801*PI()/180)*SIN(I801*PI()/180)))</x:f>
        <x:v>65.21589659147114</x:v>
      </x:c>
      <x:c r="K801" s="21" t="n">
        <x:f>'情景参数模板'!$D$31</x:f>
        <x:v>1.2</x:v>
      </x:c>
      <x:c r="L801" s="21" t="n">
        <x:f>J801*K801</x:f>
        <x:v>78.25907590976536</x:v>
      </x:c>
    </x:row>
    <x:row r="802">
      <x:c r="A802" s="17" t="str">
        <x:v>GD18</x:v>
      </x:c>
      <x:c r="B802" s="17" t="str">
        <x:v>清远</x:v>
      </x:c>
      <x:c r="C802" s="24" t="n">
        <x:v>113.0505994</x:v>
      </x:c>
      <x:c r="D802" s="24" t="n">
        <x:v>23.6832984</x:v>
      </x:c>
      <x:c r="E802" s="17" t="str">
        <x:v>P11</x:v>
      </x:c>
      <x:c r="F802" s="17" t="str">
        <x:v>深圳市杰成镍钴新能源科技有限公司</x:v>
      </x:c>
      <x:c r="G802" s="17" t="str">
        <x:v>梯次利用</x:v>
      </x:c>
      <x:c r="H802" s="24" t="n">
        <x:v>114.0545429</x:v>
      </x:c>
      <x:c r="I802" s="24" t="n">
        <x:v>22.5445741</x:v>
      </x:c>
      <x:c r="J802" s="21" t="n">
        <x:f>6371*ACOS(MIN(1,COS(D802*PI()/180)*COS(I802*PI()/180)*COS((H802-C802)*PI()/180)+SIN(D802*PI()/180)*SIN(I802*PI()/180)))</x:f>
        <x:v>163.01445483081335</x:v>
      </x:c>
      <x:c r="K802" s="21" t="n">
        <x:f>'情景参数模板'!$D$31</x:f>
        <x:v>1.2</x:v>
      </x:c>
      <x:c r="L802" s="21" t="n">
        <x:f>J802*K802</x:f>
        <x:v>195.61734579697602</x:v>
      </x:c>
    </x:row>
    <x:row r="803">
      <x:c r="A803" s="17" t="str">
        <x:v>GD18</x:v>
      </x:c>
      <x:c r="B803" s="17" t="str">
        <x:v>清远</x:v>
      </x:c>
      <x:c r="C803" s="24" t="n">
        <x:v>113.0505994</x:v>
      </x:c>
      <x:c r="D803" s="24" t="n">
        <x:v>23.6832984</x:v>
      </x:c>
      <x:c r="E803" s="17" t="str">
        <x:v>P12</x:v>
      </x:c>
      <x:c r="F803" s="17" t="str">
        <x:v>江门市恒创睿能环保科技有限公司</x:v>
      </x:c>
      <x:c r="G803" s="17" t="str">
        <x:v>再生利用</x:v>
      </x:c>
      <x:c r="H803" s="24" t="n">
        <x:v>113.0761073</x:v>
      </x:c>
      <x:c r="I803" s="24" t="n">
        <x:v>22.5816619</x:v>
      </x:c>
      <x:c r="J803" s="21" t="n">
        <x:f>6371*ACOS(MIN(1,COS(D803*PI()/180)*COS(I803*PI()/180)*COS((H803-C803)*PI()/180)+SIN(D803*PI()/180)*SIN(I803*PI()/180)))</x:f>
        <x:v>122.52415451208954</x:v>
      </x:c>
      <x:c r="K803" s="21" t="n">
        <x:f>'情景参数模板'!$D$31</x:f>
        <x:v>1.2</x:v>
      </x:c>
      <x:c r="L803" s="21" t="n">
        <x:f>J803*K803</x:f>
        <x:v>147.02898541450745</x:v>
      </x:c>
    </x:row>
    <x:row r="804">
      <x:c r="A804" s="17" t="str">
        <x:v>GD18</x:v>
      </x:c>
      <x:c r="B804" s="17" t="str">
        <x:v>清远</x:v>
      </x:c>
      <x:c r="C804" s="24" t="n">
        <x:v>113.0505994</x:v>
      </x:c>
      <x:c r="D804" s="24" t="n">
        <x:v>23.6832984</x:v>
      </x:c>
      <x:c r="E804" s="17" t="str">
        <x:v>P13</x:v>
      </x:c>
      <x:c r="F804" s="17" t="str">
        <x:v>广东佳纳能源科技有限公司</x:v>
      </x:c>
      <x:c r="G804" s="17" t="str">
        <x:v>再生利用</x:v>
      </x:c>
      <x:c r="H804" s="24" t="n">
        <x:v>113.0505994</x:v>
      </x:c>
      <x:c r="I804" s="24" t="n">
        <x:v>23.6832984</x:v>
      </x:c>
      <x:c r="J804" s="21" t="n">
        <x:f>6371*ACOS(MIN(1,COS(D804*PI()/180)*COS(I804*PI()/180)*COS((H804-C804)*PI()/180)+SIN(D804*PI()/180)*SIN(I804*PI()/180)))</x:f>
        <x:v>0</x:v>
      </x:c>
      <x:c r="K804" s="21" t="n">
        <x:f>'情景参数模板'!$D$31</x:f>
        <x:v>1.2</x:v>
      </x:c>
      <x:c r="L804" s="21" t="n">
        <x:f>J804*K804</x:f>
        <x:v>0</x:v>
      </x:c>
    </x:row>
    <x:row r="805">
      <x:c r="A805" s="17" t="str">
        <x:v>GD18</x:v>
      </x:c>
      <x:c r="B805" s="17" t="str">
        <x:v>清远</x:v>
      </x:c>
      <x:c r="C805" s="24" t="n">
        <x:v>113.0505994</x:v>
      </x:c>
      <x:c r="D805" s="24" t="n">
        <x:v>23.6832984</x:v>
      </x:c>
      <x:c r="E805" s="17" t="str">
        <x:v>P14</x:v>
      </x:c>
      <x:c r="F805" s="17" t="str">
        <x:v>格林美（深圳）循环科技有限公司</x:v>
      </x:c>
      <x:c r="G805" s="17" t="str">
        <x:v>梯次利用</x:v>
      </x:c>
      <x:c r="H805" s="24" t="n">
        <x:v>114.0545429</x:v>
      </x:c>
      <x:c r="I805" s="24" t="n">
        <x:v>22.5445741</x:v>
      </x:c>
      <x:c r="J805" s="21" t="n">
        <x:f>6371*ACOS(MIN(1,COS(D805*PI()/180)*COS(I805*PI()/180)*COS((H805-C805)*PI()/180)+SIN(D805*PI()/180)*SIN(I805*PI()/180)))</x:f>
        <x:v>163.01445483081335</x:v>
      </x:c>
      <x:c r="K805" s="21" t="n">
        <x:f>'情景参数模板'!$D$31</x:f>
        <x:v>1.2</x:v>
      </x:c>
      <x:c r="L805" s="21" t="n">
        <x:f>J805*K805</x:f>
        <x:v>195.61734579697602</x:v>
      </x:c>
    </x:row>
    <x:row r="806">
      <x:c r="A806" s="17" t="str">
        <x:v>GD18</x:v>
      </x:c>
      <x:c r="B806" s="17" t="str">
        <x:v>清远</x:v>
      </x:c>
      <x:c r="C806" s="24" t="n">
        <x:v>113.0505994</x:v>
      </x:c>
      <x:c r="D806" s="24" t="n">
        <x:v>23.6832984</x:v>
      </x:c>
      <x:c r="E806" s="17" t="str">
        <x:v>P15</x:v>
      </x:c>
      <x:c r="F806" s="17" t="str">
        <x:v>绿循新能源科技（佛山）有限责任公司</x:v>
      </x:c>
      <x:c r="G806" s="17" t="str">
        <x:v>梯次利用</x:v>
      </x:c>
      <x:c r="H806" s="24" t="n">
        <x:v>113.1159558</x:v>
      </x:c>
      <x:c r="I806" s="24" t="n">
        <x:v>23.0239788</x:v>
      </x:c>
      <x:c r="J806" s="21" t="n">
        <x:f>6371*ACOS(MIN(1,COS(D806*PI()/180)*COS(I806*PI()/180)*COS((H806-C806)*PI()/180)+SIN(D806*PI()/180)*SIN(I806*PI()/180)))</x:f>
        <x:v>73.61595665399058</x:v>
      </x:c>
      <x:c r="K806" s="21" t="n">
        <x:f>'情景参数模板'!$D$31</x:f>
        <x:v>1.2</x:v>
      </x:c>
      <x:c r="L806" s="21" t="n">
        <x:f>J806*K806</x:f>
        <x:v>88.3391479847887</x:v>
      </x:c>
    </x:row>
    <x:row r="807">
      <x:c r="A807" s="17" t="str">
        <x:v>GD18</x:v>
      </x:c>
      <x:c r="B807" s="17" t="str">
        <x:v>清远</x:v>
      </x:c>
      <x:c r="C807" s="24" t="n">
        <x:v>113.0505994</x:v>
      </x:c>
      <x:c r="D807" s="24" t="n">
        <x:v>23.6832984</x:v>
      </x:c>
      <x:c r="E807" s="17" t="str">
        <x:v>P16</x:v>
      </x:c>
      <x:c r="F807" s="17" t="str">
        <x:v>深圳艾云动智慧科技有限公司</x:v>
      </x:c>
      <x:c r="G807" s="17" t="str">
        <x:v>梯次利用</x:v>
      </x:c>
      <x:c r="H807" s="24" t="n">
        <x:v>114.0545429</x:v>
      </x:c>
      <x:c r="I807" s="24" t="n">
        <x:v>22.5445741</x:v>
      </x:c>
      <x:c r="J807" s="21" t="n">
        <x:f>6371*ACOS(MIN(1,COS(D807*PI()/180)*COS(I807*PI()/180)*COS((H807-C807)*PI()/180)+SIN(D807*PI()/180)*SIN(I807*PI()/180)))</x:f>
        <x:v>163.01445483081335</x:v>
      </x:c>
      <x:c r="K807" s="21" t="n">
        <x:f>'情景参数模板'!$D$31</x:f>
        <x:v>1.2</x:v>
      </x:c>
      <x:c r="L807" s="21" t="n">
        <x:f>J807*K807</x:f>
        <x:v>195.61734579697602</x:v>
      </x:c>
    </x:row>
    <x:row r="808">
      <x:c r="A808" s="17" t="str">
        <x:v>GD18</x:v>
      </x:c>
      <x:c r="B808" s="17" t="str">
        <x:v>清远</x:v>
      </x:c>
      <x:c r="C808" s="24" t="n">
        <x:v>113.0505994</x:v>
      </x:c>
      <x:c r="D808" s="24" t="n">
        <x:v>23.6832984</x:v>
      </x:c>
      <x:c r="E808" s="17" t="str">
        <x:v>P17</x:v>
      </x:c>
      <x:c r="F808" s="17" t="str">
        <x:v>深圳市荣高晟新能源科技有限公司</x:v>
      </x:c>
      <x:c r="G808" s="17" t="str">
        <x:v>梯次利用</x:v>
      </x:c>
      <x:c r="H808" s="24" t="n">
        <x:v>114.0545429</x:v>
      </x:c>
      <x:c r="I808" s="24" t="n">
        <x:v>22.5445741</x:v>
      </x:c>
      <x:c r="J808" s="21" t="n">
        <x:f>6371*ACOS(MIN(1,COS(D808*PI()/180)*COS(I808*PI()/180)*COS((H808-C808)*PI()/180)+SIN(D808*PI()/180)*SIN(I808*PI()/180)))</x:f>
        <x:v>163.01445483081335</x:v>
      </x:c>
      <x:c r="K808" s="21" t="n">
        <x:f>'情景参数模板'!$D$31</x:f>
        <x:v>1.2</x:v>
      </x:c>
      <x:c r="L808" s="21" t="n">
        <x:f>J808*K808</x:f>
        <x:v>195.61734579697602</x:v>
      </x:c>
    </x:row>
    <x:row r="809">
      <x:c r="A809" s="17" t="str">
        <x:v>GD18</x:v>
      </x:c>
      <x:c r="B809" s="17" t="str">
        <x:v>清远</x:v>
      </x:c>
      <x:c r="C809" s="24" t="n">
        <x:v>113.0505994</x:v>
      </x:c>
      <x:c r="D809" s="24" t="n">
        <x:v>23.6832984</x:v>
      </x:c>
      <x:c r="E809" s="17" t="str">
        <x:v>P18</x:v>
      </x:c>
      <x:c r="F809" s="17" t="str">
        <x:v>中商锂新能源科技（惠州）有限公司</x:v>
      </x:c>
      <x:c r="G809" s="17" t="str">
        <x:v>梯次利用</x:v>
      </x:c>
      <x:c r="H809" s="24" t="n">
        <x:v>114.4127007</x:v>
      </x:c>
      <x:c r="I809" s="24" t="n">
        <x:v>23.1125153</x:v>
      </x:c>
      <x:c r="J809" s="21" t="n">
        <x:f>6371*ACOS(MIN(1,COS(D809*PI()/180)*COS(I809*PI()/180)*COS((H809-C809)*PI()/180)+SIN(D809*PI()/180)*SIN(I809*PI()/180)))</x:f>
        <x:v>152.80699130297583</x:v>
      </x:c>
      <x:c r="K809" s="21" t="n">
        <x:f>'情景参数模板'!$D$31</x:f>
        <x:v>1.2</x:v>
      </x:c>
      <x:c r="L809" s="21" t="n">
        <x:f>J809*K809</x:f>
        <x:v>183.368389563571</x:v>
      </x:c>
    </x:row>
    <x:row r="810">
      <x:c r="A810" s="17" t="str">
        <x:v>GD18</x:v>
      </x:c>
      <x:c r="B810" s="17" t="str">
        <x:v>清远</x:v>
      </x:c>
      <x:c r="C810" s="24" t="n">
        <x:v>113.0505994</x:v>
      </x:c>
      <x:c r="D810" s="24" t="n">
        <x:v>23.6832984</x:v>
      </x:c>
      <x:c r="E810" s="17" t="str">
        <x:v>P19</x:v>
      </x:c>
      <x:c r="F810" s="17" t="str">
        <x:v>广东盛祥新材料科技有限公司</x:v>
      </x:c>
      <x:c r="G810" s="17" t="str">
        <x:v>再生利用</x:v>
      </x:c>
      <x:c r="H810" s="24" t="n">
        <x:v>113.8155263</x:v>
      </x:c>
      <x:c r="I810" s="24" t="n">
        <x:v>24.8309489</x:v>
      </x:c>
      <x:c r="J810" s="21" t="n">
        <x:f>6371*ACOS(MIN(1,COS(D810*PI()/180)*COS(I810*PI()/180)*COS((H810-C810)*PI()/180)+SIN(D810*PI()/180)*SIN(I810*PI()/180)))</x:f>
        <x:v>149.32572957361296</x:v>
      </x:c>
      <x:c r="K810" s="21" t="n">
        <x:f>'情景参数模板'!$D$31</x:f>
        <x:v>1.2</x:v>
      </x:c>
      <x:c r="L810" s="21" t="n">
        <x:f>J810*K810</x:f>
        <x:v>179.19087548833554</x:v>
      </x:c>
    </x:row>
    <x:row r="811">
      <x:c r="A811" s="17" t="str">
        <x:v>GD18</x:v>
      </x:c>
      <x:c r="B811" s="17" t="str">
        <x:v>清远</x:v>
      </x:c>
      <x:c r="C811" s="24" t="n">
        <x:v>113.0505994</x:v>
      </x:c>
      <x:c r="D811" s="24" t="n">
        <x:v>23.6832984</x:v>
      </x:c>
      <x:c r="E811" s="17" t="str">
        <x:v>P20E</x:v>
      </x:c>
      <x:c r="F811" s="17" t="str">
        <x:v>广东金晟新能源股份有限公司（梯次功能）</x:v>
      </x:c>
      <x:c r="G811" s="17" t="str">
        <x:v>梯次利用</x:v>
      </x:c>
      <x:c r="H811" s="24" t="n">
        <x:v>112.4603629</x:v>
      </x:c>
      <x:c r="I811" s="24" t="n">
        <x:v>23.0501661</x:v>
      </x:c>
      <x:c r="J811" s="21" t="n">
        <x:f>6371*ACOS(MIN(1,COS(D811*PI()/180)*COS(I811*PI()/180)*COS((H811-C811)*PI()/180)+SIN(D811*PI()/180)*SIN(I811*PI()/180)))</x:f>
        <x:v>92.66143114992624</x:v>
      </x:c>
      <x:c r="K811" s="21" t="n">
        <x:f>'情景参数模板'!$D$31</x:f>
        <x:v>1.2</x:v>
      </x:c>
      <x:c r="L811" s="21" t="n">
        <x:f>J811*K811</x:f>
        <x:v>111.19371737991149</x:v>
      </x:c>
    </x:row>
    <x:row r="812">
      <x:c r="A812" s="17" t="str">
        <x:v>GD18</x:v>
      </x:c>
      <x:c r="B812" s="17" t="str">
        <x:v>清远</x:v>
      </x:c>
      <x:c r="C812" s="24" t="n">
        <x:v>113.0505994</x:v>
      </x:c>
      <x:c r="D812" s="24" t="n">
        <x:v>23.6832984</x:v>
      </x:c>
      <x:c r="E812" s="17" t="str">
        <x:v>P20R</x:v>
      </x:c>
      <x:c r="F812" s="17" t="str">
        <x:v>广东金晟新能源股份有限公司（再生功能）</x:v>
      </x:c>
      <x:c r="G812" s="17" t="str">
        <x:v>再生利用</x:v>
      </x:c>
      <x:c r="H812" s="24" t="n">
        <x:v>112.4603629</x:v>
      </x:c>
      <x:c r="I812" s="24" t="n">
        <x:v>23.0501661</x:v>
      </x:c>
      <x:c r="J812" s="21" t="n">
        <x:f>6371*ACOS(MIN(1,COS(D812*PI()/180)*COS(I812*PI()/180)*COS((H812-C812)*PI()/180)+SIN(D812*PI()/180)*SIN(I812*PI()/180)))</x:f>
        <x:v>92.66143114992624</x:v>
      </x:c>
      <x:c r="K812" s="21" t="n">
        <x:f>'情景参数模板'!$D$31</x:f>
        <x:v>1.2</x:v>
      </x:c>
      <x:c r="L812" s="21" t="n">
        <x:f>J812*K812</x:f>
        <x:v>111.19371737991149</x:v>
      </x:c>
    </x:row>
    <x:row r="813">
      <x:c r="A813" s="17" t="str">
        <x:v>GD18</x:v>
      </x:c>
      <x:c r="B813" s="17" t="str">
        <x:v>清远</x:v>
      </x:c>
      <x:c r="C813" s="24" t="n">
        <x:v>113.0505994</x:v>
      </x:c>
      <x:c r="D813" s="24" t="n">
        <x:v>23.6832984</x:v>
      </x:c>
      <x:c r="E813" s="17" t="str">
        <x:v>P21E</x:v>
      </x:c>
      <x:c r="F813" s="17" t="str">
        <x:v>广东瑞科美电源技术有限公司（梯次功能）</x:v>
      </x:c>
      <x:c r="G813" s="17" t="str">
        <x:v>梯次利用</x:v>
      </x:c>
      <x:c r="H813" s="24" t="n">
        <x:v>113.1159558</x:v>
      </x:c>
      <x:c r="I813" s="24" t="n">
        <x:v>23.0239788</x:v>
      </x:c>
      <x:c r="J813" s="21" t="n">
        <x:f>6371*ACOS(MIN(1,COS(D813*PI()/180)*COS(I813*PI()/180)*COS((H813-C813)*PI()/180)+SIN(D813*PI()/180)*SIN(I813*PI()/180)))</x:f>
        <x:v>73.61595665399058</x:v>
      </x:c>
      <x:c r="K813" s="21" t="n">
        <x:f>'情景参数模板'!$D$31</x:f>
        <x:v>1.2</x:v>
      </x:c>
      <x:c r="L813" s="21" t="n">
        <x:f>J813*K813</x:f>
        <x:v>88.3391479847887</x:v>
      </x:c>
    </x:row>
    <x:row r="814">
      <x:c r="A814" s="17" t="str">
        <x:v>GD18</x:v>
      </x:c>
      <x:c r="B814" s="17" t="str">
        <x:v>清远</x:v>
      </x:c>
      <x:c r="C814" s="24" t="n">
        <x:v>113.0505994</x:v>
      </x:c>
      <x:c r="D814" s="24" t="n">
        <x:v>23.6832984</x:v>
      </x:c>
      <x:c r="E814" s="17" t="str">
        <x:v>P21R</x:v>
      </x:c>
      <x:c r="F814" s="17" t="str">
        <x:v>广东瑞科美电源技术有限公司（再生功能）</x:v>
      </x:c>
      <x:c r="G814" s="17" t="str">
        <x:v>再生利用</x:v>
      </x:c>
      <x:c r="H814" s="24" t="n">
        <x:v>113.1159558</x:v>
      </x:c>
      <x:c r="I814" s="24" t="n">
        <x:v>23.0239788</x:v>
      </x:c>
      <x:c r="J814" s="21" t="n">
        <x:f>6371*ACOS(MIN(1,COS(D814*PI()/180)*COS(I814*PI()/180)*COS((H814-C814)*PI()/180)+SIN(D814*PI()/180)*SIN(I814*PI()/180)))</x:f>
        <x:v>73.61595665399058</x:v>
      </x:c>
      <x:c r="K814" s="21" t="n">
        <x:f>'情景参数模板'!$D$31</x:f>
        <x:v>1.2</x:v>
      </x:c>
      <x:c r="L814" s="21" t="n">
        <x:f>J814*K814</x:f>
        <x:v>88.3391479847887</x:v>
      </x:c>
    </x:row>
    <x:row r="815">
      <x:c r="A815" s="17" t="str">
        <x:v>GD19</x:v>
      </x:c>
      <x:c r="B815" s="17" t="str">
        <x:v>潮州</x:v>
      </x:c>
      <x:c r="C815" s="24" t="n">
        <x:v>116.6204223</x:v>
      </x:c>
      <x:c r="D815" s="24" t="n">
        <x:v>23.656593</x:v>
      </x:c>
      <x:c r="E815" s="17" t="str">
        <x:v>C01</x:v>
      </x:c>
      <x:c r="F815" s="17" t="str">
        <x:v>广州虚拟回收/检测中心</x:v>
      </x:c>
      <x:c r="G815" s="17" t="str">
        <x:v>回收中心候选</x:v>
      </x:c>
      <x:c r="H815" s="24" t="n">
        <x:v>113.2589581</x:v>
      </x:c>
      <x:c r="I815" s="24" t="n">
        <x:v>23.1288429</x:v>
      </x:c>
      <x:c r="J815" s="21" t="n">
        <x:f>6371*ACOS(MIN(1,COS(D815*PI()/180)*COS(I815*PI()/180)*COS((H815-C815)*PI()/180)+SIN(D815*PI()/180)*SIN(I815*PI()/180)))</x:f>
        <x:v>348.02861264383995</x:v>
      </x:c>
      <x:c r="K815" s="21" t="n">
        <x:f>'情景参数模板'!$D$31</x:f>
        <x:v>1.2</x:v>
      </x:c>
      <x:c r="L815" s="21" t="n">
        <x:f>J815*K815</x:f>
        <x:v>417.6343351726079</x:v>
      </x:c>
    </x:row>
    <x:row r="816">
      <x:c r="A816" s="17" t="str">
        <x:v>GD19</x:v>
      </x:c>
      <x:c r="B816" s="17" t="str">
        <x:v>潮州</x:v>
      </x:c>
      <x:c r="C816" s="24" t="n">
        <x:v>116.6204223</x:v>
      </x:c>
      <x:c r="D816" s="24" t="n">
        <x:v>23.656593</x:v>
      </x:c>
      <x:c r="E816" s="17" t="str">
        <x:v>C02</x:v>
      </x:c>
      <x:c r="F816" s="17" t="str">
        <x:v>深圳虚拟回收/检测中心</x:v>
      </x:c>
      <x:c r="G816" s="17" t="str">
        <x:v>回收中心候选</x:v>
      </x:c>
      <x:c r="H816" s="24" t="n">
        <x:v>114.0545429</x:v>
      </x:c>
      <x:c r="I816" s="24" t="n">
        <x:v>22.5445741</x:v>
      </x:c>
      <x:c r="J816" s="21" t="n">
        <x:f>6371*ACOS(MIN(1,COS(D816*PI()/180)*COS(I816*PI()/180)*COS((H816-C816)*PI()/180)+SIN(D816*PI()/180)*SIN(I816*PI()/180)))</x:f>
        <x:v>290.0980995679465</x:v>
      </x:c>
      <x:c r="K816" s="21" t="n">
        <x:f>'情景参数模板'!$D$31</x:f>
        <x:v>1.2</x:v>
      </x:c>
      <x:c r="L816" s="21" t="n">
        <x:f>J816*K816</x:f>
        <x:v>348.1177194815358</x:v>
      </x:c>
    </x:row>
    <x:row r="817">
      <x:c r="A817" s="17" t="str">
        <x:v>GD19</x:v>
      </x:c>
      <x:c r="B817" s="17" t="str">
        <x:v>潮州</x:v>
      </x:c>
      <x:c r="C817" s="24" t="n">
        <x:v>116.6204223</x:v>
      </x:c>
      <x:c r="D817" s="24" t="n">
        <x:v>23.656593</x:v>
      </x:c>
      <x:c r="E817" s="17" t="str">
        <x:v>C03</x:v>
      </x:c>
      <x:c r="F817" s="17" t="str">
        <x:v>珠海虚拟回收/检测中心</x:v>
      </x:c>
      <x:c r="G817" s="17" t="str">
        <x:v>回收中心候选</x:v>
      </x:c>
      <x:c r="H817" s="24" t="n">
        <x:v>113.5721327</x:v>
      </x:c>
      <x:c r="I817" s="24" t="n">
        <x:v>22.273734</x:v>
      </x:c>
      <x:c r="J817" s="21" t="n">
        <x:f>6371*ACOS(MIN(1,COS(D817*PI()/180)*COS(I817*PI()/180)*COS((H817-C817)*PI()/180)+SIN(D817*PI()/180)*SIN(I817*PI()/180)))</x:f>
        <x:v>347.89853925176067</x:v>
      </x:c>
      <x:c r="K817" s="21" t="n">
        <x:f>'情景参数模板'!$D$31</x:f>
        <x:v>1.2</x:v>
      </x:c>
      <x:c r="L817" s="21" t="n">
        <x:f>J817*K817</x:f>
        <x:v>417.4782471021128</x:v>
      </x:c>
    </x:row>
    <x:row r="818">
      <x:c r="A818" s="17" t="str">
        <x:v>GD19</x:v>
      </x:c>
      <x:c r="B818" s="17" t="str">
        <x:v>潮州</x:v>
      </x:c>
      <x:c r="C818" s="24" t="n">
        <x:v>116.6204223</x:v>
      </x:c>
      <x:c r="D818" s="24" t="n">
        <x:v>23.656593</x:v>
      </x:c>
      <x:c r="E818" s="17" t="str">
        <x:v>C04</x:v>
      </x:c>
      <x:c r="F818" s="17" t="str">
        <x:v>汕头虚拟回收/检测中心</x:v>
      </x:c>
      <x:c r="G818" s="17" t="str">
        <x:v>回收中心候选</x:v>
      </x:c>
      <x:c r="H818" s="24" t="n">
        <x:v>116.6775856</x:v>
      </x:c>
      <x:c r="I818" s="24" t="n">
        <x:v>23.3563921</x:v>
      </x:c>
      <x:c r="J818" s="21" t="n">
        <x:f>6371*ACOS(MIN(1,COS(D818*PI()/180)*COS(I818*PI()/180)*COS((H818-C818)*PI()/180)+SIN(D818*PI()/180)*SIN(I818*PI()/180)))</x:f>
        <x:v>33.88589168759266</x:v>
      </x:c>
      <x:c r="K818" s="21" t="n">
        <x:f>'情景参数模板'!$D$31</x:f>
        <x:v>1.2</x:v>
      </x:c>
      <x:c r="L818" s="21" t="n">
        <x:f>J818*K818</x:f>
        <x:v>40.66307002511119</x:v>
      </x:c>
    </x:row>
    <x:row r="819">
      <x:c r="A819" s="17" t="str">
        <x:v>GD19</x:v>
      </x:c>
      <x:c r="B819" s="17" t="str">
        <x:v>潮州</x:v>
      </x:c>
      <x:c r="C819" s="24" t="n">
        <x:v>116.6204223</x:v>
      </x:c>
      <x:c r="D819" s="24" t="n">
        <x:v>23.656593</x:v>
      </x:c>
      <x:c r="E819" s="17" t="str">
        <x:v>C05</x:v>
      </x:c>
      <x:c r="F819" s="17" t="str">
        <x:v>佛山虚拟回收/检测中心</x:v>
      </x:c>
      <x:c r="G819" s="17" t="str">
        <x:v>回收中心候选</x:v>
      </x:c>
      <x:c r="H819" s="24" t="n">
        <x:v>113.1159558</x:v>
      </x:c>
      <x:c r="I819" s="24" t="n">
        <x:v>23.0239788</x:v>
      </x:c>
      <x:c r="J819" s="21" t="n">
        <x:f>6371*ACOS(MIN(1,COS(D819*PI()/180)*COS(I819*PI()/180)*COS((H819-C819)*PI()/180)+SIN(D819*PI()/180)*SIN(I819*PI()/180)))</x:f>
        <x:v>364.62871927074957</x:v>
      </x:c>
      <x:c r="K819" s="21" t="n">
        <x:f>'情景参数模板'!$D$31</x:f>
        <x:v>1.2</x:v>
      </x:c>
      <x:c r="L819" s="21" t="n">
        <x:f>J819*K819</x:f>
        <x:v>437.5544631248995</x:v>
      </x:c>
    </x:row>
    <x:row r="820">
      <x:c r="A820" s="17" t="str">
        <x:v>GD19</x:v>
      </x:c>
      <x:c r="B820" s="17" t="str">
        <x:v>潮州</x:v>
      </x:c>
      <x:c r="C820" s="24" t="n">
        <x:v>116.6204223</x:v>
      </x:c>
      <x:c r="D820" s="24" t="n">
        <x:v>23.656593</x:v>
      </x:c>
      <x:c r="E820" s="17" t="str">
        <x:v>C06</x:v>
      </x:c>
      <x:c r="F820" s="17" t="str">
        <x:v>韶关虚拟回收/检测中心</x:v>
      </x:c>
      <x:c r="G820" s="17" t="str">
        <x:v>回收中心候选</x:v>
      </x:c>
      <x:c r="H820" s="24" t="n">
        <x:v>113.8155263</x:v>
      </x:c>
      <x:c r="I820" s="24" t="n">
        <x:v>24.8309489</x:v>
      </x:c>
      <x:c r="J820" s="21" t="n">
        <x:f>6371*ACOS(MIN(1,COS(D820*PI()/180)*COS(I820*PI()/180)*COS((H820-C820)*PI()/180)+SIN(D820*PI()/180)*SIN(I820*PI()/180)))</x:f>
        <x:v>312.91933151179103</x:v>
      </x:c>
      <x:c r="K820" s="21" t="n">
        <x:f>'情景参数模板'!$D$31</x:f>
        <x:v>1.2</x:v>
      </x:c>
      <x:c r="L820" s="21" t="n">
        <x:f>J820*K820</x:f>
        <x:v>375.50319781414925</x:v>
      </x:c>
    </x:row>
    <x:row r="821">
      <x:c r="A821" s="17" t="str">
        <x:v>GD19</x:v>
      </x:c>
      <x:c r="B821" s="17" t="str">
        <x:v>潮州</x:v>
      </x:c>
      <x:c r="C821" s="24" t="n">
        <x:v>116.6204223</x:v>
      </x:c>
      <x:c r="D821" s="24" t="n">
        <x:v>23.656593</x:v>
      </x:c>
      <x:c r="E821" s="17" t="str">
        <x:v>C07</x:v>
      </x:c>
      <x:c r="F821" s="17" t="str">
        <x:v>河源虚拟回收/检测中心</x:v>
      </x:c>
      <x:c r="G821" s="17" t="str">
        <x:v>回收中心候选</x:v>
      </x:c>
      <x:c r="H821" s="24" t="n">
        <x:v>115.0577538</x:v>
      </x:c>
      <x:c r="I821" s="24" t="n">
        <x:v>24.1014769</x:v>
      </x:c>
      <x:c r="J821" s="21" t="n">
        <x:f>6371*ACOS(MIN(1,COS(D821*PI()/180)*COS(I821*PI()/180)*COS((H821-C821)*PI()/180)+SIN(D821*PI()/180)*SIN(I821*PI()/180)))</x:f>
        <x:v>166.40873636630144</x:v>
      </x:c>
      <x:c r="K821" s="21" t="n">
        <x:f>'情景参数模板'!$D$31</x:f>
        <x:v>1.2</x:v>
      </x:c>
      <x:c r="L821" s="21" t="n">
        <x:f>J821*K821</x:f>
        <x:v>199.69048363956173</x:v>
      </x:c>
    </x:row>
    <x:row r="822">
      <x:c r="A822" s="17" t="str">
        <x:v>GD19</x:v>
      </x:c>
      <x:c r="B822" s="17" t="str">
        <x:v>潮州</x:v>
      </x:c>
      <x:c r="C822" s="24" t="n">
        <x:v>116.6204223</x:v>
      </x:c>
      <x:c r="D822" s="24" t="n">
        <x:v>23.656593</x:v>
      </x:c>
      <x:c r="E822" s="17" t="str">
        <x:v>C08</x:v>
      </x:c>
      <x:c r="F822" s="17" t="str">
        <x:v>梅州虚拟回收/检测中心</x:v>
      </x:c>
      <x:c r="G822" s="17" t="str">
        <x:v>回收中心候选</x:v>
      </x:c>
      <x:c r="H822" s="24" t="n">
        <x:v>116.1171428</x:v>
      </x:c>
      <x:c r="I822" s="24" t="n">
        <x:v>24.2918414</x:v>
      </x:c>
      <x:c r="J822" s="21" t="n">
        <x:f>6371*ACOS(MIN(1,COS(D822*PI()/180)*COS(I822*PI()/180)*COS((H822-C822)*PI()/180)+SIN(D822*PI()/180)*SIN(I822*PI()/180)))</x:f>
        <x:v>87.2018364205848</x:v>
      </x:c>
      <x:c r="K822" s="21" t="n">
        <x:f>'情景参数模板'!$D$31</x:f>
        <x:v>1.2</x:v>
      </x:c>
      <x:c r="L822" s="21" t="n">
        <x:f>J822*K822</x:f>
        <x:v>104.64220370470176</x:v>
      </x:c>
    </x:row>
    <x:row r="823">
      <x:c r="A823" s="17" t="str">
        <x:v>GD19</x:v>
      </x:c>
      <x:c r="B823" s="17" t="str">
        <x:v>潮州</x:v>
      </x:c>
      <x:c r="C823" s="24" t="n">
        <x:v>116.6204223</x:v>
      </x:c>
      <x:c r="D823" s="24" t="n">
        <x:v>23.656593</x:v>
      </x:c>
      <x:c r="E823" s="17" t="str">
        <x:v>C09</x:v>
      </x:c>
      <x:c r="F823" s="17" t="str">
        <x:v>惠州虚拟回收/检测中心</x:v>
      </x:c>
      <x:c r="G823" s="17" t="str">
        <x:v>回收中心候选</x:v>
      </x:c>
      <x:c r="H823" s="24" t="n">
        <x:v>114.4127007</x:v>
      </x:c>
      <x:c r="I823" s="24" t="n">
        <x:v>23.1125153</x:v>
      </x:c>
      <x:c r="J823" s="21" t="n">
        <x:f>6371*ACOS(MIN(1,COS(D823*PI()/180)*COS(I823*PI()/180)*COS((H823-C823)*PI()/180)+SIN(D823*PI()/180)*SIN(I823*PI()/180)))</x:f>
        <x:v>233.30064071473075</x:v>
      </x:c>
      <x:c r="K823" s="21" t="n">
        <x:f>'情景参数模板'!$D$31</x:f>
        <x:v>1.2</x:v>
      </x:c>
      <x:c r="L823" s="21" t="n">
        <x:f>J823*K823</x:f>
        <x:v>279.9607688576769</x:v>
      </x:c>
    </x:row>
    <x:row r="824">
      <x:c r="A824" s="17" t="str">
        <x:v>GD19</x:v>
      </x:c>
      <x:c r="B824" s="17" t="str">
        <x:v>潮州</x:v>
      </x:c>
      <x:c r="C824" s="24" t="n">
        <x:v>116.6204223</x:v>
      </x:c>
      <x:c r="D824" s="24" t="n">
        <x:v>23.656593</x:v>
      </x:c>
      <x:c r="E824" s="17" t="str">
        <x:v>C10</x:v>
      </x:c>
      <x:c r="F824" s="17" t="str">
        <x:v>汕尾虚拟回收/检测中心</x:v>
      </x:c>
      <x:c r="G824" s="17" t="str">
        <x:v>回收中心候选</x:v>
      </x:c>
      <x:c r="H824" s="24" t="n">
        <x:v>115.5099937</x:v>
      </x:c>
      <x:c r="I824" s="24" t="n">
        <x:v>23.0123639</x:v>
      </x:c>
      <x:c r="J824" s="21" t="n">
        <x:f>6371*ACOS(MIN(1,COS(D824*PI()/180)*COS(I824*PI()/180)*COS((H824-C824)*PI()/180)+SIN(D824*PI()/180)*SIN(I824*PI()/180)))</x:f>
        <x:v>134.10876046805132</x:v>
      </x:c>
      <x:c r="K824" s="21" t="n">
        <x:f>'情景参数模板'!$D$31</x:f>
        <x:v>1.2</x:v>
      </x:c>
      <x:c r="L824" s="21" t="n">
        <x:f>J824*K824</x:f>
        <x:v>160.93051256166157</x:v>
      </x:c>
    </x:row>
    <x:row r="825">
      <x:c r="A825" s="17" t="str">
        <x:v>GD19</x:v>
      </x:c>
      <x:c r="B825" s="17" t="str">
        <x:v>潮州</x:v>
      </x:c>
      <x:c r="C825" s="24" t="n">
        <x:v>116.6204223</x:v>
      </x:c>
      <x:c r="D825" s="24" t="n">
        <x:v>23.656593</x:v>
      </x:c>
      <x:c r="E825" s="17" t="str">
        <x:v>C11</x:v>
      </x:c>
      <x:c r="F825" s="17" t="str">
        <x:v>东莞虚拟回收/检测中心</x:v>
      </x:c>
      <x:c r="G825" s="17" t="str">
        <x:v>回收中心候选</x:v>
      </x:c>
      <x:c r="H825" s="24" t="n">
        <x:v>113.7452332</x:v>
      </x:c>
      <x:c r="I825" s="24" t="n">
        <x:v>23.0183568</x:v>
      </x:c>
      <x:c r="J825" s="21" t="n">
        <x:f>6371*ACOS(MIN(1,COS(D825*PI()/180)*COS(I825*PI()/180)*COS((H825-C825)*PI()/180)+SIN(D825*PI()/180)*SIN(I825*PI()/180)))</x:f>
        <x:v>302.0003070616597</x:v>
      </x:c>
      <x:c r="K825" s="21" t="n">
        <x:f>'情景参数模板'!$D$31</x:f>
        <x:v>1.2</x:v>
      </x:c>
      <x:c r="L825" s="21" t="n">
        <x:f>J825*K825</x:f>
        <x:v>362.40036847399165</x:v>
      </x:c>
    </x:row>
    <x:row r="826">
      <x:c r="A826" s="17" t="str">
        <x:v>GD19</x:v>
      </x:c>
      <x:c r="B826" s="17" t="str">
        <x:v>潮州</x:v>
      </x:c>
      <x:c r="C826" s="24" t="n">
        <x:v>116.6204223</x:v>
      </x:c>
      <x:c r="D826" s="24" t="n">
        <x:v>23.656593</x:v>
      </x:c>
      <x:c r="E826" s="17" t="str">
        <x:v>C12</x:v>
      </x:c>
      <x:c r="F826" s="17" t="str">
        <x:v>中山虚拟回收/检测中心</x:v>
      </x:c>
      <x:c r="G826" s="17" t="str">
        <x:v>回收中心候选</x:v>
      </x:c>
      <x:c r="H826" s="24" t="n">
        <x:v>113.3872302</x:v>
      </x:c>
      <x:c r="I826" s="24" t="n">
        <x:v>22.5197073</x:v>
      </x:c>
      <x:c r="J826" s="21" t="n">
        <x:f>6371*ACOS(MIN(1,COS(D826*PI()/180)*COS(I826*PI()/180)*COS((H826-C826)*PI()/180)+SIN(D826*PI()/180)*SIN(I826*PI()/180)))</x:f>
        <x:v>354.041841083676</x:v>
      </x:c>
      <x:c r="K826" s="21" t="n">
        <x:f>'情景参数模板'!$D$31</x:f>
        <x:v>1.2</x:v>
      </x:c>
      <x:c r="L826" s="21" t="n">
        <x:f>J826*K826</x:f>
        <x:v>424.85020930041117</x:v>
      </x:c>
    </x:row>
    <x:row r="827">
      <x:c r="A827" s="17" t="str">
        <x:v>GD19</x:v>
      </x:c>
      <x:c r="B827" s="17" t="str">
        <x:v>潮州</x:v>
      </x:c>
      <x:c r="C827" s="24" t="n">
        <x:v>116.6204223</x:v>
      </x:c>
      <x:c r="D827" s="24" t="n">
        <x:v>23.656593</x:v>
      </x:c>
      <x:c r="E827" s="17" t="str">
        <x:v>C13</x:v>
      </x:c>
      <x:c r="F827" s="17" t="str">
        <x:v>江门虚拟回收/检测中心</x:v>
      </x:c>
      <x:c r="G827" s="17" t="str">
        <x:v>回收中心候选</x:v>
      </x:c>
      <x:c r="H827" s="24" t="n">
        <x:v>113.0761073</x:v>
      </x:c>
      <x:c r="I827" s="24" t="n">
        <x:v>22.5816619</x:v>
      </x:c>
      <x:c r="J827" s="21" t="n">
        <x:f>6371*ACOS(MIN(1,COS(D827*PI()/180)*COS(I827*PI()/180)*COS((H827-C827)*PI()/180)+SIN(D827*PI()/180)*SIN(I827*PI()/180)))</x:f>
        <x:v>381.64228200755093</x:v>
      </x:c>
      <x:c r="K827" s="21" t="n">
        <x:f>'情景参数模板'!$D$31</x:f>
        <x:v>1.2</x:v>
      </x:c>
      <x:c r="L827" s="21" t="n">
        <x:f>J827*K827</x:f>
        <x:v>457.9707384090611</x:v>
      </x:c>
    </x:row>
    <x:row r="828">
      <x:c r="A828" s="17" t="str">
        <x:v>GD19</x:v>
      </x:c>
      <x:c r="B828" s="17" t="str">
        <x:v>潮州</x:v>
      </x:c>
      <x:c r="C828" s="24" t="n">
        <x:v>116.6204223</x:v>
      </x:c>
      <x:c r="D828" s="24" t="n">
        <x:v>23.656593</x:v>
      </x:c>
      <x:c r="E828" s="17" t="str">
        <x:v>C14</x:v>
      </x:c>
      <x:c r="F828" s="17" t="str">
        <x:v>阳江虚拟回收/检测中心</x:v>
      </x:c>
      <x:c r="G828" s="17" t="str">
        <x:v>回收中心候选</x:v>
      </x:c>
      <x:c r="H828" s="24" t="n">
        <x:v>111.7831393</x:v>
      </x:c>
      <x:c r="I828" s="24" t="n">
        <x:v>22.0958223</x:v>
      </x:c>
      <x:c r="J828" s="21" t="n">
        <x:f>6371*ACOS(MIN(1,COS(D828*PI()/180)*COS(I828*PI()/180)*COS((H828-C828)*PI()/180)+SIN(D828*PI()/180)*SIN(I828*PI()/180)))</x:f>
        <x:v>525.0419469827197</x:v>
      </x:c>
      <x:c r="K828" s="21" t="n">
        <x:f>'情景参数模板'!$D$31</x:f>
        <x:v>1.2</x:v>
      </x:c>
      <x:c r="L828" s="21" t="n">
        <x:f>J828*K828</x:f>
        <x:v>630.0503363792635</x:v>
      </x:c>
    </x:row>
    <x:row r="829">
      <x:c r="A829" s="17" t="str">
        <x:v>GD19</x:v>
      </x:c>
      <x:c r="B829" s="17" t="str">
        <x:v>潮州</x:v>
      </x:c>
      <x:c r="C829" s="24" t="n">
        <x:v>116.6204223</x:v>
      </x:c>
      <x:c r="D829" s="24" t="n">
        <x:v>23.656593</x:v>
      </x:c>
      <x:c r="E829" s="17" t="str">
        <x:v>C15</x:v>
      </x:c>
      <x:c r="F829" s="17" t="str">
        <x:v>湛江虚拟回收/检测中心</x:v>
      </x:c>
      <x:c r="G829" s="17" t="str">
        <x:v>回收中心候选</x:v>
      </x:c>
      <x:c r="H829" s="24" t="n">
        <x:v>110.3548318</x:v>
      </x:c>
      <x:c r="I829" s="24" t="n">
        <x:v>21.2737079</x:v>
      </x:c>
      <x:c r="J829" s="21" t="n">
        <x:f>6371*ACOS(MIN(1,COS(D829*PI()/180)*COS(I829*PI()/180)*COS((H829-C829)*PI()/180)+SIN(D829*PI()/180)*SIN(I829*PI()/180)))</x:f>
        <x:v>696.1130775866975</x:v>
      </x:c>
      <x:c r="K829" s="21" t="n">
        <x:f>'情景参数模板'!$D$31</x:f>
        <x:v>1.2</x:v>
      </x:c>
      <x:c r="L829" s="21" t="n">
        <x:f>J829*K829</x:f>
        <x:v>835.335693104037</x:v>
      </x:c>
    </x:row>
    <x:row r="830">
      <x:c r="A830" s="17" t="str">
        <x:v>GD19</x:v>
      </x:c>
      <x:c r="B830" s="17" t="str">
        <x:v>潮州</x:v>
      </x:c>
      <x:c r="C830" s="24" t="n">
        <x:v>116.6204223</x:v>
      </x:c>
      <x:c r="D830" s="24" t="n">
        <x:v>23.656593</x:v>
      </x:c>
      <x:c r="E830" s="17" t="str">
        <x:v>C16</x:v>
      </x:c>
      <x:c r="F830" s="17" t="str">
        <x:v>茂名虚拟回收/检测中心</x:v>
      </x:c>
      <x:c r="G830" s="17" t="str">
        <x:v>回收中心候选</x:v>
      </x:c>
      <x:c r="H830" s="24" t="n">
        <x:v>110.9209511</x:v>
      </x:c>
      <x:c r="I830" s="24" t="n">
        <x:v>21.6656961</x:v>
      </x:c>
      <x:c r="J830" s="21" t="n">
        <x:f>6371*ACOS(MIN(1,COS(D830*PI()/180)*COS(I830*PI()/180)*COS((H830-C830)*PI()/180)+SIN(D830*PI()/180)*SIN(I830*PI()/180)))</x:f>
        <x:v>625.2484183411569</x:v>
      </x:c>
      <x:c r="K830" s="21" t="n">
        <x:f>'情景参数模板'!$D$31</x:f>
        <x:v>1.2</x:v>
      </x:c>
      <x:c r="L830" s="21" t="n">
        <x:f>J830*K830</x:f>
        <x:v>750.2981020093883</x:v>
      </x:c>
    </x:row>
    <x:row r="831">
      <x:c r="A831" s="17" t="str">
        <x:v>GD19</x:v>
      </x:c>
      <x:c r="B831" s="17" t="str">
        <x:v>潮州</x:v>
      </x:c>
      <x:c r="C831" s="24" t="n">
        <x:v>116.6204223</x:v>
      </x:c>
      <x:c r="D831" s="24" t="n">
        <x:v>23.656593</x:v>
      </x:c>
      <x:c r="E831" s="17" t="str">
        <x:v>C17</x:v>
      </x:c>
      <x:c r="F831" s="17" t="str">
        <x:v>肇庆虚拟回收/检测中心</x:v>
      </x:c>
      <x:c r="G831" s="17" t="str">
        <x:v>回收中心候选</x:v>
      </x:c>
      <x:c r="H831" s="24" t="n">
        <x:v>112.4603629</x:v>
      </x:c>
      <x:c r="I831" s="24" t="n">
        <x:v>23.0501661</x:v>
      </x:c>
      <x:c r="J831" s="21" t="n">
        <x:f>6371*ACOS(MIN(1,COS(D831*PI()/180)*COS(I831*PI()/180)*COS((H831-C831)*PI()/180)+SIN(D831*PI()/180)*SIN(I831*PI()/180)))</x:f>
        <x:v>429.98456385867706</x:v>
      </x:c>
      <x:c r="K831" s="21" t="n">
        <x:f>'情景参数模板'!$D$31</x:f>
        <x:v>1.2</x:v>
      </x:c>
      <x:c r="L831" s="21" t="n">
        <x:f>J831*K831</x:f>
        <x:v>515.9814766304124</x:v>
      </x:c>
    </x:row>
    <x:row r="832">
      <x:c r="A832" s="17" t="str">
        <x:v>GD19</x:v>
      </x:c>
      <x:c r="B832" s="17" t="str">
        <x:v>潮州</x:v>
      </x:c>
      <x:c r="C832" s="24" t="n">
        <x:v>116.6204223</x:v>
      </x:c>
      <x:c r="D832" s="24" t="n">
        <x:v>23.656593</x:v>
      </x:c>
      <x:c r="E832" s="17" t="str">
        <x:v>C18</x:v>
      </x:c>
      <x:c r="F832" s="17" t="str">
        <x:v>清远虚拟回收/检测中心</x:v>
      </x:c>
      <x:c r="G832" s="17" t="str">
        <x:v>回收中心候选</x:v>
      </x:c>
      <x:c r="H832" s="24" t="n">
        <x:v>113.0505994</x:v>
      </x:c>
      <x:c r="I832" s="24" t="n">
        <x:v>23.6832984</x:v>
      </x:c>
      <x:c r="J832" s="21" t="n">
        <x:f>6371*ACOS(MIN(1,COS(D832*PI()/180)*COS(I832*PI()/180)*COS((H832-C832)*PI()/180)+SIN(D832*PI()/180)*SIN(I832*PI()/180)))</x:f>
        <x:v>363.5550667063742</x:v>
      </x:c>
      <x:c r="K832" s="21" t="n">
        <x:f>'情景参数模板'!$D$31</x:f>
        <x:v>1.2</x:v>
      </x:c>
      <x:c r="L832" s="21" t="n">
        <x:f>J832*K832</x:f>
        <x:v>436.26608004764904</x:v>
      </x:c>
    </x:row>
    <x:row r="833">
      <x:c r="A833" s="17" t="str">
        <x:v>GD19</x:v>
      </x:c>
      <x:c r="B833" s="17" t="str">
        <x:v>潮州</x:v>
      </x:c>
      <x:c r="C833" s="24" t="n">
        <x:v>116.6204223</x:v>
      </x:c>
      <x:c r="D833" s="24" t="n">
        <x:v>23.656593</x:v>
      </x:c>
      <x:c r="E833" s="17" t="str">
        <x:v>C19</x:v>
      </x:c>
      <x:c r="F833" s="17" t="str">
        <x:v>潮州虚拟回收/检测中心</x:v>
      </x:c>
      <x:c r="G833" s="17" t="str">
        <x:v>回收中心候选</x:v>
      </x:c>
      <x:c r="H833" s="24" t="n">
        <x:v>116.6204223</x:v>
      </x:c>
      <x:c r="I833" s="24" t="n">
        <x:v>23.656593</x:v>
      </x:c>
      <x:c r="J833" s="21" t="n">
        <x:f>6371*ACOS(MIN(1,COS(D833*PI()/180)*COS(I833*PI()/180)*COS((H833-C833)*PI()/180)+SIN(D833*PI()/180)*SIN(I833*PI()/180)))</x:f>
        <x:v>0.00009493529796600342</x:v>
      </x:c>
      <x:c r="K833" s="21" t="n">
        <x:f>'情景参数模板'!$D$31</x:f>
        <x:v>1.2</x:v>
      </x:c>
      <x:c r="L833" s="21" t="n">
        <x:f>J833*K833</x:f>
        <x:v>0.0001139223575592041</x:v>
      </x:c>
    </x:row>
    <x:row r="834">
      <x:c r="A834" s="17" t="str">
        <x:v>GD19</x:v>
      </x:c>
      <x:c r="B834" s="17" t="str">
        <x:v>潮州</x:v>
      </x:c>
      <x:c r="C834" s="24" t="n">
        <x:v>116.6204223</x:v>
      </x:c>
      <x:c r="D834" s="24" t="n">
        <x:v>23.656593</x:v>
      </x:c>
      <x:c r="E834" s="17" t="str">
        <x:v>C20</x:v>
      </x:c>
      <x:c r="F834" s="17" t="str">
        <x:v>揭阳虚拟回收/检测中心</x:v>
      </x:c>
      <x:c r="G834" s="17" t="str">
        <x:v>回收中心候选</x:v>
      </x:c>
      <x:c r="H834" s="24" t="n">
        <x:v>116.3680354</x:v>
      </x:c>
      <x:c r="I834" s="24" t="n">
        <x:v>23.553156</x:v>
      </x:c>
      <x:c r="J834" s="21" t="n">
        <x:f>6371*ACOS(MIN(1,COS(D834*PI()/180)*COS(I834*PI()/180)*COS((H834-C834)*PI()/180)+SIN(D834*PI()/180)*SIN(I834*PI()/180)))</x:f>
        <x:v>28.170898173495665</x:v>
      </x:c>
      <x:c r="K834" s="21" t="n">
        <x:f>'情景参数模板'!$D$31</x:f>
        <x:v>1.2</x:v>
      </x:c>
      <x:c r="L834" s="21" t="n">
        <x:f>J834*K834</x:f>
        <x:v>33.805077808194795</x:v>
      </x:c>
    </x:row>
    <x:row r="835">
      <x:c r="A835" s="17" t="str">
        <x:v>GD19</x:v>
      </x:c>
      <x:c r="B835" s="17" t="str">
        <x:v>潮州</x:v>
      </x:c>
      <x:c r="C835" s="24" t="n">
        <x:v>116.6204223</x:v>
      </x:c>
      <x:c r="D835" s="24" t="n">
        <x:v>23.656593</x:v>
      </x:c>
      <x:c r="E835" s="17" t="str">
        <x:v>C21</x:v>
      </x:c>
      <x:c r="F835" s="17" t="str">
        <x:v>云浮虚拟回收/检测中心</x:v>
      </x:c>
      <x:c r="G835" s="17" t="str">
        <x:v>回收中心候选</x:v>
      </x:c>
      <x:c r="H835" s="24" t="n">
        <x:v>111.8078586</x:v>
      </x:c>
      <x:c r="I835" s="24" t="n">
        <x:v>22.8546663</x:v>
      </x:c>
      <x:c r="J835" s="21" t="n">
        <x:f>6371*ACOS(MIN(1,COS(D835*PI()/180)*COS(I835*PI()/180)*COS((H835-C835)*PI()/180)+SIN(D835*PI()/180)*SIN(I835*PI()/180)))</x:f>
        <x:v>499.64697728311506</x:v>
      </x:c>
      <x:c r="K835" s="21" t="n">
        <x:f>'情景参数模板'!$D$31</x:f>
        <x:v>1.2</x:v>
      </x:c>
      <x:c r="L835" s="21" t="n">
        <x:f>J835*K835</x:f>
        <x:v>599.5763727397381</x:v>
      </x:c>
    </x:row>
    <x:row r="836">
      <x:c r="A836" s="17" t="str">
        <x:v>GD19</x:v>
      </x:c>
      <x:c r="B836" s="17" t="str">
        <x:v>潮州</x:v>
      </x:c>
      <x:c r="C836" s="24" t="n">
        <x:v>116.6204223</x:v>
      </x:c>
      <x:c r="D836" s="24" t="n">
        <x:v>23.656593</x:v>
      </x:c>
      <x:c r="E836" s="17" t="str">
        <x:v>P01</x:v>
      </x:c>
      <x:c r="F836" s="17" t="str">
        <x:v>汕尾比亚迪废旧动力电池回收项目</x:v>
      </x:c>
      <x:c r="G836" s="17" t="str">
        <x:v>再生利用</x:v>
      </x:c>
      <x:c r="H836" s="24" t="n">
        <x:v>115.3492668</x:v>
      </x:c>
      <x:c r="I836" s="24" t="n">
        <x:v>22.838065</x:v>
      </x:c>
      <x:c r="J836" s="21" t="n">
        <x:f>6371*ACOS(MIN(1,COS(D836*PI()/180)*COS(I836*PI()/180)*COS((H836-C836)*PI()/180)+SIN(D836*PI()/180)*SIN(I836*PI()/180)))</x:f>
        <x:v>158.5863537782904</x:v>
      </x:c>
      <x:c r="K836" s="21" t="n">
        <x:f>'情景参数模板'!$D$31</x:f>
        <x:v>1.2</x:v>
      </x:c>
      <x:c r="L836" s="21" t="n">
        <x:f>J836*K836</x:f>
        <x:v>190.30362453394847</x:v>
      </x:c>
    </x:row>
    <x:row r="837">
      <x:c r="A837" s="17" t="str">
        <x:v>GD19</x:v>
      </x:c>
      <x:c r="B837" s="17" t="str">
        <x:v>潮州</x:v>
      </x:c>
      <x:c r="C837" s="24" t="n">
        <x:v>116.6204223</x:v>
      </x:c>
      <x:c r="D837" s="24" t="n">
        <x:v>23.656593</x:v>
      </x:c>
      <x:c r="E837" s="17" t="str">
        <x:v>P02E</x:v>
      </x:c>
      <x:c r="F837" s="17" t="str">
        <x:v>广东光华科技股份有限公司（梯次功能）</x:v>
      </x:c>
      <x:c r="G837" s="17" t="str">
        <x:v>梯次利用</x:v>
      </x:c>
      <x:c r="H837" s="24" t="n">
        <x:v>116.6775856</x:v>
      </x:c>
      <x:c r="I837" s="24" t="n">
        <x:v>23.3563921</x:v>
      </x:c>
      <x:c r="J837" s="21" t="n">
        <x:f>6371*ACOS(MIN(1,COS(D837*PI()/180)*COS(I837*PI()/180)*COS((H837-C837)*PI()/180)+SIN(D837*PI()/180)*SIN(I837*PI()/180)))</x:f>
        <x:v>33.88589168759266</x:v>
      </x:c>
      <x:c r="K837" s="21" t="n">
        <x:f>'情景参数模板'!$D$31</x:f>
        <x:v>1.2</x:v>
      </x:c>
      <x:c r="L837" s="21" t="n">
        <x:f>J837*K837</x:f>
        <x:v>40.66307002511119</x:v>
      </x:c>
    </x:row>
    <x:row r="838">
      <x:c r="A838" s="17" t="str">
        <x:v>GD19</x:v>
      </x:c>
      <x:c r="B838" s="17" t="str">
        <x:v>潮州</x:v>
      </x:c>
      <x:c r="C838" s="24" t="n">
        <x:v>116.6204223</x:v>
      </x:c>
      <x:c r="D838" s="24" t="n">
        <x:v>23.656593</x:v>
      </x:c>
      <x:c r="E838" s="17" t="str">
        <x:v>P02R</x:v>
      </x:c>
      <x:c r="F838" s="17" t="str">
        <x:v>广东光华科技股份有限公司（再生功能）</x:v>
      </x:c>
      <x:c r="G838" s="17" t="str">
        <x:v>再生利用</x:v>
      </x:c>
      <x:c r="H838" s="24" t="n">
        <x:v>116.6775856</x:v>
      </x:c>
      <x:c r="I838" s="24" t="n">
        <x:v>23.3563921</x:v>
      </x:c>
      <x:c r="J838" s="21" t="n">
        <x:f>6371*ACOS(MIN(1,COS(D838*PI()/180)*COS(I838*PI()/180)*COS((H838-C838)*PI()/180)+SIN(D838*PI()/180)*SIN(I838*PI()/180)))</x:f>
        <x:v>33.88589168759266</x:v>
      </x:c>
      <x:c r="K838" s="21" t="n">
        <x:f>'情景参数模板'!$D$31</x:f>
        <x:v>1.2</x:v>
      </x:c>
      <x:c r="L838" s="21" t="n">
        <x:f>J838*K838</x:f>
        <x:v>40.66307002511119</x:v>
      </x:c>
    </x:row>
    <x:row r="839">
      <x:c r="A839" s="17" t="str">
        <x:v>GD19</x:v>
      </x:c>
      <x:c r="B839" s="17" t="str">
        <x:v>潮州</x:v>
      </x:c>
      <x:c r="C839" s="24" t="n">
        <x:v>116.6204223</x:v>
      </x:c>
      <x:c r="D839" s="24" t="n">
        <x:v>23.656593</x:v>
      </x:c>
      <x:c r="E839" s="17" t="str">
        <x:v>P03</x:v>
      </x:c>
      <x:c r="F839" s="17" t="str">
        <x:v>深圳深汕特别合作区乾泰技术有限公司</x:v>
      </x:c>
      <x:c r="G839" s="17" t="str">
        <x:v>梯次利用</x:v>
      </x:c>
      <x:c r="H839" s="24" t="n">
        <x:v>115.5099937</x:v>
      </x:c>
      <x:c r="I839" s="24" t="n">
        <x:v>23.0123639</x:v>
      </x:c>
      <x:c r="J839" s="21" t="n">
        <x:f>6371*ACOS(MIN(1,COS(D839*PI()/180)*COS(I839*PI()/180)*COS((H839-C839)*PI()/180)+SIN(D839*PI()/180)*SIN(I839*PI()/180)))</x:f>
        <x:v>134.10876046805132</x:v>
      </x:c>
      <x:c r="K839" s="21" t="n">
        <x:f>'情景参数模板'!$D$31</x:f>
        <x:v>1.2</x:v>
      </x:c>
      <x:c r="L839" s="21" t="n">
        <x:f>J839*K839</x:f>
        <x:v>160.93051256166157</x:v>
      </x:c>
    </x:row>
    <x:row r="840">
      <x:c r="A840" s="17" t="str">
        <x:v>GD19</x:v>
      </x:c>
      <x:c r="B840" s="17" t="str">
        <x:v>潮州</x:v>
      </x:c>
      <x:c r="C840" s="24" t="n">
        <x:v>116.6204223</x:v>
      </x:c>
      <x:c r="D840" s="24" t="n">
        <x:v>23.656593</x:v>
      </x:c>
      <x:c r="E840" s="17" t="str">
        <x:v>P04</x:v>
      </x:c>
      <x:c r="F840" s="17" t="str">
        <x:v>珠海中力新能源科技有限公司</x:v>
      </x:c>
      <x:c r="G840" s="17" t="str">
        <x:v>梯次利用</x:v>
      </x:c>
      <x:c r="H840" s="24" t="n">
        <x:v>113.5721327</x:v>
      </x:c>
      <x:c r="I840" s="24" t="n">
        <x:v>22.273734</x:v>
      </x:c>
      <x:c r="J840" s="21" t="n">
        <x:f>6371*ACOS(MIN(1,COS(D840*PI()/180)*COS(I840*PI()/180)*COS((H840-C840)*PI()/180)+SIN(D840*PI()/180)*SIN(I840*PI()/180)))</x:f>
        <x:v>347.89853925176067</x:v>
      </x:c>
      <x:c r="K840" s="21" t="n">
        <x:f>'情景参数模板'!$D$31</x:f>
        <x:v>1.2</x:v>
      </x:c>
      <x:c r="L840" s="21" t="n">
        <x:f>J840*K840</x:f>
        <x:v>417.4782471021128</x:v>
      </x:c>
    </x:row>
    <x:row r="841">
      <x:c r="A841" s="17" t="str">
        <x:v>GD19</x:v>
      </x:c>
      <x:c r="B841" s="17" t="str">
        <x:v>潮州</x:v>
      </x:c>
      <x:c r="C841" s="24" t="n">
        <x:v>116.6204223</x:v>
      </x:c>
      <x:c r="D841" s="24" t="n">
        <x:v>23.656593</x:v>
      </x:c>
      <x:c r="E841" s="17" t="str">
        <x:v>P05</x:v>
      </x:c>
      <x:c r="F841" s="17" t="str">
        <x:v>惠州市恒创睿能环保科技有限公司</x:v>
      </x:c>
      <x:c r="G841" s="17" t="str">
        <x:v>梯次利用</x:v>
      </x:c>
      <x:c r="H841" s="24" t="n">
        <x:v>114.4127007</x:v>
      </x:c>
      <x:c r="I841" s="24" t="n">
        <x:v>23.1125153</x:v>
      </x:c>
      <x:c r="J841" s="21" t="n">
        <x:f>6371*ACOS(MIN(1,COS(D841*PI()/180)*COS(I841*PI()/180)*COS((H841-C841)*PI()/180)+SIN(D841*PI()/180)*SIN(I841*PI()/180)))</x:f>
        <x:v>233.30064071473075</x:v>
      </x:c>
      <x:c r="K841" s="21" t="n">
        <x:f>'情景参数模板'!$D$31</x:f>
        <x:v>1.2</x:v>
      </x:c>
      <x:c r="L841" s="21" t="n">
        <x:f>J841*K841</x:f>
        <x:v>279.9607688576769</x:v>
      </x:c>
    </x:row>
    <x:row r="842">
      <x:c r="A842" s="17" t="str">
        <x:v>GD19</x:v>
      </x:c>
      <x:c r="B842" s="17" t="str">
        <x:v>潮州</x:v>
      </x:c>
      <x:c r="C842" s="24" t="n">
        <x:v>116.6204223</x:v>
      </x:c>
      <x:c r="D842" s="24" t="n">
        <x:v>23.656593</x:v>
      </x:c>
      <x:c r="E842" s="17" t="str">
        <x:v>P06</x:v>
      </x:c>
      <x:c r="F842" s="17" t="str">
        <x:v>江门市朗达锂电池有限公司</x:v>
      </x:c>
      <x:c r="G842" s="17" t="str">
        <x:v>梯次利用</x:v>
      </x:c>
      <x:c r="H842" s="24" t="n">
        <x:v>113.0761073</x:v>
      </x:c>
      <x:c r="I842" s="24" t="n">
        <x:v>22.5816619</x:v>
      </x:c>
      <x:c r="J842" s="21" t="n">
        <x:f>6371*ACOS(MIN(1,COS(D842*PI()/180)*COS(I842*PI()/180)*COS((H842-C842)*PI()/180)+SIN(D842*PI()/180)*SIN(I842*PI()/180)))</x:f>
        <x:v>381.64228200755093</x:v>
      </x:c>
      <x:c r="K842" s="21" t="n">
        <x:f>'情景参数模板'!$D$31</x:f>
        <x:v>1.2</x:v>
      </x:c>
      <x:c r="L842" s="21" t="n">
        <x:f>J842*K842</x:f>
        <x:v>457.9707384090611</x:v>
      </x:c>
    </x:row>
    <x:row r="843">
      <x:c r="A843" s="17" t="str">
        <x:v>GD19</x:v>
      </x:c>
      <x:c r="B843" s="17" t="str">
        <x:v>潮州</x:v>
      </x:c>
      <x:c r="C843" s="24" t="n">
        <x:v>116.6204223</x:v>
      </x:c>
      <x:c r="D843" s="24" t="n">
        <x:v>23.656593</x:v>
      </x:c>
      <x:c r="E843" s="17" t="str">
        <x:v>P07</x:v>
      </x:c>
      <x:c r="F843" s="17" t="str">
        <x:v>广东迪度新能源有限公司</x:v>
      </x:c>
      <x:c r="G843" s="17" t="str">
        <x:v>梯次利用</x:v>
      </x:c>
      <x:c r="H843" s="24" t="n">
        <x:v>113.7452332</x:v>
      </x:c>
      <x:c r="I843" s="24" t="n">
        <x:v>23.0183568</x:v>
      </x:c>
      <x:c r="J843" s="21" t="n">
        <x:f>6371*ACOS(MIN(1,COS(D843*PI()/180)*COS(I843*PI()/180)*COS((H843-C843)*PI()/180)+SIN(D843*PI()/180)*SIN(I843*PI()/180)))</x:f>
        <x:v>302.0003070616597</x:v>
      </x:c>
      <x:c r="K843" s="21" t="n">
        <x:f>'情景参数模板'!$D$31</x:f>
        <x:v>1.2</x:v>
      </x:c>
      <x:c r="L843" s="21" t="n">
        <x:f>J843*K843</x:f>
        <x:v>362.40036847399165</x:v>
      </x:c>
    </x:row>
    <x:row r="844">
      <x:c r="A844" s="17" t="str">
        <x:v>GD19</x:v>
      </x:c>
      <x:c r="B844" s="17" t="str">
        <x:v>潮州</x:v>
      </x:c>
      <x:c r="C844" s="24" t="n">
        <x:v>116.6204223</x:v>
      </x:c>
      <x:c r="D844" s="24" t="n">
        <x:v>23.656593</x:v>
      </x:c>
      <x:c r="E844" s="17" t="str">
        <x:v>P08</x:v>
      </x:c>
      <x:c r="F844" s="17" t="str">
        <x:v>东莞市博森新能源有限公司</x:v>
      </x:c>
      <x:c r="G844" s="17" t="str">
        <x:v>梯次利用</x:v>
      </x:c>
      <x:c r="H844" s="24" t="n">
        <x:v>113.7452332</x:v>
      </x:c>
      <x:c r="I844" s="24" t="n">
        <x:v>23.0183568</x:v>
      </x:c>
      <x:c r="J844" s="21" t="n">
        <x:f>6371*ACOS(MIN(1,COS(D844*PI()/180)*COS(I844*PI()/180)*COS((H844-C844)*PI()/180)+SIN(D844*PI()/180)*SIN(I844*PI()/180)))</x:f>
        <x:v>302.0003070616597</x:v>
      </x:c>
      <x:c r="K844" s="21" t="n">
        <x:f>'情景参数模板'!$D$31</x:f>
        <x:v>1.2</x:v>
      </x:c>
      <x:c r="L844" s="21" t="n">
        <x:f>J844*K844</x:f>
        <x:v>362.40036847399165</x:v>
      </x:c>
    </x:row>
    <x:row r="845">
      <x:c r="A845" s="17" t="str">
        <x:v>GD19</x:v>
      </x:c>
      <x:c r="B845" s="17" t="str">
        <x:v>潮州</x:v>
      </x:c>
      <x:c r="C845" s="24" t="n">
        <x:v>116.6204223</x:v>
      </x:c>
      <x:c r="D845" s="24" t="n">
        <x:v>23.656593</x:v>
      </x:c>
      <x:c r="E845" s="17" t="str">
        <x:v>P09</x:v>
      </x:c>
      <x:c r="F845" s="17" t="str">
        <x:v>广东宇阳新能源有限公司</x:v>
      </x:c>
      <x:c r="G845" s="17" t="str">
        <x:v>梯次利用</x:v>
      </x:c>
      <x:c r="H845" s="24" t="n">
        <x:v>113.7452332</x:v>
      </x:c>
      <x:c r="I845" s="24" t="n">
        <x:v>23.0183568</x:v>
      </x:c>
      <x:c r="J845" s="21" t="n">
        <x:f>6371*ACOS(MIN(1,COS(D845*PI()/180)*COS(I845*PI()/180)*COS((H845-C845)*PI()/180)+SIN(D845*PI()/180)*SIN(I845*PI()/180)))</x:f>
        <x:v>302.0003070616597</x:v>
      </x:c>
      <x:c r="K845" s="21" t="n">
        <x:f>'情景参数模板'!$D$31</x:f>
        <x:v>1.2</x:v>
      </x:c>
      <x:c r="L845" s="21" t="n">
        <x:f>J845*K845</x:f>
        <x:v>362.40036847399165</x:v>
      </x:c>
    </x:row>
    <x:row r="846">
      <x:c r="A846" s="17" t="str">
        <x:v>GD19</x:v>
      </x:c>
      <x:c r="B846" s="17" t="str">
        <x:v>潮州</x:v>
      </x:c>
      <x:c r="C846" s="24" t="n">
        <x:v>116.6204223</x:v>
      </x:c>
      <x:c r="D846" s="24" t="n">
        <x:v>23.656593</x:v>
      </x:c>
      <x:c r="E846" s="17" t="str">
        <x:v>P10</x:v>
      </x:c>
      <x:c r="F846" s="17" t="str">
        <x:v>广州广汽商贸再生资源有限公司</x:v>
      </x:c>
      <x:c r="G846" s="17" t="str">
        <x:v>梯次利用</x:v>
      </x:c>
      <x:c r="H846" s="24" t="n">
        <x:v>113.2589581</x:v>
      </x:c>
      <x:c r="I846" s="24" t="n">
        <x:v>23.1288429</x:v>
      </x:c>
      <x:c r="J846" s="21" t="n">
        <x:f>6371*ACOS(MIN(1,COS(D846*PI()/180)*COS(I846*PI()/180)*COS((H846-C846)*PI()/180)+SIN(D846*PI()/180)*SIN(I846*PI()/180)))</x:f>
        <x:v>348.02861264383995</x:v>
      </x:c>
      <x:c r="K846" s="21" t="n">
        <x:f>'情景参数模板'!$D$31</x:f>
        <x:v>1.2</x:v>
      </x:c>
      <x:c r="L846" s="21" t="n">
        <x:f>J846*K846</x:f>
        <x:v>417.6343351726079</x:v>
      </x:c>
    </x:row>
    <x:row r="847">
      <x:c r="A847" s="17" t="str">
        <x:v>GD19</x:v>
      </x:c>
      <x:c r="B847" s="17" t="str">
        <x:v>潮州</x:v>
      </x:c>
      <x:c r="C847" s="24" t="n">
        <x:v>116.6204223</x:v>
      </x:c>
      <x:c r="D847" s="24" t="n">
        <x:v>23.656593</x:v>
      </x:c>
      <x:c r="E847" s="17" t="str">
        <x:v>P11</x:v>
      </x:c>
      <x:c r="F847" s="17" t="str">
        <x:v>深圳市杰成镍钴新能源科技有限公司</x:v>
      </x:c>
      <x:c r="G847" s="17" t="str">
        <x:v>梯次利用</x:v>
      </x:c>
      <x:c r="H847" s="24" t="n">
        <x:v>114.0545429</x:v>
      </x:c>
      <x:c r="I847" s="24" t="n">
        <x:v>22.5445741</x:v>
      </x:c>
      <x:c r="J847" s="21" t="n">
        <x:f>6371*ACOS(MIN(1,COS(D847*PI()/180)*COS(I847*PI()/180)*COS((H847-C847)*PI()/180)+SIN(D847*PI()/180)*SIN(I847*PI()/180)))</x:f>
        <x:v>290.0980995679465</x:v>
      </x:c>
      <x:c r="K847" s="21" t="n">
        <x:f>'情景参数模板'!$D$31</x:f>
        <x:v>1.2</x:v>
      </x:c>
      <x:c r="L847" s="21" t="n">
        <x:f>J847*K847</x:f>
        <x:v>348.1177194815358</x:v>
      </x:c>
    </x:row>
    <x:row r="848">
      <x:c r="A848" s="17" t="str">
        <x:v>GD19</x:v>
      </x:c>
      <x:c r="B848" s="17" t="str">
        <x:v>潮州</x:v>
      </x:c>
      <x:c r="C848" s="24" t="n">
        <x:v>116.6204223</x:v>
      </x:c>
      <x:c r="D848" s="24" t="n">
        <x:v>23.656593</x:v>
      </x:c>
      <x:c r="E848" s="17" t="str">
        <x:v>P12</x:v>
      </x:c>
      <x:c r="F848" s="17" t="str">
        <x:v>江门市恒创睿能环保科技有限公司</x:v>
      </x:c>
      <x:c r="G848" s="17" t="str">
        <x:v>再生利用</x:v>
      </x:c>
      <x:c r="H848" s="24" t="n">
        <x:v>113.0761073</x:v>
      </x:c>
      <x:c r="I848" s="24" t="n">
        <x:v>22.5816619</x:v>
      </x:c>
      <x:c r="J848" s="21" t="n">
        <x:f>6371*ACOS(MIN(1,COS(D848*PI()/180)*COS(I848*PI()/180)*COS((H848-C848)*PI()/180)+SIN(D848*PI()/180)*SIN(I848*PI()/180)))</x:f>
        <x:v>381.64228200755093</x:v>
      </x:c>
      <x:c r="K848" s="21" t="n">
        <x:f>'情景参数模板'!$D$31</x:f>
        <x:v>1.2</x:v>
      </x:c>
      <x:c r="L848" s="21" t="n">
        <x:f>J848*K848</x:f>
        <x:v>457.9707384090611</x:v>
      </x:c>
    </x:row>
    <x:row r="849">
      <x:c r="A849" s="17" t="str">
        <x:v>GD19</x:v>
      </x:c>
      <x:c r="B849" s="17" t="str">
        <x:v>潮州</x:v>
      </x:c>
      <x:c r="C849" s="24" t="n">
        <x:v>116.6204223</x:v>
      </x:c>
      <x:c r="D849" s="24" t="n">
        <x:v>23.656593</x:v>
      </x:c>
      <x:c r="E849" s="17" t="str">
        <x:v>P13</x:v>
      </x:c>
      <x:c r="F849" s="17" t="str">
        <x:v>广东佳纳能源科技有限公司</x:v>
      </x:c>
      <x:c r="G849" s="17" t="str">
        <x:v>再生利用</x:v>
      </x:c>
      <x:c r="H849" s="24" t="n">
        <x:v>113.0505994</x:v>
      </x:c>
      <x:c r="I849" s="24" t="n">
        <x:v>23.6832984</x:v>
      </x:c>
      <x:c r="J849" s="21" t="n">
        <x:f>6371*ACOS(MIN(1,COS(D849*PI()/180)*COS(I849*PI()/180)*COS((H849-C849)*PI()/180)+SIN(D849*PI()/180)*SIN(I849*PI()/180)))</x:f>
        <x:v>363.5550667063742</x:v>
      </x:c>
      <x:c r="K849" s="21" t="n">
        <x:f>'情景参数模板'!$D$31</x:f>
        <x:v>1.2</x:v>
      </x:c>
      <x:c r="L849" s="21" t="n">
        <x:f>J849*K849</x:f>
        <x:v>436.26608004764904</x:v>
      </x:c>
    </x:row>
    <x:row r="850">
      <x:c r="A850" s="17" t="str">
        <x:v>GD19</x:v>
      </x:c>
      <x:c r="B850" s="17" t="str">
        <x:v>潮州</x:v>
      </x:c>
      <x:c r="C850" s="24" t="n">
        <x:v>116.6204223</x:v>
      </x:c>
      <x:c r="D850" s="24" t="n">
        <x:v>23.656593</x:v>
      </x:c>
      <x:c r="E850" s="17" t="str">
        <x:v>P14</x:v>
      </x:c>
      <x:c r="F850" s="17" t="str">
        <x:v>格林美（深圳）循环科技有限公司</x:v>
      </x:c>
      <x:c r="G850" s="17" t="str">
        <x:v>梯次利用</x:v>
      </x:c>
      <x:c r="H850" s="24" t="n">
        <x:v>114.0545429</x:v>
      </x:c>
      <x:c r="I850" s="24" t="n">
        <x:v>22.5445741</x:v>
      </x:c>
      <x:c r="J850" s="21" t="n">
        <x:f>6371*ACOS(MIN(1,COS(D850*PI()/180)*COS(I850*PI()/180)*COS((H850-C850)*PI()/180)+SIN(D850*PI()/180)*SIN(I850*PI()/180)))</x:f>
        <x:v>290.0980995679465</x:v>
      </x:c>
      <x:c r="K850" s="21" t="n">
        <x:f>'情景参数模板'!$D$31</x:f>
        <x:v>1.2</x:v>
      </x:c>
      <x:c r="L850" s="21" t="n">
        <x:f>J850*K850</x:f>
        <x:v>348.1177194815358</x:v>
      </x:c>
    </x:row>
    <x:row r="851">
      <x:c r="A851" s="17" t="str">
        <x:v>GD19</x:v>
      </x:c>
      <x:c r="B851" s="17" t="str">
        <x:v>潮州</x:v>
      </x:c>
      <x:c r="C851" s="24" t="n">
        <x:v>116.6204223</x:v>
      </x:c>
      <x:c r="D851" s="24" t="n">
        <x:v>23.656593</x:v>
      </x:c>
      <x:c r="E851" s="17" t="str">
        <x:v>P15</x:v>
      </x:c>
      <x:c r="F851" s="17" t="str">
        <x:v>绿循新能源科技（佛山）有限责任公司</x:v>
      </x:c>
      <x:c r="G851" s="17" t="str">
        <x:v>梯次利用</x:v>
      </x:c>
      <x:c r="H851" s="24" t="n">
        <x:v>113.1159558</x:v>
      </x:c>
      <x:c r="I851" s="24" t="n">
        <x:v>23.0239788</x:v>
      </x:c>
      <x:c r="J851" s="21" t="n">
        <x:f>6371*ACOS(MIN(1,COS(D851*PI()/180)*COS(I851*PI()/180)*COS((H851-C851)*PI()/180)+SIN(D851*PI()/180)*SIN(I851*PI()/180)))</x:f>
        <x:v>364.62871927074957</x:v>
      </x:c>
      <x:c r="K851" s="21" t="n">
        <x:f>'情景参数模板'!$D$31</x:f>
        <x:v>1.2</x:v>
      </x:c>
      <x:c r="L851" s="21" t="n">
        <x:f>J851*K851</x:f>
        <x:v>437.5544631248995</x:v>
      </x:c>
    </x:row>
    <x:row r="852">
      <x:c r="A852" s="17" t="str">
        <x:v>GD19</x:v>
      </x:c>
      <x:c r="B852" s="17" t="str">
        <x:v>潮州</x:v>
      </x:c>
      <x:c r="C852" s="24" t="n">
        <x:v>116.6204223</x:v>
      </x:c>
      <x:c r="D852" s="24" t="n">
        <x:v>23.656593</x:v>
      </x:c>
      <x:c r="E852" s="17" t="str">
        <x:v>P16</x:v>
      </x:c>
      <x:c r="F852" s="17" t="str">
        <x:v>深圳艾云动智慧科技有限公司</x:v>
      </x:c>
      <x:c r="G852" s="17" t="str">
        <x:v>梯次利用</x:v>
      </x:c>
      <x:c r="H852" s="24" t="n">
        <x:v>114.0545429</x:v>
      </x:c>
      <x:c r="I852" s="24" t="n">
        <x:v>22.5445741</x:v>
      </x:c>
      <x:c r="J852" s="21" t="n">
        <x:f>6371*ACOS(MIN(1,COS(D852*PI()/180)*COS(I852*PI()/180)*COS((H852-C852)*PI()/180)+SIN(D852*PI()/180)*SIN(I852*PI()/180)))</x:f>
        <x:v>290.0980995679465</x:v>
      </x:c>
      <x:c r="K852" s="21" t="n">
        <x:f>'情景参数模板'!$D$31</x:f>
        <x:v>1.2</x:v>
      </x:c>
      <x:c r="L852" s="21" t="n">
        <x:f>J852*K852</x:f>
        <x:v>348.1177194815358</x:v>
      </x:c>
    </x:row>
    <x:row r="853">
      <x:c r="A853" s="17" t="str">
        <x:v>GD19</x:v>
      </x:c>
      <x:c r="B853" s="17" t="str">
        <x:v>潮州</x:v>
      </x:c>
      <x:c r="C853" s="24" t="n">
        <x:v>116.6204223</x:v>
      </x:c>
      <x:c r="D853" s="24" t="n">
        <x:v>23.656593</x:v>
      </x:c>
      <x:c r="E853" s="17" t="str">
        <x:v>P17</x:v>
      </x:c>
      <x:c r="F853" s="17" t="str">
        <x:v>深圳市荣高晟新能源科技有限公司</x:v>
      </x:c>
      <x:c r="G853" s="17" t="str">
        <x:v>梯次利用</x:v>
      </x:c>
      <x:c r="H853" s="24" t="n">
        <x:v>114.0545429</x:v>
      </x:c>
      <x:c r="I853" s="24" t="n">
        <x:v>22.5445741</x:v>
      </x:c>
      <x:c r="J853" s="21" t="n">
        <x:f>6371*ACOS(MIN(1,COS(D853*PI()/180)*COS(I853*PI()/180)*COS((H853-C853)*PI()/180)+SIN(D853*PI()/180)*SIN(I853*PI()/180)))</x:f>
        <x:v>290.0980995679465</x:v>
      </x:c>
      <x:c r="K853" s="21" t="n">
        <x:f>'情景参数模板'!$D$31</x:f>
        <x:v>1.2</x:v>
      </x:c>
      <x:c r="L853" s="21" t="n">
        <x:f>J853*K853</x:f>
        <x:v>348.1177194815358</x:v>
      </x:c>
    </x:row>
    <x:row r="854">
      <x:c r="A854" s="17" t="str">
        <x:v>GD19</x:v>
      </x:c>
      <x:c r="B854" s="17" t="str">
        <x:v>潮州</x:v>
      </x:c>
      <x:c r="C854" s="24" t="n">
        <x:v>116.6204223</x:v>
      </x:c>
      <x:c r="D854" s="24" t="n">
        <x:v>23.656593</x:v>
      </x:c>
      <x:c r="E854" s="17" t="str">
        <x:v>P18</x:v>
      </x:c>
      <x:c r="F854" s="17" t="str">
        <x:v>中商锂新能源科技（惠州）有限公司</x:v>
      </x:c>
      <x:c r="G854" s="17" t="str">
        <x:v>梯次利用</x:v>
      </x:c>
      <x:c r="H854" s="24" t="n">
        <x:v>114.4127007</x:v>
      </x:c>
      <x:c r="I854" s="24" t="n">
        <x:v>23.1125153</x:v>
      </x:c>
      <x:c r="J854" s="21" t="n">
        <x:f>6371*ACOS(MIN(1,COS(D854*PI()/180)*COS(I854*PI()/180)*COS((H854-C854)*PI()/180)+SIN(D854*PI()/180)*SIN(I854*PI()/180)))</x:f>
        <x:v>233.30064071473075</x:v>
      </x:c>
      <x:c r="K854" s="21" t="n">
        <x:f>'情景参数模板'!$D$31</x:f>
        <x:v>1.2</x:v>
      </x:c>
      <x:c r="L854" s="21" t="n">
        <x:f>J854*K854</x:f>
        <x:v>279.9607688576769</x:v>
      </x:c>
    </x:row>
    <x:row r="855">
      <x:c r="A855" s="17" t="str">
        <x:v>GD19</x:v>
      </x:c>
      <x:c r="B855" s="17" t="str">
        <x:v>潮州</x:v>
      </x:c>
      <x:c r="C855" s="24" t="n">
        <x:v>116.6204223</x:v>
      </x:c>
      <x:c r="D855" s="24" t="n">
        <x:v>23.656593</x:v>
      </x:c>
      <x:c r="E855" s="17" t="str">
        <x:v>P19</x:v>
      </x:c>
      <x:c r="F855" s="17" t="str">
        <x:v>广东盛祥新材料科技有限公司</x:v>
      </x:c>
      <x:c r="G855" s="17" t="str">
        <x:v>再生利用</x:v>
      </x:c>
      <x:c r="H855" s="24" t="n">
        <x:v>113.8155263</x:v>
      </x:c>
      <x:c r="I855" s="24" t="n">
        <x:v>24.8309489</x:v>
      </x:c>
      <x:c r="J855" s="21" t="n">
        <x:f>6371*ACOS(MIN(1,COS(D855*PI()/180)*COS(I855*PI()/180)*COS((H855-C855)*PI()/180)+SIN(D855*PI()/180)*SIN(I855*PI()/180)))</x:f>
        <x:v>312.91933151179103</x:v>
      </x:c>
      <x:c r="K855" s="21" t="n">
        <x:f>'情景参数模板'!$D$31</x:f>
        <x:v>1.2</x:v>
      </x:c>
      <x:c r="L855" s="21" t="n">
        <x:f>J855*K855</x:f>
        <x:v>375.50319781414925</x:v>
      </x:c>
    </x:row>
    <x:row r="856">
      <x:c r="A856" s="17" t="str">
        <x:v>GD19</x:v>
      </x:c>
      <x:c r="B856" s="17" t="str">
        <x:v>潮州</x:v>
      </x:c>
      <x:c r="C856" s="24" t="n">
        <x:v>116.6204223</x:v>
      </x:c>
      <x:c r="D856" s="24" t="n">
        <x:v>23.656593</x:v>
      </x:c>
      <x:c r="E856" s="17" t="str">
        <x:v>P20E</x:v>
      </x:c>
      <x:c r="F856" s="17" t="str">
        <x:v>广东金晟新能源股份有限公司（梯次功能）</x:v>
      </x:c>
      <x:c r="G856" s="17" t="str">
        <x:v>梯次利用</x:v>
      </x:c>
      <x:c r="H856" s="24" t="n">
        <x:v>112.4603629</x:v>
      </x:c>
      <x:c r="I856" s="24" t="n">
        <x:v>23.0501661</x:v>
      </x:c>
      <x:c r="J856" s="21" t="n">
        <x:f>6371*ACOS(MIN(1,COS(D856*PI()/180)*COS(I856*PI()/180)*COS((H856-C856)*PI()/180)+SIN(D856*PI()/180)*SIN(I856*PI()/180)))</x:f>
        <x:v>429.98456385867706</x:v>
      </x:c>
      <x:c r="K856" s="21" t="n">
        <x:f>'情景参数模板'!$D$31</x:f>
        <x:v>1.2</x:v>
      </x:c>
      <x:c r="L856" s="21" t="n">
        <x:f>J856*K856</x:f>
        <x:v>515.9814766304124</x:v>
      </x:c>
    </x:row>
    <x:row r="857">
      <x:c r="A857" s="17" t="str">
        <x:v>GD19</x:v>
      </x:c>
      <x:c r="B857" s="17" t="str">
        <x:v>潮州</x:v>
      </x:c>
      <x:c r="C857" s="24" t="n">
        <x:v>116.6204223</x:v>
      </x:c>
      <x:c r="D857" s="24" t="n">
        <x:v>23.656593</x:v>
      </x:c>
      <x:c r="E857" s="17" t="str">
        <x:v>P20R</x:v>
      </x:c>
      <x:c r="F857" s="17" t="str">
        <x:v>广东金晟新能源股份有限公司（再生功能）</x:v>
      </x:c>
      <x:c r="G857" s="17" t="str">
        <x:v>再生利用</x:v>
      </x:c>
      <x:c r="H857" s="24" t="n">
        <x:v>112.4603629</x:v>
      </x:c>
      <x:c r="I857" s="24" t="n">
        <x:v>23.0501661</x:v>
      </x:c>
      <x:c r="J857" s="21" t="n">
        <x:f>6371*ACOS(MIN(1,COS(D857*PI()/180)*COS(I857*PI()/180)*COS((H857-C857)*PI()/180)+SIN(D857*PI()/180)*SIN(I857*PI()/180)))</x:f>
        <x:v>429.98456385867706</x:v>
      </x:c>
      <x:c r="K857" s="21" t="n">
        <x:f>'情景参数模板'!$D$31</x:f>
        <x:v>1.2</x:v>
      </x:c>
      <x:c r="L857" s="21" t="n">
        <x:f>J857*K857</x:f>
        <x:v>515.9814766304124</x:v>
      </x:c>
    </x:row>
    <x:row r="858">
      <x:c r="A858" s="17" t="str">
        <x:v>GD19</x:v>
      </x:c>
      <x:c r="B858" s="17" t="str">
        <x:v>潮州</x:v>
      </x:c>
      <x:c r="C858" s="24" t="n">
        <x:v>116.6204223</x:v>
      </x:c>
      <x:c r="D858" s="24" t="n">
        <x:v>23.656593</x:v>
      </x:c>
      <x:c r="E858" s="17" t="str">
        <x:v>P21E</x:v>
      </x:c>
      <x:c r="F858" s="17" t="str">
        <x:v>广东瑞科美电源技术有限公司（梯次功能）</x:v>
      </x:c>
      <x:c r="G858" s="17" t="str">
        <x:v>梯次利用</x:v>
      </x:c>
      <x:c r="H858" s="24" t="n">
        <x:v>113.1159558</x:v>
      </x:c>
      <x:c r="I858" s="24" t="n">
        <x:v>23.0239788</x:v>
      </x:c>
      <x:c r="J858" s="21" t="n">
        <x:f>6371*ACOS(MIN(1,COS(D858*PI()/180)*COS(I858*PI()/180)*COS((H858-C858)*PI()/180)+SIN(D858*PI()/180)*SIN(I858*PI()/180)))</x:f>
        <x:v>364.62871927074957</x:v>
      </x:c>
      <x:c r="K858" s="21" t="n">
        <x:f>'情景参数模板'!$D$31</x:f>
        <x:v>1.2</x:v>
      </x:c>
      <x:c r="L858" s="21" t="n">
        <x:f>J858*K858</x:f>
        <x:v>437.5544631248995</x:v>
      </x:c>
    </x:row>
    <x:row r="859">
      <x:c r="A859" s="17" t="str">
        <x:v>GD19</x:v>
      </x:c>
      <x:c r="B859" s="17" t="str">
        <x:v>潮州</x:v>
      </x:c>
      <x:c r="C859" s="24" t="n">
        <x:v>116.6204223</x:v>
      </x:c>
      <x:c r="D859" s="24" t="n">
        <x:v>23.656593</x:v>
      </x:c>
      <x:c r="E859" s="17" t="str">
        <x:v>P21R</x:v>
      </x:c>
      <x:c r="F859" s="17" t="str">
        <x:v>广东瑞科美电源技术有限公司（再生功能）</x:v>
      </x:c>
      <x:c r="G859" s="17" t="str">
        <x:v>再生利用</x:v>
      </x:c>
      <x:c r="H859" s="24" t="n">
        <x:v>113.1159558</x:v>
      </x:c>
      <x:c r="I859" s="24" t="n">
        <x:v>23.0239788</x:v>
      </x:c>
      <x:c r="J859" s="21" t="n">
        <x:f>6371*ACOS(MIN(1,COS(D859*PI()/180)*COS(I859*PI()/180)*COS((H859-C859)*PI()/180)+SIN(D859*PI()/180)*SIN(I859*PI()/180)))</x:f>
        <x:v>364.62871927074957</x:v>
      </x:c>
      <x:c r="K859" s="21" t="n">
        <x:f>'情景参数模板'!$D$31</x:f>
        <x:v>1.2</x:v>
      </x:c>
      <x:c r="L859" s="21" t="n">
        <x:f>J859*K859</x:f>
        <x:v>437.5544631248995</x:v>
      </x:c>
    </x:row>
    <x:row r="860">
      <x:c r="A860" s="17" t="str">
        <x:v>GD20</x:v>
      </x:c>
      <x:c r="B860" s="17" t="str">
        <x:v>揭阳</x:v>
      </x:c>
      <x:c r="C860" s="24" t="n">
        <x:v>116.3680354</x:v>
      </x:c>
      <x:c r="D860" s="24" t="n">
        <x:v>23.553156</x:v>
      </x:c>
      <x:c r="E860" s="17" t="str">
        <x:v>C01</x:v>
      </x:c>
      <x:c r="F860" s="17" t="str">
        <x:v>广州虚拟回收/检测中心</x:v>
      </x:c>
      <x:c r="G860" s="17" t="str">
        <x:v>回收中心候选</x:v>
      </x:c>
      <x:c r="H860" s="24" t="n">
        <x:v>113.2589581</x:v>
      </x:c>
      <x:c r="I860" s="24" t="n">
        <x:v>23.1288429</x:v>
      </x:c>
      <x:c r="J860" s="21" t="n">
        <x:f>6371*ACOS(MIN(1,COS(D860*PI()/180)*COS(I860*PI()/180)*COS((H860-C860)*PI()/180)+SIN(D860*PI()/180)*SIN(I860*PI()/180)))</x:f>
        <x:v>320.9016901068273</x:v>
      </x:c>
      <x:c r="K860" s="21" t="n">
        <x:f>'情景参数模板'!$D$31</x:f>
        <x:v>1.2</x:v>
      </x:c>
      <x:c r="L860" s="21" t="n">
        <x:f>J860*K860</x:f>
        <x:v>385.08202812819275</x:v>
      </x:c>
    </x:row>
    <x:row r="861">
      <x:c r="A861" s="17" t="str">
        <x:v>GD20</x:v>
      </x:c>
      <x:c r="B861" s="17" t="str">
        <x:v>揭阳</x:v>
      </x:c>
      <x:c r="C861" s="24" t="n">
        <x:v>116.3680354</x:v>
      </x:c>
      <x:c r="D861" s="24" t="n">
        <x:v>23.553156</x:v>
      </x:c>
      <x:c r="E861" s="17" t="str">
        <x:v>C02</x:v>
      </x:c>
      <x:c r="F861" s="17" t="str">
        <x:v>深圳虚拟回收/检测中心</x:v>
      </x:c>
      <x:c r="G861" s="17" t="str">
        <x:v>回收中心候选</x:v>
      </x:c>
      <x:c r="H861" s="24" t="n">
        <x:v>114.0545429</x:v>
      </x:c>
      <x:c r="I861" s="24" t="n">
        <x:v>22.5445741</x:v>
      </x:c>
      <x:c r="J861" s="21" t="n">
        <x:f>6371*ACOS(MIN(1,COS(D861*PI()/180)*COS(I861*PI()/180)*COS((H861-C861)*PI()/180)+SIN(D861*PI()/180)*SIN(I861*PI()/180)))</x:f>
        <x:v>261.92936233802646</x:v>
      </x:c>
      <x:c r="K861" s="21" t="n">
        <x:f>'情景参数模板'!$D$31</x:f>
        <x:v>1.2</x:v>
      </x:c>
      <x:c r="L861" s="21" t="n">
        <x:f>J861*K861</x:f>
        <x:v>314.31523480563175</x:v>
      </x:c>
    </x:row>
    <x:row r="862">
      <x:c r="A862" s="17" t="str">
        <x:v>GD20</x:v>
      </x:c>
      <x:c r="B862" s="17" t="str">
        <x:v>揭阳</x:v>
      </x:c>
      <x:c r="C862" s="24" t="n">
        <x:v>116.3680354</x:v>
      </x:c>
      <x:c r="D862" s="24" t="n">
        <x:v>23.553156</x:v>
      </x:c>
      <x:c r="E862" s="17" t="str">
        <x:v>C03</x:v>
      </x:c>
      <x:c r="F862" s="17" t="str">
        <x:v>珠海虚拟回收/检测中心</x:v>
      </x:c>
      <x:c r="G862" s="17" t="str">
        <x:v>回收中心候选</x:v>
      </x:c>
      <x:c r="H862" s="24" t="n">
        <x:v>113.5721327</x:v>
      </x:c>
      <x:c r="I862" s="24" t="n">
        <x:v>22.273734</x:v>
      </x:c>
      <x:c r="J862" s="21" t="n">
        <x:f>6371*ACOS(MIN(1,COS(D862*PI()/180)*COS(I862*PI()/180)*COS((H862-C862)*PI()/180)+SIN(D862*PI()/180)*SIN(I862*PI()/180)))</x:f>
        <x:v>319.7393294978697</x:v>
      </x:c>
      <x:c r="K862" s="21" t="n">
        <x:f>'情景参数模板'!$D$31</x:f>
        <x:v>1.2</x:v>
      </x:c>
      <x:c r="L862" s="21" t="n">
        <x:f>J862*K862</x:f>
        <x:v>383.6871953974436</x:v>
      </x:c>
    </x:row>
    <x:row r="863">
      <x:c r="A863" s="17" t="str">
        <x:v>GD20</x:v>
      </x:c>
      <x:c r="B863" s="17" t="str">
        <x:v>揭阳</x:v>
      </x:c>
      <x:c r="C863" s="24" t="n">
        <x:v>116.3680354</x:v>
      </x:c>
      <x:c r="D863" s="24" t="n">
        <x:v>23.553156</x:v>
      </x:c>
      <x:c r="E863" s="17" t="str">
        <x:v>C04</x:v>
      </x:c>
      <x:c r="F863" s="17" t="str">
        <x:v>汕头虚拟回收/检测中心</x:v>
      </x:c>
      <x:c r="G863" s="17" t="str">
        <x:v>回收中心候选</x:v>
      </x:c>
      <x:c r="H863" s="24" t="n">
        <x:v>116.6775856</x:v>
      </x:c>
      <x:c r="I863" s="24" t="n">
        <x:v>23.3563921</x:v>
      </x:c>
      <x:c r="J863" s="21" t="n">
        <x:f>6371*ACOS(MIN(1,COS(D863*PI()/180)*COS(I863*PI()/180)*COS((H863-C863)*PI()/180)+SIN(D863*PI()/180)*SIN(I863*PI()/180)))</x:f>
        <x:v>38.41568432658492</x:v>
      </x:c>
      <x:c r="K863" s="21" t="n">
        <x:f>'情景参数模板'!$D$31</x:f>
        <x:v>1.2</x:v>
      </x:c>
      <x:c r="L863" s="21" t="n">
        <x:f>J863*K863</x:f>
        <x:v>46.098821191901905</x:v>
      </x:c>
    </x:row>
    <x:row r="864">
      <x:c r="A864" s="17" t="str">
        <x:v>GD20</x:v>
      </x:c>
      <x:c r="B864" s="17" t="str">
        <x:v>揭阳</x:v>
      </x:c>
      <x:c r="C864" s="24" t="n">
        <x:v>116.3680354</x:v>
      </x:c>
      <x:c r="D864" s="24" t="n">
        <x:v>23.553156</x:v>
      </x:c>
      <x:c r="E864" s="17" t="str">
        <x:v>C05</x:v>
      </x:c>
      <x:c r="F864" s="17" t="str">
        <x:v>佛山虚拟回收/检测中心</x:v>
      </x:c>
      <x:c r="G864" s="17" t="str">
        <x:v>回收中心候选</x:v>
      </x:c>
      <x:c r="H864" s="24" t="n">
        <x:v>113.1159558</x:v>
      </x:c>
      <x:c r="I864" s="24" t="n">
        <x:v>23.0239788</x:v>
      </x:c>
      <x:c r="J864" s="21" t="n">
        <x:f>6371*ACOS(MIN(1,COS(D864*PI()/180)*COS(I864*PI()/180)*COS((H864-C864)*PI()/180)+SIN(D864*PI()/180)*SIN(I864*PI()/180)))</x:f>
        <x:v>337.31536533239324</x:v>
      </x:c>
      <x:c r="K864" s="21" t="n">
        <x:f>'情景参数模板'!$D$31</x:f>
        <x:v>1.2</x:v>
      </x:c>
      <x:c r="L864" s="21" t="n">
        <x:f>J864*K864</x:f>
        <x:v>404.77843839887186</x:v>
      </x:c>
    </x:row>
    <x:row r="865">
      <x:c r="A865" s="17" t="str">
        <x:v>GD20</x:v>
      </x:c>
      <x:c r="B865" s="17" t="str">
        <x:v>揭阳</x:v>
      </x:c>
      <x:c r="C865" s="24" t="n">
        <x:v>116.3680354</x:v>
      </x:c>
      <x:c r="D865" s="24" t="n">
        <x:v>23.553156</x:v>
      </x:c>
      <x:c r="E865" s="17" t="str">
        <x:v>C06</x:v>
      </x:c>
      <x:c r="F865" s="17" t="str">
        <x:v>韶关虚拟回收/检测中心</x:v>
      </x:c>
      <x:c r="G865" s="17" t="str">
        <x:v>回收中心候选</x:v>
      </x:c>
      <x:c r="H865" s="24" t="n">
        <x:v>113.8155263</x:v>
      </x:c>
      <x:c r="I865" s="24" t="n">
        <x:v>24.8309489</x:v>
      </x:c>
      <x:c r="J865" s="21" t="n">
        <x:f>6371*ACOS(MIN(1,COS(D865*PI()/180)*COS(I865*PI()/180)*COS((H865-C865)*PI()/180)+SIN(D865*PI()/180)*SIN(I865*PI()/180)))</x:f>
        <x:v>295.3143523759985</x:v>
      </x:c>
      <x:c r="K865" s="21" t="n">
        <x:f>'情景参数模板'!$D$31</x:f>
        <x:v>1.2</x:v>
      </x:c>
      <x:c r="L865" s="21" t="n">
        <x:f>J865*K865</x:f>
        <x:v>354.3772228511982</x:v>
      </x:c>
    </x:row>
    <x:row r="866">
      <x:c r="A866" s="17" t="str">
        <x:v>GD20</x:v>
      </x:c>
      <x:c r="B866" s="17" t="str">
        <x:v>揭阳</x:v>
      </x:c>
      <x:c r="C866" s="24" t="n">
        <x:v>116.3680354</x:v>
      </x:c>
      <x:c r="D866" s="24" t="n">
        <x:v>23.553156</x:v>
      </x:c>
      <x:c r="E866" s="17" t="str">
        <x:v>C07</x:v>
      </x:c>
      <x:c r="F866" s="17" t="str">
        <x:v>河源虚拟回收/检测中心</x:v>
      </x:c>
      <x:c r="G866" s="17" t="str">
        <x:v>回收中心候选</x:v>
      </x:c>
      <x:c r="H866" s="24" t="n">
        <x:v>115.0577538</x:v>
      </x:c>
      <x:c r="I866" s="24" t="n">
        <x:v>24.1014769</x:v>
      </x:c>
      <x:c r="J866" s="21" t="n">
        <x:f>6371*ACOS(MIN(1,COS(D866*PI()/180)*COS(I866*PI()/180)*COS((H866-C866)*PI()/180)+SIN(D866*PI()/180)*SIN(I866*PI()/180)))</x:f>
        <x:v>146.56134098131724</x:v>
      </x:c>
      <x:c r="K866" s="21" t="n">
        <x:f>'情景参数模板'!$D$31</x:f>
        <x:v>1.2</x:v>
      </x:c>
      <x:c r="L866" s="21" t="n">
        <x:f>J866*K866</x:f>
        <x:v>175.87360917758068</x:v>
      </x:c>
    </x:row>
    <x:row r="867">
      <x:c r="A867" s="17" t="str">
        <x:v>GD20</x:v>
      </x:c>
      <x:c r="B867" s="17" t="str">
        <x:v>揭阳</x:v>
      </x:c>
      <x:c r="C867" s="24" t="n">
        <x:v>116.3680354</x:v>
      </x:c>
      <x:c r="D867" s="24" t="n">
        <x:v>23.553156</x:v>
      </x:c>
      <x:c r="E867" s="17" t="str">
        <x:v>C08</x:v>
      </x:c>
      <x:c r="F867" s="17" t="str">
        <x:v>梅州虚拟回收/检测中心</x:v>
      </x:c>
      <x:c r="G867" s="17" t="str">
        <x:v>回收中心候选</x:v>
      </x:c>
      <x:c r="H867" s="24" t="n">
        <x:v>116.1171428</x:v>
      </x:c>
      <x:c r="I867" s="24" t="n">
        <x:v>24.2918414</x:v>
      </x:c>
      <x:c r="J867" s="21" t="n">
        <x:f>6371*ACOS(MIN(1,COS(D867*PI()/180)*COS(I867*PI()/180)*COS((H867-C867)*PI()/180)+SIN(D867*PI()/180)*SIN(I867*PI()/180)))</x:f>
        <x:v>86.00563571444273</x:v>
      </x:c>
      <x:c r="K867" s="21" t="n">
        <x:f>'情景参数模板'!$D$31</x:f>
        <x:v>1.2</x:v>
      </x:c>
      <x:c r="L867" s="21" t="n">
        <x:f>J867*K867</x:f>
        <x:v>103.20676285733127</x:v>
      </x:c>
    </x:row>
    <x:row r="868">
      <x:c r="A868" s="17" t="str">
        <x:v>GD20</x:v>
      </x:c>
      <x:c r="B868" s="17" t="str">
        <x:v>揭阳</x:v>
      </x:c>
      <x:c r="C868" s="24" t="n">
        <x:v>116.3680354</x:v>
      </x:c>
      <x:c r="D868" s="24" t="n">
        <x:v>23.553156</x:v>
      </x:c>
      <x:c r="E868" s="17" t="str">
        <x:v>C09</x:v>
      </x:c>
      <x:c r="F868" s="17" t="str">
        <x:v>惠州虚拟回收/检测中心</x:v>
      </x:c>
      <x:c r="G868" s="17" t="str">
        <x:v>回收中心候选</x:v>
      </x:c>
      <x:c r="H868" s="24" t="n">
        <x:v>114.4127007</x:v>
      </x:c>
      <x:c r="I868" s="24" t="n">
        <x:v>23.1125153</x:v>
      </x:c>
      <x:c r="J868" s="21" t="n">
        <x:f>6371*ACOS(MIN(1,COS(D868*PI()/180)*COS(I868*PI()/180)*COS((H868-C868)*PI()/180)+SIN(D868*PI()/180)*SIN(I868*PI()/180)))</x:f>
        <x:v>205.5647125663095</x:v>
      </x:c>
      <x:c r="K868" s="21" t="n">
        <x:f>'情景参数模板'!$D$31</x:f>
        <x:v>1.2</x:v>
      </x:c>
      <x:c r="L868" s="21" t="n">
        <x:f>J868*K868</x:f>
        <x:v>246.6776550795714</x:v>
      </x:c>
    </x:row>
    <x:row r="869">
      <x:c r="A869" s="17" t="str">
        <x:v>GD20</x:v>
      </x:c>
      <x:c r="B869" s="17" t="str">
        <x:v>揭阳</x:v>
      </x:c>
      <x:c r="C869" s="24" t="n">
        <x:v>116.3680354</x:v>
      </x:c>
      <x:c r="D869" s="24" t="n">
        <x:v>23.553156</x:v>
      </x:c>
      <x:c r="E869" s="17" t="str">
        <x:v>C10</x:v>
      </x:c>
      <x:c r="F869" s="17" t="str">
        <x:v>汕尾虚拟回收/检测中心</x:v>
      </x:c>
      <x:c r="G869" s="17" t="str">
        <x:v>回收中心候选</x:v>
      </x:c>
      <x:c r="H869" s="24" t="n">
        <x:v>115.5099937</x:v>
      </x:c>
      <x:c r="I869" s="24" t="n">
        <x:v>23.0123639</x:v>
      </x:c>
      <x:c r="J869" s="21" t="n">
        <x:f>6371*ACOS(MIN(1,COS(D869*PI()/180)*COS(I869*PI()/180)*COS((H869-C869)*PI()/180)+SIN(D869*PI()/180)*SIN(I869*PI()/180)))</x:f>
        <x:v>106.28600251464582</x:v>
      </x:c>
      <x:c r="K869" s="21" t="n">
        <x:f>'情景参数模板'!$D$31</x:f>
        <x:v>1.2</x:v>
      </x:c>
      <x:c r="L869" s="21" t="n">
        <x:f>J869*K869</x:f>
        <x:v>127.54320301757497</x:v>
      </x:c>
    </x:row>
    <x:row r="870">
      <x:c r="A870" s="17" t="str">
        <x:v>GD20</x:v>
      </x:c>
      <x:c r="B870" s="17" t="str">
        <x:v>揭阳</x:v>
      </x:c>
      <x:c r="C870" s="24" t="n">
        <x:v>116.3680354</x:v>
      </x:c>
      <x:c r="D870" s="24" t="n">
        <x:v>23.553156</x:v>
      </x:c>
      <x:c r="E870" s="17" t="str">
        <x:v>C11</x:v>
      </x:c>
      <x:c r="F870" s="17" t="str">
        <x:v>东莞虚拟回收/检测中心</x:v>
      </x:c>
      <x:c r="G870" s="17" t="str">
        <x:v>回收中心候选</x:v>
      </x:c>
      <x:c r="H870" s="24" t="n">
        <x:v>113.7452332</x:v>
      </x:c>
      <x:c r="I870" s="24" t="n">
        <x:v>23.0183568</x:v>
      </x:c>
      <x:c r="J870" s="21" t="n">
        <x:f>6371*ACOS(MIN(1,COS(D870*PI()/180)*COS(I870*PI()/180)*COS((H870-C870)*PI()/180)+SIN(D870*PI()/180)*SIN(I870*PI()/180)))</x:f>
        <x:v>274.4024735528984</x:v>
      </x:c>
      <x:c r="K870" s="21" t="n">
        <x:f>'情景参数模板'!$D$31</x:f>
        <x:v>1.2</x:v>
      </x:c>
      <x:c r="L870" s="21" t="n">
        <x:f>J870*K870</x:f>
        <x:v>329.2829682634781</x:v>
      </x:c>
    </x:row>
    <x:row r="871">
      <x:c r="A871" s="17" t="str">
        <x:v>GD20</x:v>
      </x:c>
      <x:c r="B871" s="17" t="str">
        <x:v>揭阳</x:v>
      </x:c>
      <x:c r="C871" s="24" t="n">
        <x:v>116.3680354</x:v>
      </x:c>
      <x:c r="D871" s="24" t="n">
        <x:v>23.553156</x:v>
      </x:c>
      <x:c r="E871" s="17" t="str">
        <x:v>C12</x:v>
      </x:c>
      <x:c r="F871" s="17" t="str">
        <x:v>中山虚拟回收/检测中心</x:v>
      </x:c>
      <x:c r="G871" s="17" t="str">
        <x:v>回收中心候选</x:v>
      </x:c>
      <x:c r="H871" s="24" t="n">
        <x:v>113.3872302</x:v>
      </x:c>
      <x:c r="I871" s="24" t="n">
        <x:v>22.5197073</x:v>
      </x:c>
      <x:c r="J871" s="21" t="n">
        <x:f>6371*ACOS(MIN(1,COS(D871*PI()/180)*COS(I871*PI()/180)*COS((H871-C871)*PI()/180)+SIN(D871*PI()/180)*SIN(I871*PI()/180)))</x:f>
        <x:v>325.937045938016</x:v>
      </x:c>
      <x:c r="K871" s="21" t="n">
        <x:f>'情景参数模板'!$D$31</x:f>
        <x:v>1.2</x:v>
      </x:c>
      <x:c r="L871" s="21" t="n">
        <x:f>J871*K871</x:f>
        <x:v>391.1244551256192</x:v>
      </x:c>
    </x:row>
    <x:row r="872">
      <x:c r="A872" s="17" t="str">
        <x:v>GD20</x:v>
      </x:c>
      <x:c r="B872" s="17" t="str">
        <x:v>揭阳</x:v>
      </x:c>
      <x:c r="C872" s="24" t="n">
        <x:v>116.3680354</x:v>
      </x:c>
      <x:c r="D872" s="24" t="n">
        <x:v>23.553156</x:v>
      </x:c>
      <x:c r="E872" s="17" t="str">
        <x:v>C13</x:v>
      </x:c>
      <x:c r="F872" s="17" t="str">
        <x:v>江门虚拟回收/检测中心</x:v>
      </x:c>
      <x:c r="G872" s="17" t="str">
        <x:v>回收中心候选</x:v>
      </x:c>
      <x:c r="H872" s="24" t="n">
        <x:v>113.0761073</x:v>
      </x:c>
      <x:c r="I872" s="24" t="n">
        <x:v>22.5816619</x:v>
      </x:c>
      <x:c r="J872" s="21" t="n">
        <x:f>6371*ACOS(MIN(1,COS(D872*PI()/180)*COS(I872*PI()/180)*COS((H872-C872)*PI()/180)+SIN(D872*PI()/180)*SIN(I872*PI()/180)))</x:f>
        <x:v>353.6666681995238</x:v>
      </x:c>
      <x:c r="K872" s="21" t="n">
        <x:f>'情景参数模板'!$D$31</x:f>
        <x:v>1.2</x:v>
      </x:c>
      <x:c r="L872" s="21" t="n">
        <x:f>J872*K872</x:f>
        <x:v>424.40000183942857</x:v>
      </x:c>
    </x:row>
    <x:row r="873">
      <x:c r="A873" s="17" t="str">
        <x:v>GD20</x:v>
      </x:c>
      <x:c r="B873" s="17" t="str">
        <x:v>揭阳</x:v>
      </x:c>
      <x:c r="C873" s="24" t="n">
        <x:v>116.3680354</x:v>
      </x:c>
      <x:c r="D873" s="24" t="n">
        <x:v>23.553156</x:v>
      </x:c>
      <x:c r="E873" s="17" t="str">
        <x:v>C14</x:v>
      </x:c>
      <x:c r="F873" s="17" t="str">
        <x:v>阳江虚拟回收/检测中心</x:v>
      </x:c>
      <x:c r="G873" s="17" t="str">
        <x:v>回收中心候选</x:v>
      </x:c>
      <x:c r="H873" s="24" t="n">
        <x:v>111.7831393</x:v>
      </x:c>
      <x:c r="I873" s="24" t="n">
        <x:v>22.0958223</x:v>
      </x:c>
      <x:c r="J873" s="21" t="n">
        <x:f>6371*ACOS(MIN(1,COS(D873*PI()/180)*COS(I873*PI()/180)*COS((H873-C873)*PI()/180)+SIN(D873*PI()/180)*SIN(I873*PI()/180)))</x:f>
        <x:v>497.0181002668554</x:v>
      </x:c>
      <x:c r="K873" s="21" t="n">
        <x:f>'情景参数模板'!$D$31</x:f>
        <x:v>1.2</x:v>
      </x:c>
      <x:c r="L873" s="21" t="n">
        <x:f>J873*K873</x:f>
        <x:v>596.4217203202264</x:v>
      </x:c>
    </x:row>
    <x:row r="874">
      <x:c r="A874" s="17" t="str">
        <x:v>GD20</x:v>
      </x:c>
      <x:c r="B874" s="17" t="str">
        <x:v>揭阳</x:v>
      </x:c>
      <x:c r="C874" s="24" t="n">
        <x:v>116.3680354</x:v>
      </x:c>
      <x:c r="D874" s="24" t="n">
        <x:v>23.553156</x:v>
      </x:c>
      <x:c r="E874" s="17" t="str">
        <x:v>C15</x:v>
      </x:c>
      <x:c r="F874" s="17" t="str">
        <x:v>湛江虚拟回收/检测中心</x:v>
      </x:c>
      <x:c r="G874" s="17" t="str">
        <x:v>回收中心候选</x:v>
      </x:c>
      <x:c r="H874" s="24" t="n">
        <x:v>110.3548318</x:v>
      </x:c>
      <x:c r="I874" s="24" t="n">
        <x:v>21.2737079</x:v>
      </x:c>
      <x:c r="J874" s="21" t="n">
        <x:f>6371*ACOS(MIN(1,COS(D874*PI()/180)*COS(I874*PI()/180)*COS((H874-C874)*PI()/180)+SIN(D874*PI()/180)*SIN(I874*PI()/180)))</x:f>
        <x:v>667.9796927972593</x:v>
      </x:c>
      <x:c r="K874" s="21" t="n">
        <x:f>'情景参数模板'!$D$31</x:f>
        <x:v>1.2</x:v>
      </x:c>
      <x:c r="L874" s="21" t="n">
        <x:f>J874*K874</x:f>
        <x:v>801.5756313567111</x:v>
      </x:c>
    </x:row>
    <x:row r="875">
      <x:c r="A875" s="17" t="str">
        <x:v>GD20</x:v>
      </x:c>
      <x:c r="B875" s="17" t="str">
        <x:v>揭阳</x:v>
      </x:c>
      <x:c r="C875" s="24" t="n">
        <x:v>116.3680354</x:v>
      </x:c>
      <x:c r="D875" s="24" t="n">
        <x:v>23.553156</x:v>
      </x:c>
      <x:c r="E875" s="17" t="str">
        <x:v>C16</x:v>
      </x:c>
      <x:c r="F875" s="17" t="str">
        <x:v>茂名虚拟回收/检测中心</x:v>
      </x:c>
      <x:c r="G875" s="17" t="str">
        <x:v>回收中心候选</x:v>
      </x:c>
      <x:c r="H875" s="24" t="n">
        <x:v>110.9209511</x:v>
      </x:c>
      <x:c r="I875" s="24" t="n">
        <x:v>21.6656961</x:v>
      </x:c>
      <x:c r="J875" s="21" t="n">
        <x:f>6371*ACOS(MIN(1,COS(D875*PI()/180)*COS(I875*PI()/180)*COS((H875-C875)*PI()/180)+SIN(D875*PI()/180)*SIN(I875*PI()/180)))</x:f>
        <x:v>597.1655712096995</x:v>
      </x:c>
      <x:c r="K875" s="21" t="n">
        <x:f>'情景参数模板'!$D$31</x:f>
        <x:v>1.2</x:v>
      </x:c>
      <x:c r="L875" s="21" t="n">
        <x:f>J875*K875</x:f>
        <x:v>716.5986854516393</x:v>
      </x:c>
    </x:row>
    <x:row r="876">
      <x:c r="A876" s="17" t="str">
        <x:v>GD20</x:v>
      </x:c>
      <x:c r="B876" s="17" t="str">
        <x:v>揭阳</x:v>
      </x:c>
      <x:c r="C876" s="24" t="n">
        <x:v>116.3680354</x:v>
      </x:c>
      <x:c r="D876" s="24" t="n">
        <x:v>23.553156</x:v>
      </x:c>
      <x:c r="E876" s="17" t="str">
        <x:v>C17</x:v>
      </x:c>
      <x:c r="F876" s="17" t="str">
        <x:v>肇庆虚拟回收/检测中心</x:v>
      </x:c>
      <x:c r="G876" s="17" t="str">
        <x:v>回收中心候选</x:v>
      </x:c>
      <x:c r="H876" s="24" t="n">
        <x:v>112.4603629</x:v>
      </x:c>
      <x:c r="I876" s="24" t="n">
        <x:v>23.0501661</x:v>
      </x:c>
      <x:c r="J876" s="21" t="n">
        <x:f>6371*ACOS(MIN(1,COS(D876*PI()/180)*COS(I876*PI()/180)*COS((H876-C876)*PI()/180)+SIN(D876*PI()/180)*SIN(I876*PI()/180)))</x:f>
        <x:v>402.95849892739517</x:v>
      </x:c>
      <x:c r="K876" s="21" t="n">
        <x:f>'情景参数模板'!$D$31</x:f>
        <x:v>1.2</x:v>
      </x:c>
      <x:c r="L876" s="21" t="n">
        <x:f>J876*K876</x:f>
        <x:v>483.5501987128742</x:v>
      </x:c>
    </x:row>
    <x:row r="877">
      <x:c r="A877" s="17" t="str">
        <x:v>GD20</x:v>
      </x:c>
      <x:c r="B877" s="17" t="str">
        <x:v>揭阳</x:v>
      </x:c>
      <x:c r="C877" s="24" t="n">
        <x:v>116.3680354</x:v>
      </x:c>
      <x:c r="D877" s="24" t="n">
        <x:v>23.553156</x:v>
      </x:c>
      <x:c r="E877" s="17" t="str">
        <x:v>C18</x:v>
      </x:c>
      <x:c r="F877" s="17" t="str">
        <x:v>清远虚拟回收/检测中心</x:v>
      </x:c>
      <x:c r="G877" s="17" t="str">
        <x:v>回收中心候选</x:v>
      </x:c>
      <x:c r="H877" s="24" t="n">
        <x:v>113.0505994</x:v>
      </x:c>
      <x:c r="I877" s="24" t="n">
        <x:v>23.6832984</x:v>
      </x:c>
      <x:c r="J877" s="21" t="n">
        <x:f>6371*ACOS(MIN(1,COS(D877*PI()/180)*COS(I877*PI()/180)*COS((H877-C877)*PI()/180)+SIN(D877*PI()/180)*SIN(I877*PI()/180)))</x:f>
        <x:v>338.28473835116233</x:v>
      </x:c>
      <x:c r="K877" s="21" t="n">
        <x:f>'情景参数模板'!$D$31</x:f>
        <x:v>1.2</x:v>
      </x:c>
      <x:c r="L877" s="21" t="n">
        <x:f>J877*K877</x:f>
        <x:v>405.9416860213948</x:v>
      </x:c>
    </x:row>
    <x:row r="878">
      <x:c r="A878" s="17" t="str">
        <x:v>GD20</x:v>
      </x:c>
      <x:c r="B878" s="17" t="str">
        <x:v>揭阳</x:v>
      </x:c>
      <x:c r="C878" s="24" t="n">
        <x:v>116.3680354</x:v>
      </x:c>
      <x:c r="D878" s="24" t="n">
        <x:v>23.553156</x:v>
      </x:c>
      <x:c r="E878" s="17" t="str">
        <x:v>C19</x:v>
      </x:c>
      <x:c r="F878" s="17" t="str">
        <x:v>潮州虚拟回收/检测中心</x:v>
      </x:c>
      <x:c r="G878" s="17" t="str">
        <x:v>回收中心候选</x:v>
      </x:c>
      <x:c r="H878" s="24" t="n">
        <x:v>116.6204223</x:v>
      </x:c>
      <x:c r="I878" s="24" t="n">
        <x:v>23.656593</x:v>
      </x:c>
      <x:c r="J878" s="21" t="n">
        <x:f>6371*ACOS(MIN(1,COS(D878*PI()/180)*COS(I878*PI()/180)*COS((H878-C878)*PI()/180)+SIN(D878*PI()/180)*SIN(I878*PI()/180)))</x:f>
        <x:v>28.170898173495665</x:v>
      </x:c>
      <x:c r="K878" s="21" t="n">
        <x:f>'情景参数模板'!$D$31</x:f>
        <x:v>1.2</x:v>
      </x:c>
      <x:c r="L878" s="21" t="n">
        <x:f>J878*K878</x:f>
        <x:v>33.805077808194795</x:v>
      </x:c>
    </x:row>
    <x:row r="879">
      <x:c r="A879" s="17" t="str">
        <x:v>GD20</x:v>
      </x:c>
      <x:c r="B879" s="17" t="str">
        <x:v>揭阳</x:v>
      </x:c>
      <x:c r="C879" s="24" t="n">
        <x:v>116.3680354</x:v>
      </x:c>
      <x:c r="D879" s="24" t="n">
        <x:v>23.553156</x:v>
      </x:c>
      <x:c r="E879" s="17" t="str">
        <x:v>C20</x:v>
      </x:c>
      <x:c r="F879" s="17" t="str">
        <x:v>揭阳虚拟回收/检测中心</x:v>
      </x:c>
      <x:c r="G879" s="17" t="str">
        <x:v>回收中心候选</x:v>
      </x:c>
      <x:c r="H879" s="24" t="n">
        <x:v>116.3680354</x:v>
      </x:c>
      <x:c r="I879" s="24" t="n">
        <x:v>23.553156</x:v>
      </x:c>
      <x:c r="J879" s="21" t="n">
        <x:f>6371*ACOS(MIN(1,COS(D879*PI()/180)*COS(I879*PI()/180)*COS((H879-C879)*PI()/180)+SIN(D879*PI()/180)*SIN(I879*PI()/180)))</x:f>
        <x:v>0</x:v>
      </x:c>
      <x:c r="K879" s="21" t="n">
        <x:f>'情景参数模板'!$D$31</x:f>
        <x:v>1.2</x:v>
      </x:c>
      <x:c r="L879" s="21" t="n">
        <x:f>J879*K879</x:f>
        <x:v>0</x:v>
      </x:c>
    </x:row>
    <x:row r="880">
      <x:c r="A880" s="17" t="str">
        <x:v>GD20</x:v>
      </x:c>
      <x:c r="B880" s="17" t="str">
        <x:v>揭阳</x:v>
      </x:c>
      <x:c r="C880" s="24" t="n">
        <x:v>116.3680354</x:v>
      </x:c>
      <x:c r="D880" s="24" t="n">
        <x:v>23.553156</x:v>
      </x:c>
      <x:c r="E880" s="17" t="str">
        <x:v>C21</x:v>
      </x:c>
      <x:c r="F880" s="17" t="str">
        <x:v>云浮虚拟回收/检测中心</x:v>
      </x:c>
      <x:c r="G880" s="17" t="str">
        <x:v>回收中心候选</x:v>
      </x:c>
      <x:c r="H880" s="24" t="n">
        <x:v>111.8078586</x:v>
      </x:c>
      <x:c r="I880" s="24" t="n">
        <x:v>22.8546663</x:v>
      </x:c>
      <x:c r="J880" s="21" t="n">
        <x:f>6371*ACOS(MIN(1,COS(D880*PI()/180)*COS(I880*PI()/180)*COS((H880-C880)*PI()/180)+SIN(D880*PI()/180)*SIN(I880*PI()/180)))</x:f>
        <x:v>472.4552002621068</x:v>
      </x:c>
      <x:c r="K880" s="21" t="n">
        <x:f>'情景参数模板'!$D$31</x:f>
        <x:v>1.2</x:v>
      </x:c>
      <x:c r="L880" s="21" t="n">
        <x:f>J880*K880</x:f>
        <x:v>566.9462403145282</x:v>
      </x:c>
    </x:row>
    <x:row r="881">
      <x:c r="A881" s="17" t="str">
        <x:v>GD20</x:v>
      </x:c>
      <x:c r="B881" s="17" t="str">
        <x:v>揭阳</x:v>
      </x:c>
      <x:c r="C881" s="24" t="n">
        <x:v>116.3680354</x:v>
      </x:c>
      <x:c r="D881" s="24" t="n">
        <x:v>23.553156</x:v>
      </x:c>
      <x:c r="E881" s="17" t="str">
        <x:v>P01</x:v>
      </x:c>
      <x:c r="F881" s="17" t="str">
        <x:v>汕尾比亚迪废旧动力电池回收项目</x:v>
      </x:c>
      <x:c r="G881" s="17" t="str">
        <x:v>再生利用</x:v>
      </x:c>
      <x:c r="H881" s="24" t="n">
        <x:v>115.3492668</x:v>
      </x:c>
      <x:c r="I881" s="24" t="n">
        <x:v>22.838065</x:v>
      </x:c>
      <x:c r="J881" s="21" t="n">
        <x:f>6371*ACOS(MIN(1,COS(D881*PI()/180)*COS(I881*PI()/180)*COS((H881-C881)*PI()/180)+SIN(D881*PI()/180)*SIN(I881*PI()/180)))</x:f>
        <x:v>131.0124766546225</x:v>
      </x:c>
      <x:c r="K881" s="21" t="n">
        <x:f>'情景参数模板'!$D$31</x:f>
        <x:v>1.2</x:v>
      </x:c>
      <x:c r="L881" s="21" t="n">
        <x:f>J881*K881</x:f>
        <x:v>157.214971985547</x:v>
      </x:c>
    </x:row>
    <x:row r="882">
      <x:c r="A882" s="17" t="str">
        <x:v>GD20</x:v>
      </x:c>
      <x:c r="B882" s="17" t="str">
        <x:v>揭阳</x:v>
      </x:c>
      <x:c r="C882" s="24" t="n">
        <x:v>116.3680354</x:v>
      </x:c>
      <x:c r="D882" s="24" t="n">
        <x:v>23.553156</x:v>
      </x:c>
      <x:c r="E882" s="17" t="str">
        <x:v>P02E</x:v>
      </x:c>
      <x:c r="F882" s="17" t="str">
        <x:v>广东光华科技股份有限公司（梯次功能）</x:v>
      </x:c>
      <x:c r="G882" s="17" t="str">
        <x:v>梯次利用</x:v>
      </x:c>
      <x:c r="H882" s="24" t="n">
        <x:v>116.6775856</x:v>
      </x:c>
      <x:c r="I882" s="24" t="n">
        <x:v>23.3563921</x:v>
      </x:c>
      <x:c r="J882" s="21" t="n">
        <x:f>6371*ACOS(MIN(1,COS(D882*PI()/180)*COS(I882*PI()/180)*COS((H882-C882)*PI()/180)+SIN(D882*PI()/180)*SIN(I882*PI()/180)))</x:f>
        <x:v>38.41568432658492</x:v>
      </x:c>
      <x:c r="K882" s="21" t="n">
        <x:f>'情景参数模板'!$D$31</x:f>
        <x:v>1.2</x:v>
      </x:c>
      <x:c r="L882" s="21" t="n">
        <x:f>J882*K882</x:f>
        <x:v>46.098821191901905</x:v>
      </x:c>
    </x:row>
    <x:row r="883">
      <x:c r="A883" s="17" t="str">
        <x:v>GD20</x:v>
      </x:c>
      <x:c r="B883" s="17" t="str">
        <x:v>揭阳</x:v>
      </x:c>
      <x:c r="C883" s="24" t="n">
        <x:v>116.3680354</x:v>
      </x:c>
      <x:c r="D883" s="24" t="n">
        <x:v>23.553156</x:v>
      </x:c>
      <x:c r="E883" s="17" t="str">
        <x:v>P02R</x:v>
      </x:c>
      <x:c r="F883" s="17" t="str">
        <x:v>广东光华科技股份有限公司（再生功能）</x:v>
      </x:c>
      <x:c r="G883" s="17" t="str">
        <x:v>再生利用</x:v>
      </x:c>
      <x:c r="H883" s="24" t="n">
        <x:v>116.6775856</x:v>
      </x:c>
      <x:c r="I883" s="24" t="n">
        <x:v>23.3563921</x:v>
      </x:c>
      <x:c r="J883" s="21" t="n">
        <x:f>6371*ACOS(MIN(1,COS(D883*PI()/180)*COS(I883*PI()/180)*COS((H883-C883)*PI()/180)+SIN(D883*PI()/180)*SIN(I883*PI()/180)))</x:f>
        <x:v>38.41568432658492</x:v>
      </x:c>
      <x:c r="K883" s="21" t="n">
        <x:f>'情景参数模板'!$D$31</x:f>
        <x:v>1.2</x:v>
      </x:c>
      <x:c r="L883" s="21" t="n">
        <x:f>J883*K883</x:f>
        <x:v>46.098821191901905</x:v>
      </x:c>
    </x:row>
    <x:row r="884">
      <x:c r="A884" s="17" t="str">
        <x:v>GD20</x:v>
      </x:c>
      <x:c r="B884" s="17" t="str">
        <x:v>揭阳</x:v>
      </x:c>
      <x:c r="C884" s="24" t="n">
        <x:v>116.3680354</x:v>
      </x:c>
      <x:c r="D884" s="24" t="n">
        <x:v>23.553156</x:v>
      </x:c>
      <x:c r="E884" s="17" t="str">
        <x:v>P03</x:v>
      </x:c>
      <x:c r="F884" s="17" t="str">
        <x:v>深圳深汕特别合作区乾泰技术有限公司</x:v>
      </x:c>
      <x:c r="G884" s="17" t="str">
        <x:v>梯次利用</x:v>
      </x:c>
      <x:c r="H884" s="24" t="n">
        <x:v>115.5099937</x:v>
      </x:c>
      <x:c r="I884" s="24" t="n">
        <x:v>23.0123639</x:v>
      </x:c>
      <x:c r="J884" s="21" t="n">
        <x:f>6371*ACOS(MIN(1,COS(D884*PI()/180)*COS(I884*PI()/180)*COS((H884-C884)*PI()/180)+SIN(D884*PI()/180)*SIN(I884*PI()/180)))</x:f>
        <x:v>106.28600251464582</x:v>
      </x:c>
      <x:c r="K884" s="21" t="n">
        <x:f>'情景参数模板'!$D$31</x:f>
        <x:v>1.2</x:v>
      </x:c>
      <x:c r="L884" s="21" t="n">
        <x:f>J884*K884</x:f>
        <x:v>127.54320301757497</x:v>
      </x:c>
    </x:row>
    <x:row r="885">
      <x:c r="A885" s="17" t="str">
        <x:v>GD20</x:v>
      </x:c>
      <x:c r="B885" s="17" t="str">
        <x:v>揭阳</x:v>
      </x:c>
      <x:c r="C885" s="24" t="n">
        <x:v>116.3680354</x:v>
      </x:c>
      <x:c r="D885" s="24" t="n">
        <x:v>23.553156</x:v>
      </x:c>
      <x:c r="E885" s="17" t="str">
        <x:v>P04</x:v>
      </x:c>
      <x:c r="F885" s="17" t="str">
        <x:v>珠海中力新能源科技有限公司</x:v>
      </x:c>
      <x:c r="G885" s="17" t="str">
        <x:v>梯次利用</x:v>
      </x:c>
      <x:c r="H885" s="24" t="n">
        <x:v>113.5721327</x:v>
      </x:c>
      <x:c r="I885" s="24" t="n">
        <x:v>22.273734</x:v>
      </x:c>
      <x:c r="J885" s="21" t="n">
        <x:f>6371*ACOS(MIN(1,COS(D885*PI()/180)*COS(I885*PI()/180)*COS((H885-C885)*PI()/180)+SIN(D885*PI()/180)*SIN(I885*PI()/180)))</x:f>
        <x:v>319.7393294978697</x:v>
      </x:c>
      <x:c r="K885" s="21" t="n">
        <x:f>'情景参数模板'!$D$31</x:f>
        <x:v>1.2</x:v>
      </x:c>
      <x:c r="L885" s="21" t="n">
        <x:f>J885*K885</x:f>
        <x:v>383.6871953974436</x:v>
      </x:c>
    </x:row>
    <x:row r="886">
      <x:c r="A886" s="17" t="str">
        <x:v>GD20</x:v>
      </x:c>
      <x:c r="B886" s="17" t="str">
        <x:v>揭阳</x:v>
      </x:c>
      <x:c r="C886" s="24" t="n">
        <x:v>116.3680354</x:v>
      </x:c>
      <x:c r="D886" s="24" t="n">
        <x:v>23.553156</x:v>
      </x:c>
      <x:c r="E886" s="17" t="str">
        <x:v>P05</x:v>
      </x:c>
      <x:c r="F886" s="17" t="str">
        <x:v>惠州市恒创睿能环保科技有限公司</x:v>
      </x:c>
      <x:c r="G886" s="17" t="str">
        <x:v>梯次利用</x:v>
      </x:c>
      <x:c r="H886" s="24" t="n">
        <x:v>114.4127007</x:v>
      </x:c>
      <x:c r="I886" s="24" t="n">
        <x:v>23.1125153</x:v>
      </x:c>
      <x:c r="J886" s="21" t="n">
        <x:f>6371*ACOS(MIN(1,COS(D886*PI()/180)*COS(I886*PI()/180)*COS((H886-C886)*PI()/180)+SIN(D886*PI()/180)*SIN(I886*PI()/180)))</x:f>
        <x:v>205.5647125663095</x:v>
      </x:c>
      <x:c r="K886" s="21" t="n">
        <x:f>'情景参数模板'!$D$31</x:f>
        <x:v>1.2</x:v>
      </x:c>
      <x:c r="L886" s="21" t="n">
        <x:f>J886*K886</x:f>
        <x:v>246.6776550795714</x:v>
      </x:c>
    </x:row>
    <x:row r="887">
      <x:c r="A887" s="17" t="str">
        <x:v>GD20</x:v>
      </x:c>
      <x:c r="B887" s="17" t="str">
        <x:v>揭阳</x:v>
      </x:c>
      <x:c r="C887" s="24" t="n">
        <x:v>116.3680354</x:v>
      </x:c>
      <x:c r="D887" s="24" t="n">
        <x:v>23.553156</x:v>
      </x:c>
      <x:c r="E887" s="17" t="str">
        <x:v>P06</x:v>
      </x:c>
      <x:c r="F887" s="17" t="str">
        <x:v>江门市朗达锂电池有限公司</x:v>
      </x:c>
      <x:c r="G887" s="17" t="str">
        <x:v>梯次利用</x:v>
      </x:c>
      <x:c r="H887" s="24" t="n">
        <x:v>113.0761073</x:v>
      </x:c>
      <x:c r="I887" s="24" t="n">
        <x:v>22.5816619</x:v>
      </x:c>
      <x:c r="J887" s="21" t="n">
        <x:f>6371*ACOS(MIN(1,COS(D887*PI()/180)*COS(I887*PI()/180)*COS((H887-C887)*PI()/180)+SIN(D887*PI()/180)*SIN(I887*PI()/180)))</x:f>
        <x:v>353.6666681995238</x:v>
      </x:c>
      <x:c r="K887" s="21" t="n">
        <x:f>'情景参数模板'!$D$31</x:f>
        <x:v>1.2</x:v>
      </x:c>
      <x:c r="L887" s="21" t="n">
        <x:f>J887*K887</x:f>
        <x:v>424.40000183942857</x:v>
      </x:c>
    </x:row>
    <x:row r="888">
      <x:c r="A888" s="17" t="str">
        <x:v>GD20</x:v>
      </x:c>
      <x:c r="B888" s="17" t="str">
        <x:v>揭阳</x:v>
      </x:c>
      <x:c r="C888" s="24" t="n">
        <x:v>116.3680354</x:v>
      </x:c>
      <x:c r="D888" s="24" t="n">
        <x:v>23.553156</x:v>
      </x:c>
      <x:c r="E888" s="17" t="str">
        <x:v>P07</x:v>
      </x:c>
      <x:c r="F888" s="17" t="str">
        <x:v>广东迪度新能源有限公司</x:v>
      </x:c>
      <x:c r="G888" s="17" t="str">
        <x:v>梯次利用</x:v>
      </x:c>
      <x:c r="H888" s="24" t="n">
        <x:v>113.7452332</x:v>
      </x:c>
      <x:c r="I888" s="24" t="n">
        <x:v>23.0183568</x:v>
      </x:c>
      <x:c r="J888" s="21" t="n">
        <x:f>6371*ACOS(MIN(1,COS(D888*PI()/180)*COS(I888*PI()/180)*COS((H888-C888)*PI()/180)+SIN(D888*PI()/180)*SIN(I888*PI()/180)))</x:f>
        <x:v>274.4024735528984</x:v>
      </x:c>
      <x:c r="K888" s="21" t="n">
        <x:f>'情景参数模板'!$D$31</x:f>
        <x:v>1.2</x:v>
      </x:c>
      <x:c r="L888" s="21" t="n">
        <x:f>J888*K888</x:f>
        <x:v>329.2829682634781</x:v>
      </x:c>
    </x:row>
    <x:row r="889">
      <x:c r="A889" s="17" t="str">
        <x:v>GD20</x:v>
      </x:c>
      <x:c r="B889" s="17" t="str">
        <x:v>揭阳</x:v>
      </x:c>
      <x:c r="C889" s="24" t="n">
        <x:v>116.3680354</x:v>
      </x:c>
      <x:c r="D889" s="24" t="n">
        <x:v>23.553156</x:v>
      </x:c>
      <x:c r="E889" s="17" t="str">
        <x:v>P08</x:v>
      </x:c>
      <x:c r="F889" s="17" t="str">
        <x:v>东莞市博森新能源有限公司</x:v>
      </x:c>
      <x:c r="G889" s="17" t="str">
        <x:v>梯次利用</x:v>
      </x:c>
      <x:c r="H889" s="24" t="n">
        <x:v>113.7452332</x:v>
      </x:c>
      <x:c r="I889" s="24" t="n">
        <x:v>23.0183568</x:v>
      </x:c>
      <x:c r="J889" s="21" t="n">
        <x:f>6371*ACOS(MIN(1,COS(D889*PI()/180)*COS(I889*PI()/180)*COS((H889-C889)*PI()/180)+SIN(D889*PI()/180)*SIN(I889*PI()/180)))</x:f>
        <x:v>274.4024735528984</x:v>
      </x:c>
      <x:c r="K889" s="21" t="n">
        <x:f>'情景参数模板'!$D$31</x:f>
        <x:v>1.2</x:v>
      </x:c>
      <x:c r="L889" s="21" t="n">
        <x:f>J889*K889</x:f>
        <x:v>329.2829682634781</x:v>
      </x:c>
    </x:row>
    <x:row r="890">
      <x:c r="A890" s="17" t="str">
        <x:v>GD20</x:v>
      </x:c>
      <x:c r="B890" s="17" t="str">
        <x:v>揭阳</x:v>
      </x:c>
      <x:c r="C890" s="24" t="n">
        <x:v>116.3680354</x:v>
      </x:c>
      <x:c r="D890" s="24" t="n">
        <x:v>23.553156</x:v>
      </x:c>
      <x:c r="E890" s="17" t="str">
        <x:v>P09</x:v>
      </x:c>
      <x:c r="F890" s="17" t="str">
        <x:v>广东宇阳新能源有限公司</x:v>
      </x:c>
      <x:c r="G890" s="17" t="str">
        <x:v>梯次利用</x:v>
      </x:c>
      <x:c r="H890" s="24" t="n">
        <x:v>113.7452332</x:v>
      </x:c>
      <x:c r="I890" s="24" t="n">
        <x:v>23.0183568</x:v>
      </x:c>
      <x:c r="J890" s="21" t="n">
        <x:f>6371*ACOS(MIN(1,COS(D890*PI()/180)*COS(I890*PI()/180)*COS((H890-C890)*PI()/180)+SIN(D890*PI()/180)*SIN(I890*PI()/180)))</x:f>
        <x:v>274.4024735528984</x:v>
      </x:c>
      <x:c r="K890" s="21" t="n">
        <x:f>'情景参数模板'!$D$31</x:f>
        <x:v>1.2</x:v>
      </x:c>
      <x:c r="L890" s="21" t="n">
        <x:f>J890*K890</x:f>
        <x:v>329.2829682634781</x:v>
      </x:c>
    </x:row>
    <x:row r="891">
      <x:c r="A891" s="17" t="str">
        <x:v>GD20</x:v>
      </x:c>
      <x:c r="B891" s="17" t="str">
        <x:v>揭阳</x:v>
      </x:c>
      <x:c r="C891" s="24" t="n">
        <x:v>116.3680354</x:v>
      </x:c>
      <x:c r="D891" s="24" t="n">
        <x:v>23.553156</x:v>
      </x:c>
      <x:c r="E891" s="17" t="str">
        <x:v>P10</x:v>
      </x:c>
      <x:c r="F891" s="17" t="str">
        <x:v>广州广汽商贸再生资源有限公司</x:v>
      </x:c>
      <x:c r="G891" s="17" t="str">
        <x:v>梯次利用</x:v>
      </x:c>
      <x:c r="H891" s="24" t="n">
        <x:v>113.2589581</x:v>
      </x:c>
      <x:c r="I891" s="24" t="n">
        <x:v>23.1288429</x:v>
      </x:c>
      <x:c r="J891" s="21" t="n">
        <x:f>6371*ACOS(MIN(1,COS(D891*PI()/180)*COS(I891*PI()/180)*COS((H891-C891)*PI()/180)+SIN(D891*PI()/180)*SIN(I891*PI()/180)))</x:f>
        <x:v>320.9016901068273</x:v>
      </x:c>
      <x:c r="K891" s="21" t="n">
        <x:f>'情景参数模板'!$D$31</x:f>
        <x:v>1.2</x:v>
      </x:c>
      <x:c r="L891" s="21" t="n">
        <x:f>J891*K891</x:f>
        <x:v>385.08202812819275</x:v>
      </x:c>
    </x:row>
    <x:row r="892">
      <x:c r="A892" s="17" t="str">
        <x:v>GD20</x:v>
      </x:c>
      <x:c r="B892" s="17" t="str">
        <x:v>揭阳</x:v>
      </x:c>
      <x:c r="C892" s="24" t="n">
        <x:v>116.3680354</x:v>
      </x:c>
      <x:c r="D892" s="24" t="n">
        <x:v>23.553156</x:v>
      </x:c>
      <x:c r="E892" s="17" t="str">
        <x:v>P11</x:v>
      </x:c>
      <x:c r="F892" s="17" t="str">
        <x:v>深圳市杰成镍钴新能源科技有限公司</x:v>
      </x:c>
      <x:c r="G892" s="17" t="str">
        <x:v>梯次利用</x:v>
      </x:c>
      <x:c r="H892" s="24" t="n">
        <x:v>114.0545429</x:v>
      </x:c>
      <x:c r="I892" s="24" t="n">
        <x:v>22.5445741</x:v>
      </x:c>
      <x:c r="J892" s="21" t="n">
        <x:f>6371*ACOS(MIN(1,COS(D892*PI()/180)*COS(I892*PI()/180)*COS((H892-C892)*PI()/180)+SIN(D892*PI()/180)*SIN(I892*PI()/180)))</x:f>
        <x:v>261.92936233802646</x:v>
      </x:c>
      <x:c r="K892" s="21" t="n">
        <x:f>'情景参数模板'!$D$31</x:f>
        <x:v>1.2</x:v>
      </x:c>
      <x:c r="L892" s="21" t="n">
        <x:f>J892*K892</x:f>
        <x:v>314.31523480563175</x:v>
      </x:c>
    </x:row>
    <x:row r="893">
      <x:c r="A893" s="17" t="str">
        <x:v>GD20</x:v>
      </x:c>
      <x:c r="B893" s="17" t="str">
        <x:v>揭阳</x:v>
      </x:c>
      <x:c r="C893" s="24" t="n">
        <x:v>116.3680354</x:v>
      </x:c>
      <x:c r="D893" s="24" t="n">
        <x:v>23.553156</x:v>
      </x:c>
      <x:c r="E893" s="17" t="str">
        <x:v>P12</x:v>
      </x:c>
      <x:c r="F893" s="17" t="str">
        <x:v>江门市恒创睿能环保科技有限公司</x:v>
      </x:c>
      <x:c r="G893" s="17" t="str">
        <x:v>再生利用</x:v>
      </x:c>
      <x:c r="H893" s="24" t="n">
        <x:v>113.0761073</x:v>
      </x:c>
      <x:c r="I893" s="24" t="n">
        <x:v>22.5816619</x:v>
      </x:c>
      <x:c r="J893" s="21" t="n">
        <x:f>6371*ACOS(MIN(1,COS(D893*PI()/180)*COS(I893*PI()/180)*COS((H893-C893)*PI()/180)+SIN(D893*PI()/180)*SIN(I893*PI()/180)))</x:f>
        <x:v>353.6666681995238</x:v>
      </x:c>
      <x:c r="K893" s="21" t="n">
        <x:f>'情景参数模板'!$D$31</x:f>
        <x:v>1.2</x:v>
      </x:c>
      <x:c r="L893" s="21" t="n">
        <x:f>J893*K893</x:f>
        <x:v>424.40000183942857</x:v>
      </x:c>
    </x:row>
    <x:row r="894">
      <x:c r="A894" s="17" t="str">
        <x:v>GD20</x:v>
      </x:c>
      <x:c r="B894" s="17" t="str">
        <x:v>揭阳</x:v>
      </x:c>
      <x:c r="C894" s="24" t="n">
        <x:v>116.3680354</x:v>
      </x:c>
      <x:c r="D894" s="24" t="n">
        <x:v>23.553156</x:v>
      </x:c>
      <x:c r="E894" s="17" t="str">
        <x:v>P13</x:v>
      </x:c>
      <x:c r="F894" s="17" t="str">
        <x:v>广东佳纳能源科技有限公司</x:v>
      </x:c>
      <x:c r="G894" s="17" t="str">
        <x:v>再生利用</x:v>
      </x:c>
      <x:c r="H894" s="24" t="n">
        <x:v>113.0505994</x:v>
      </x:c>
      <x:c r="I894" s="24" t="n">
        <x:v>23.6832984</x:v>
      </x:c>
      <x:c r="J894" s="21" t="n">
        <x:f>6371*ACOS(MIN(1,COS(D894*PI()/180)*COS(I894*PI()/180)*COS((H894-C894)*PI()/180)+SIN(D894*PI()/180)*SIN(I894*PI()/180)))</x:f>
        <x:v>338.28473835116233</x:v>
      </x:c>
      <x:c r="K894" s="21" t="n">
        <x:f>'情景参数模板'!$D$31</x:f>
        <x:v>1.2</x:v>
      </x:c>
      <x:c r="L894" s="21" t="n">
        <x:f>J894*K894</x:f>
        <x:v>405.9416860213948</x:v>
      </x:c>
    </x:row>
    <x:row r="895">
      <x:c r="A895" s="17" t="str">
        <x:v>GD20</x:v>
      </x:c>
      <x:c r="B895" s="17" t="str">
        <x:v>揭阳</x:v>
      </x:c>
      <x:c r="C895" s="24" t="n">
        <x:v>116.3680354</x:v>
      </x:c>
      <x:c r="D895" s="24" t="n">
        <x:v>23.553156</x:v>
      </x:c>
      <x:c r="E895" s="17" t="str">
        <x:v>P14</x:v>
      </x:c>
      <x:c r="F895" s="17" t="str">
        <x:v>格林美（深圳）循环科技有限公司</x:v>
      </x:c>
      <x:c r="G895" s="17" t="str">
        <x:v>梯次利用</x:v>
      </x:c>
      <x:c r="H895" s="24" t="n">
        <x:v>114.0545429</x:v>
      </x:c>
      <x:c r="I895" s="24" t="n">
        <x:v>22.5445741</x:v>
      </x:c>
      <x:c r="J895" s="21" t="n">
        <x:f>6371*ACOS(MIN(1,COS(D895*PI()/180)*COS(I895*PI()/180)*COS((H895-C895)*PI()/180)+SIN(D895*PI()/180)*SIN(I895*PI()/180)))</x:f>
        <x:v>261.92936233802646</x:v>
      </x:c>
      <x:c r="K895" s="21" t="n">
        <x:f>'情景参数模板'!$D$31</x:f>
        <x:v>1.2</x:v>
      </x:c>
      <x:c r="L895" s="21" t="n">
        <x:f>J895*K895</x:f>
        <x:v>314.31523480563175</x:v>
      </x:c>
    </x:row>
    <x:row r="896">
      <x:c r="A896" s="17" t="str">
        <x:v>GD20</x:v>
      </x:c>
      <x:c r="B896" s="17" t="str">
        <x:v>揭阳</x:v>
      </x:c>
      <x:c r="C896" s="24" t="n">
        <x:v>116.3680354</x:v>
      </x:c>
      <x:c r="D896" s="24" t="n">
        <x:v>23.553156</x:v>
      </x:c>
      <x:c r="E896" s="17" t="str">
        <x:v>P15</x:v>
      </x:c>
      <x:c r="F896" s="17" t="str">
        <x:v>绿循新能源科技（佛山）有限责任公司</x:v>
      </x:c>
      <x:c r="G896" s="17" t="str">
        <x:v>梯次利用</x:v>
      </x:c>
      <x:c r="H896" s="24" t="n">
        <x:v>113.1159558</x:v>
      </x:c>
      <x:c r="I896" s="24" t="n">
        <x:v>23.0239788</x:v>
      </x:c>
      <x:c r="J896" s="21" t="n">
        <x:f>6371*ACOS(MIN(1,COS(D896*PI()/180)*COS(I896*PI()/180)*COS((H896-C896)*PI()/180)+SIN(D896*PI()/180)*SIN(I896*PI()/180)))</x:f>
        <x:v>337.31536533239324</x:v>
      </x:c>
      <x:c r="K896" s="21" t="n">
        <x:f>'情景参数模板'!$D$31</x:f>
        <x:v>1.2</x:v>
      </x:c>
      <x:c r="L896" s="21" t="n">
        <x:f>J896*K896</x:f>
        <x:v>404.77843839887186</x:v>
      </x:c>
    </x:row>
    <x:row r="897">
      <x:c r="A897" s="17" t="str">
        <x:v>GD20</x:v>
      </x:c>
      <x:c r="B897" s="17" t="str">
        <x:v>揭阳</x:v>
      </x:c>
      <x:c r="C897" s="24" t="n">
        <x:v>116.3680354</x:v>
      </x:c>
      <x:c r="D897" s="24" t="n">
        <x:v>23.553156</x:v>
      </x:c>
      <x:c r="E897" s="17" t="str">
        <x:v>P16</x:v>
      </x:c>
      <x:c r="F897" s="17" t="str">
        <x:v>深圳艾云动智慧科技有限公司</x:v>
      </x:c>
      <x:c r="G897" s="17" t="str">
        <x:v>梯次利用</x:v>
      </x:c>
      <x:c r="H897" s="24" t="n">
        <x:v>114.0545429</x:v>
      </x:c>
      <x:c r="I897" s="24" t="n">
        <x:v>22.5445741</x:v>
      </x:c>
      <x:c r="J897" s="21" t="n">
        <x:f>6371*ACOS(MIN(1,COS(D897*PI()/180)*COS(I897*PI()/180)*COS((H897-C897)*PI()/180)+SIN(D897*PI()/180)*SIN(I897*PI()/180)))</x:f>
        <x:v>261.92936233802646</x:v>
      </x:c>
      <x:c r="K897" s="21" t="n">
        <x:f>'情景参数模板'!$D$31</x:f>
        <x:v>1.2</x:v>
      </x:c>
      <x:c r="L897" s="21" t="n">
        <x:f>J897*K897</x:f>
        <x:v>314.31523480563175</x:v>
      </x:c>
    </x:row>
    <x:row r="898">
      <x:c r="A898" s="17" t="str">
        <x:v>GD20</x:v>
      </x:c>
      <x:c r="B898" s="17" t="str">
        <x:v>揭阳</x:v>
      </x:c>
      <x:c r="C898" s="24" t="n">
        <x:v>116.3680354</x:v>
      </x:c>
      <x:c r="D898" s="24" t="n">
        <x:v>23.553156</x:v>
      </x:c>
      <x:c r="E898" s="17" t="str">
        <x:v>P17</x:v>
      </x:c>
      <x:c r="F898" s="17" t="str">
        <x:v>深圳市荣高晟新能源科技有限公司</x:v>
      </x:c>
      <x:c r="G898" s="17" t="str">
        <x:v>梯次利用</x:v>
      </x:c>
      <x:c r="H898" s="24" t="n">
        <x:v>114.0545429</x:v>
      </x:c>
      <x:c r="I898" s="24" t="n">
        <x:v>22.5445741</x:v>
      </x:c>
      <x:c r="J898" s="21" t="n">
        <x:f>6371*ACOS(MIN(1,COS(D898*PI()/180)*COS(I898*PI()/180)*COS((H898-C898)*PI()/180)+SIN(D898*PI()/180)*SIN(I898*PI()/180)))</x:f>
        <x:v>261.92936233802646</x:v>
      </x:c>
      <x:c r="K898" s="21" t="n">
        <x:f>'情景参数模板'!$D$31</x:f>
        <x:v>1.2</x:v>
      </x:c>
      <x:c r="L898" s="21" t="n">
        <x:f>J898*K898</x:f>
        <x:v>314.31523480563175</x:v>
      </x:c>
    </x:row>
    <x:row r="899">
      <x:c r="A899" s="17" t="str">
        <x:v>GD20</x:v>
      </x:c>
      <x:c r="B899" s="17" t="str">
        <x:v>揭阳</x:v>
      </x:c>
      <x:c r="C899" s="24" t="n">
        <x:v>116.3680354</x:v>
      </x:c>
      <x:c r="D899" s="24" t="n">
        <x:v>23.553156</x:v>
      </x:c>
      <x:c r="E899" s="17" t="str">
        <x:v>P18</x:v>
      </x:c>
      <x:c r="F899" s="17" t="str">
        <x:v>中商锂新能源科技（惠州）有限公司</x:v>
      </x:c>
      <x:c r="G899" s="17" t="str">
        <x:v>梯次利用</x:v>
      </x:c>
      <x:c r="H899" s="24" t="n">
        <x:v>114.4127007</x:v>
      </x:c>
      <x:c r="I899" s="24" t="n">
        <x:v>23.1125153</x:v>
      </x:c>
      <x:c r="J899" s="21" t="n">
        <x:f>6371*ACOS(MIN(1,COS(D899*PI()/180)*COS(I899*PI()/180)*COS((H899-C899)*PI()/180)+SIN(D899*PI()/180)*SIN(I899*PI()/180)))</x:f>
        <x:v>205.5647125663095</x:v>
      </x:c>
      <x:c r="K899" s="21" t="n">
        <x:f>'情景参数模板'!$D$31</x:f>
        <x:v>1.2</x:v>
      </x:c>
      <x:c r="L899" s="21" t="n">
        <x:f>J899*K899</x:f>
        <x:v>246.6776550795714</x:v>
      </x:c>
    </x:row>
    <x:row r="900">
      <x:c r="A900" s="17" t="str">
        <x:v>GD20</x:v>
      </x:c>
      <x:c r="B900" s="17" t="str">
        <x:v>揭阳</x:v>
      </x:c>
      <x:c r="C900" s="24" t="n">
        <x:v>116.3680354</x:v>
      </x:c>
      <x:c r="D900" s="24" t="n">
        <x:v>23.553156</x:v>
      </x:c>
      <x:c r="E900" s="17" t="str">
        <x:v>P19</x:v>
      </x:c>
      <x:c r="F900" s="17" t="str">
        <x:v>广东盛祥新材料科技有限公司</x:v>
      </x:c>
      <x:c r="G900" s="17" t="str">
        <x:v>再生利用</x:v>
      </x:c>
      <x:c r="H900" s="24" t="n">
        <x:v>113.8155263</x:v>
      </x:c>
      <x:c r="I900" s="24" t="n">
        <x:v>24.8309489</x:v>
      </x:c>
      <x:c r="J900" s="21" t="n">
        <x:f>6371*ACOS(MIN(1,COS(D900*PI()/180)*COS(I900*PI()/180)*COS((H900-C900)*PI()/180)+SIN(D900*PI()/180)*SIN(I900*PI()/180)))</x:f>
        <x:v>295.3143523759985</x:v>
      </x:c>
      <x:c r="K900" s="21" t="n">
        <x:f>'情景参数模板'!$D$31</x:f>
        <x:v>1.2</x:v>
      </x:c>
      <x:c r="L900" s="21" t="n">
        <x:f>J900*K900</x:f>
        <x:v>354.3772228511982</x:v>
      </x:c>
    </x:row>
    <x:row r="901">
      <x:c r="A901" s="17" t="str">
        <x:v>GD20</x:v>
      </x:c>
      <x:c r="B901" s="17" t="str">
        <x:v>揭阳</x:v>
      </x:c>
      <x:c r="C901" s="24" t="n">
        <x:v>116.3680354</x:v>
      </x:c>
      <x:c r="D901" s="24" t="n">
        <x:v>23.553156</x:v>
      </x:c>
      <x:c r="E901" s="17" t="str">
        <x:v>P20E</x:v>
      </x:c>
      <x:c r="F901" s="17" t="str">
        <x:v>广东金晟新能源股份有限公司（梯次功能）</x:v>
      </x:c>
      <x:c r="G901" s="17" t="str">
        <x:v>梯次利用</x:v>
      </x:c>
      <x:c r="H901" s="24" t="n">
        <x:v>112.4603629</x:v>
      </x:c>
      <x:c r="I901" s="24" t="n">
        <x:v>23.0501661</x:v>
      </x:c>
      <x:c r="J901" s="21" t="n">
        <x:f>6371*ACOS(MIN(1,COS(D901*PI()/180)*COS(I901*PI()/180)*COS((H901-C901)*PI()/180)+SIN(D901*PI()/180)*SIN(I901*PI()/180)))</x:f>
        <x:v>402.95849892739517</x:v>
      </x:c>
      <x:c r="K901" s="21" t="n">
        <x:f>'情景参数模板'!$D$31</x:f>
        <x:v>1.2</x:v>
      </x:c>
      <x:c r="L901" s="21" t="n">
        <x:f>J901*K901</x:f>
        <x:v>483.5501987128742</x:v>
      </x:c>
    </x:row>
    <x:row r="902">
      <x:c r="A902" s="17" t="str">
        <x:v>GD20</x:v>
      </x:c>
      <x:c r="B902" s="17" t="str">
        <x:v>揭阳</x:v>
      </x:c>
      <x:c r="C902" s="24" t="n">
        <x:v>116.3680354</x:v>
      </x:c>
      <x:c r="D902" s="24" t="n">
        <x:v>23.553156</x:v>
      </x:c>
      <x:c r="E902" s="17" t="str">
        <x:v>P20R</x:v>
      </x:c>
      <x:c r="F902" s="17" t="str">
        <x:v>广东金晟新能源股份有限公司（再生功能）</x:v>
      </x:c>
      <x:c r="G902" s="17" t="str">
        <x:v>再生利用</x:v>
      </x:c>
      <x:c r="H902" s="24" t="n">
        <x:v>112.4603629</x:v>
      </x:c>
      <x:c r="I902" s="24" t="n">
        <x:v>23.0501661</x:v>
      </x:c>
      <x:c r="J902" s="21" t="n">
        <x:f>6371*ACOS(MIN(1,COS(D902*PI()/180)*COS(I902*PI()/180)*COS((H902-C902)*PI()/180)+SIN(D902*PI()/180)*SIN(I902*PI()/180)))</x:f>
        <x:v>402.95849892739517</x:v>
      </x:c>
      <x:c r="K902" s="21" t="n">
        <x:f>'情景参数模板'!$D$31</x:f>
        <x:v>1.2</x:v>
      </x:c>
      <x:c r="L902" s="21" t="n">
        <x:f>J902*K902</x:f>
        <x:v>483.5501987128742</x:v>
      </x:c>
    </x:row>
    <x:row r="903">
      <x:c r="A903" s="17" t="str">
        <x:v>GD20</x:v>
      </x:c>
      <x:c r="B903" s="17" t="str">
        <x:v>揭阳</x:v>
      </x:c>
      <x:c r="C903" s="24" t="n">
        <x:v>116.3680354</x:v>
      </x:c>
      <x:c r="D903" s="24" t="n">
        <x:v>23.553156</x:v>
      </x:c>
      <x:c r="E903" s="17" t="str">
        <x:v>P21E</x:v>
      </x:c>
      <x:c r="F903" s="17" t="str">
        <x:v>广东瑞科美电源技术有限公司（梯次功能）</x:v>
      </x:c>
      <x:c r="G903" s="17" t="str">
        <x:v>梯次利用</x:v>
      </x:c>
      <x:c r="H903" s="24" t="n">
        <x:v>113.1159558</x:v>
      </x:c>
      <x:c r="I903" s="24" t="n">
        <x:v>23.0239788</x:v>
      </x:c>
      <x:c r="J903" s="21" t="n">
        <x:f>6371*ACOS(MIN(1,COS(D903*PI()/180)*COS(I903*PI()/180)*COS((H903-C903)*PI()/180)+SIN(D903*PI()/180)*SIN(I903*PI()/180)))</x:f>
        <x:v>337.31536533239324</x:v>
      </x:c>
      <x:c r="K903" s="21" t="n">
        <x:f>'情景参数模板'!$D$31</x:f>
        <x:v>1.2</x:v>
      </x:c>
      <x:c r="L903" s="21" t="n">
        <x:f>J903*K903</x:f>
        <x:v>404.77843839887186</x:v>
      </x:c>
    </x:row>
    <x:row r="904">
      <x:c r="A904" s="17" t="str">
        <x:v>GD20</x:v>
      </x:c>
      <x:c r="B904" s="17" t="str">
        <x:v>揭阳</x:v>
      </x:c>
      <x:c r="C904" s="24" t="n">
        <x:v>116.3680354</x:v>
      </x:c>
      <x:c r="D904" s="24" t="n">
        <x:v>23.553156</x:v>
      </x:c>
      <x:c r="E904" s="17" t="str">
        <x:v>P21R</x:v>
      </x:c>
      <x:c r="F904" s="17" t="str">
        <x:v>广东瑞科美电源技术有限公司（再生功能）</x:v>
      </x:c>
      <x:c r="G904" s="17" t="str">
        <x:v>再生利用</x:v>
      </x:c>
      <x:c r="H904" s="24" t="n">
        <x:v>113.1159558</x:v>
      </x:c>
      <x:c r="I904" s="24" t="n">
        <x:v>23.0239788</x:v>
      </x:c>
      <x:c r="J904" s="21" t="n">
        <x:f>6371*ACOS(MIN(1,COS(D904*PI()/180)*COS(I904*PI()/180)*COS((H904-C904)*PI()/180)+SIN(D904*PI()/180)*SIN(I904*PI()/180)))</x:f>
        <x:v>337.31536533239324</x:v>
      </x:c>
      <x:c r="K904" s="21" t="n">
        <x:f>'情景参数模板'!$D$31</x:f>
        <x:v>1.2</x:v>
      </x:c>
      <x:c r="L904" s="21" t="n">
        <x:f>J904*K904</x:f>
        <x:v>404.77843839887186</x:v>
      </x:c>
    </x:row>
    <x:row r="905">
      <x:c r="A905" s="17" t="str">
        <x:v>GD21</x:v>
      </x:c>
      <x:c r="B905" s="17" t="str">
        <x:v>云浮</x:v>
      </x:c>
      <x:c r="C905" s="24" t="n">
        <x:v>111.8078586</x:v>
      </x:c>
      <x:c r="D905" s="24" t="n">
        <x:v>22.8546663</x:v>
      </x:c>
      <x:c r="E905" s="17" t="str">
        <x:v>C01</x:v>
      </x:c>
      <x:c r="F905" s="17" t="str">
        <x:v>广州虚拟回收/检测中心</x:v>
      </x:c>
      <x:c r="G905" s="17" t="str">
        <x:v>回收中心候选</x:v>
      </x:c>
      <x:c r="H905" s="24" t="n">
        <x:v>113.2589581</x:v>
      </x:c>
      <x:c r="I905" s="24" t="n">
        <x:v>23.1288429</x:v>
      </x:c>
      <x:c r="J905" s="21" t="n">
        <x:f>6371*ACOS(MIN(1,COS(D905*PI()/180)*COS(I905*PI()/180)*COS((H905-C905)*PI()/180)+SIN(D905*PI()/180)*SIN(I905*PI()/180)))</x:f>
        <x:v>151.63267515894688</x:v>
      </x:c>
      <x:c r="K905" s="21" t="n">
        <x:f>'情景参数模板'!$D$31</x:f>
        <x:v>1.2</x:v>
      </x:c>
      <x:c r="L905" s="21" t="n">
        <x:f>J905*K905</x:f>
        <x:v>181.95921019073626</x:v>
      </x:c>
    </x:row>
    <x:row r="906">
      <x:c r="A906" s="17" t="str">
        <x:v>GD21</x:v>
      </x:c>
      <x:c r="B906" s="17" t="str">
        <x:v>云浮</x:v>
      </x:c>
      <x:c r="C906" s="24" t="n">
        <x:v>111.8078586</x:v>
      </x:c>
      <x:c r="D906" s="24" t="n">
        <x:v>22.8546663</x:v>
      </x:c>
      <x:c r="E906" s="17" t="str">
        <x:v>C02</x:v>
      </x:c>
      <x:c r="F906" s="17" t="str">
        <x:v>深圳虚拟回收/检测中心</x:v>
      </x:c>
      <x:c r="G906" s="17" t="str">
        <x:v>回收中心候选</x:v>
      </x:c>
      <x:c r="H906" s="24" t="n">
        <x:v>114.0545429</x:v>
      </x:c>
      <x:c r="I906" s="24" t="n">
        <x:v>22.5445741</x:v>
      </x:c>
      <x:c r="J906" s="21" t="n">
        <x:f>6371*ACOS(MIN(1,COS(D906*PI()/180)*COS(I906*PI()/180)*COS((H906-C906)*PI()/180)+SIN(D906*PI()/180)*SIN(I906*PI()/180)))</x:f>
        <x:v>233.03147812497292</x:v>
      </x:c>
      <x:c r="K906" s="21" t="n">
        <x:f>'情景参数模板'!$D$31</x:f>
        <x:v>1.2</x:v>
      </x:c>
      <x:c r="L906" s="21" t="n">
        <x:f>J906*K906</x:f>
        <x:v>279.6377737499675</x:v>
      </x:c>
    </x:row>
    <x:row r="907">
      <x:c r="A907" s="17" t="str">
        <x:v>GD21</x:v>
      </x:c>
      <x:c r="B907" s="17" t="str">
        <x:v>云浮</x:v>
      </x:c>
      <x:c r="C907" s="24" t="n">
        <x:v>111.8078586</x:v>
      </x:c>
      <x:c r="D907" s="24" t="n">
        <x:v>22.8546663</x:v>
      </x:c>
      <x:c r="E907" s="17" t="str">
        <x:v>C03</x:v>
      </x:c>
      <x:c r="F907" s="17" t="str">
        <x:v>珠海虚拟回收/检测中心</x:v>
      </x:c>
      <x:c r="G907" s="17" t="str">
        <x:v>回收中心候选</x:v>
      </x:c>
      <x:c r="H907" s="24" t="n">
        <x:v>113.5721327</x:v>
      </x:c>
      <x:c r="I907" s="24" t="n">
        <x:v>22.273734</x:v>
      </x:c>
      <x:c r="J907" s="21" t="n">
        <x:f>6371*ACOS(MIN(1,COS(D907*PI()/180)*COS(I907*PI()/180)*COS((H907-C907)*PI()/180)+SIN(D907*PI()/180)*SIN(I907*PI()/180)))</x:f>
        <x:v>192.33097216709288</x:v>
      </x:c>
      <x:c r="K907" s="21" t="n">
        <x:f>'情景参数模板'!$D$31</x:f>
        <x:v>1.2</x:v>
      </x:c>
      <x:c r="L907" s="21" t="n">
        <x:f>J907*K907</x:f>
        <x:v>230.79716660051145</x:v>
      </x:c>
    </x:row>
    <x:row r="908">
      <x:c r="A908" s="17" t="str">
        <x:v>GD21</x:v>
      </x:c>
      <x:c r="B908" s="17" t="str">
        <x:v>云浮</x:v>
      </x:c>
      <x:c r="C908" s="24" t="n">
        <x:v>111.8078586</x:v>
      </x:c>
      <x:c r="D908" s="24" t="n">
        <x:v>22.8546663</x:v>
      </x:c>
      <x:c r="E908" s="17" t="str">
        <x:v>C04</x:v>
      </x:c>
      <x:c r="F908" s="17" t="str">
        <x:v>汕头虚拟回收/检测中心</x:v>
      </x:c>
      <x:c r="G908" s="17" t="str">
        <x:v>回收中心候选</x:v>
      </x:c>
      <x:c r="H908" s="24" t="n">
        <x:v>116.6775856</x:v>
      </x:c>
      <x:c r="I908" s="24" t="n">
        <x:v>23.3563921</x:v>
      </x:c>
      <x:c r="J908" s="21" t="n">
        <x:f>6371*ACOS(MIN(1,COS(D908*PI()/180)*COS(I908*PI()/180)*COS((H908-C908)*PI()/180)+SIN(D908*PI()/180)*SIN(I908*PI()/180)))</x:f>
        <x:v>501.14214106027384</x:v>
      </x:c>
      <x:c r="K908" s="21" t="n">
        <x:f>'情景参数模板'!$D$31</x:f>
        <x:v>1.2</x:v>
      </x:c>
      <x:c r="L908" s="21" t="n">
        <x:f>J908*K908</x:f>
        <x:v>601.3705692723286</x:v>
      </x:c>
    </x:row>
    <x:row r="909">
      <x:c r="A909" s="17" t="str">
        <x:v>GD21</x:v>
      </x:c>
      <x:c r="B909" s="17" t="str">
        <x:v>云浮</x:v>
      </x:c>
      <x:c r="C909" s="24" t="n">
        <x:v>111.8078586</x:v>
      </x:c>
      <x:c r="D909" s="24" t="n">
        <x:v>22.8546663</x:v>
      </x:c>
      <x:c r="E909" s="17" t="str">
        <x:v>C05</x:v>
      </x:c>
      <x:c r="F909" s="17" t="str">
        <x:v>佛山虚拟回收/检测中心</x:v>
      </x:c>
      <x:c r="G909" s="17" t="str">
        <x:v>回收中心候选</x:v>
      </x:c>
      <x:c r="H909" s="24" t="n">
        <x:v>113.1159558</x:v>
      </x:c>
      <x:c r="I909" s="24" t="n">
        <x:v>23.0239788</x:v>
      </x:c>
      <x:c r="J909" s="21" t="n">
        <x:f>6371*ACOS(MIN(1,COS(D909*PI()/180)*COS(I909*PI()/180)*COS((H909-C909)*PI()/180)+SIN(D909*PI()/180)*SIN(I909*PI()/180)))</x:f>
        <x:v>135.2670709074438</x:v>
      </x:c>
      <x:c r="K909" s="21" t="n">
        <x:f>'情景参数模板'!$D$31</x:f>
        <x:v>1.2</x:v>
      </x:c>
      <x:c r="L909" s="21" t="n">
        <x:f>J909*K909</x:f>
        <x:v>162.32048508893257</x:v>
      </x:c>
    </x:row>
    <x:row r="910">
      <x:c r="A910" s="17" t="str">
        <x:v>GD21</x:v>
      </x:c>
      <x:c r="B910" s="17" t="str">
        <x:v>云浮</x:v>
      </x:c>
      <x:c r="C910" s="24" t="n">
        <x:v>111.8078586</x:v>
      </x:c>
      <x:c r="D910" s="24" t="n">
        <x:v>22.8546663</x:v>
      </x:c>
      <x:c r="E910" s="17" t="str">
        <x:v>C06</x:v>
      </x:c>
      <x:c r="F910" s="17" t="str">
        <x:v>韶关虚拟回收/检测中心</x:v>
      </x:c>
      <x:c r="G910" s="17" t="str">
        <x:v>回收中心候选</x:v>
      </x:c>
      <x:c r="H910" s="24" t="n">
        <x:v>113.8155263</x:v>
      </x:c>
      <x:c r="I910" s="24" t="n">
        <x:v>24.8309489</x:v>
      </x:c>
      <x:c r="J910" s="21" t="n">
        <x:f>6371*ACOS(MIN(1,COS(D910*PI()/180)*COS(I910*PI()/180)*COS((H910-C910)*PI()/180)+SIN(D910*PI()/180)*SIN(I910*PI()/180)))</x:f>
        <x:v>299.9628394143898</x:v>
      </x:c>
      <x:c r="K910" s="21" t="n">
        <x:f>'情景参数模板'!$D$31</x:f>
        <x:v>1.2</x:v>
      </x:c>
      <x:c r="L910" s="21" t="n">
        <x:f>J910*K910</x:f>
        <x:v>359.95540729726775</x:v>
      </x:c>
    </x:row>
    <x:row r="911">
      <x:c r="A911" s="17" t="str">
        <x:v>GD21</x:v>
      </x:c>
      <x:c r="B911" s="17" t="str">
        <x:v>云浮</x:v>
      </x:c>
      <x:c r="C911" s="24" t="n">
        <x:v>111.8078586</x:v>
      </x:c>
      <x:c r="D911" s="24" t="n">
        <x:v>22.8546663</x:v>
      </x:c>
      <x:c r="E911" s="17" t="str">
        <x:v>C07</x:v>
      </x:c>
      <x:c r="F911" s="17" t="str">
        <x:v>河源虚拟回收/检测中心</x:v>
      </x:c>
      <x:c r="G911" s="17" t="str">
        <x:v>回收中心候选</x:v>
      </x:c>
      <x:c r="H911" s="24" t="n">
        <x:v>115.0577538</x:v>
      </x:c>
      <x:c r="I911" s="24" t="n">
        <x:v>24.1014769</x:v>
      </x:c>
      <x:c r="J911" s="21" t="n">
        <x:f>6371*ACOS(MIN(1,COS(D911*PI()/180)*COS(I911*PI()/180)*COS((H911-C911)*PI()/180)+SIN(D911*PI()/180)*SIN(I911*PI()/180)))</x:f>
        <x:v>359.2653796423735</x:v>
      </x:c>
      <x:c r="K911" s="21" t="n">
        <x:f>'情景参数模板'!$D$31</x:f>
        <x:v>1.2</x:v>
      </x:c>
      <x:c r="L911" s="21" t="n">
        <x:f>J911*K911</x:f>
        <x:v>431.1184555708482</x:v>
      </x:c>
    </x:row>
    <x:row r="912">
      <x:c r="A912" s="17" t="str">
        <x:v>GD21</x:v>
      </x:c>
      <x:c r="B912" s="17" t="str">
        <x:v>云浮</x:v>
      </x:c>
      <x:c r="C912" s="24" t="n">
        <x:v>111.8078586</x:v>
      </x:c>
      <x:c r="D912" s="24" t="n">
        <x:v>22.8546663</x:v>
      </x:c>
      <x:c r="E912" s="17" t="str">
        <x:v>C08</x:v>
      </x:c>
      <x:c r="F912" s="17" t="str">
        <x:v>梅州虚拟回收/检测中心</x:v>
      </x:c>
      <x:c r="G912" s="17" t="str">
        <x:v>回收中心候选</x:v>
      </x:c>
      <x:c r="H912" s="24" t="n">
        <x:v>116.1171428</x:v>
      </x:c>
      <x:c r="I912" s="24" t="n">
        <x:v>24.2918414</x:v>
      </x:c>
      <x:c r="J912" s="21" t="n">
        <x:f>6371*ACOS(MIN(1,COS(D912*PI()/180)*COS(I912*PI()/180)*COS((H912-C912)*PI()/180)+SIN(D912*PI()/180)*SIN(I912*PI()/180)))</x:f>
        <x:v>467.3220230256885</x:v>
      </x:c>
      <x:c r="K912" s="21" t="n">
        <x:f>'情景参数模板'!$D$31</x:f>
        <x:v>1.2</x:v>
      </x:c>
      <x:c r="L912" s="21" t="n">
        <x:f>J912*K912</x:f>
        <x:v>560.7864276308262</x:v>
      </x:c>
    </x:row>
    <x:row r="913">
      <x:c r="A913" s="17" t="str">
        <x:v>GD21</x:v>
      </x:c>
      <x:c r="B913" s="17" t="str">
        <x:v>云浮</x:v>
      </x:c>
      <x:c r="C913" s="24" t="n">
        <x:v>111.8078586</x:v>
      </x:c>
      <x:c r="D913" s="24" t="n">
        <x:v>22.8546663</x:v>
      </x:c>
      <x:c r="E913" s="17" t="str">
        <x:v>C09</x:v>
      </x:c>
      <x:c r="F913" s="17" t="str">
        <x:v>惠州虚拟回收/检测中心</x:v>
      </x:c>
      <x:c r="G913" s="17" t="str">
        <x:v>回收中心候选</x:v>
      </x:c>
      <x:c r="H913" s="24" t="n">
        <x:v>114.4127007</x:v>
      </x:c>
      <x:c r="I913" s="24" t="n">
        <x:v>23.1125153</x:v>
      </x:c>
      <x:c r="J913" s="21" t="n">
        <x:f>6371*ACOS(MIN(1,COS(D913*PI()/180)*COS(I913*PI()/180)*COS((H913-C913)*PI()/180)+SIN(D913*PI()/180)*SIN(I913*PI()/180)))</x:f>
        <x:v>268.1854182947875</x:v>
      </x:c>
      <x:c r="K913" s="21" t="n">
        <x:f>'情景参数模板'!$D$31</x:f>
        <x:v>1.2</x:v>
      </x:c>
      <x:c r="L913" s="21" t="n">
        <x:f>J913*K913</x:f>
        <x:v>321.82250195374496</x:v>
      </x:c>
    </x:row>
    <x:row r="914">
      <x:c r="A914" s="17" t="str">
        <x:v>GD21</x:v>
      </x:c>
      <x:c r="B914" s="17" t="str">
        <x:v>云浮</x:v>
      </x:c>
      <x:c r="C914" s="24" t="n">
        <x:v>111.8078586</x:v>
      </x:c>
      <x:c r="D914" s="24" t="n">
        <x:v>22.8546663</x:v>
      </x:c>
      <x:c r="E914" s="17" t="str">
        <x:v>C10</x:v>
      </x:c>
      <x:c r="F914" s="17" t="str">
        <x:v>汕尾虚拟回收/检测中心</x:v>
      </x:c>
      <x:c r="G914" s="17" t="str">
        <x:v>回收中心候选</x:v>
      </x:c>
      <x:c r="H914" s="24" t="n">
        <x:v>115.5099937</x:v>
      </x:c>
      <x:c r="I914" s="24" t="n">
        <x:v>23.0123639</x:v>
      </x:c>
      <x:c r="J914" s="21" t="n">
        <x:f>6371*ACOS(MIN(1,COS(D914*PI()/180)*COS(I914*PI()/180)*COS((H914-C914)*PI()/180)+SIN(D914*PI()/180)*SIN(I914*PI()/180)))</x:f>
        <x:v>379.5152802491003</x:v>
      </x:c>
      <x:c r="K914" s="21" t="n">
        <x:f>'情景参数模板'!$D$31</x:f>
        <x:v>1.2</x:v>
      </x:c>
      <x:c r="L914" s="21" t="n">
        <x:f>J914*K914</x:f>
        <x:v>455.41833629892034</x:v>
      </x:c>
    </x:row>
    <x:row r="915">
      <x:c r="A915" s="17" t="str">
        <x:v>GD21</x:v>
      </x:c>
      <x:c r="B915" s="17" t="str">
        <x:v>云浮</x:v>
      </x:c>
      <x:c r="C915" s="24" t="n">
        <x:v>111.8078586</x:v>
      </x:c>
      <x:c r="D915" s="24" t="n">
        <x:v>22.8546663</x:v>
      </x:c>
      <x:c r="E915" s="17" t="str">
        <x:v>C11</x:v>
      </x:c>
      <x:c r="F915" s="17" t="str">
        <x:v>东莞虚拟回收/检测中心</x:v>
      </x:c>
      <x:c r="G915" s="17" t="str">
        <x:v>回收中心候选</x:v>
      </x:c>
      <x:c r="H915" s="24" t="n">
        <x:v>113.7452332</x:v>
      </x:c>
      <x:c r="I915" s="24" t="n">
        <x:v>23.0183568</x:v>
      </x:c>
      <x:c r="J915" s="21" t="n">
        <x:f>6371*ACOS(MIN(1,COS(D915*PI()/180)*COS(I915*PI()/180)*COS((H915-C915)*PI()/180)+SIN(D915*PI()/180)*SIN(I915*PI()/180)))</x:f>
        <x:v>199.2257001173399</x:v>
      </x:c>
      <x:c r="K915" s="21" t="n">
        <x:f>'情景参数模板'!$D$31</x:f>
        <x:v>1.2</x:v>
      </x:c>
      <x:c r="L915" s="21" t="n">
        <x:f>J915*K915</x:f>
        <x:v>239.07084014080786</x:v>
      </x:c>
    </x:row>
    <x:row r="916">
      <x:c r="A916" s="17" t="str">
        <x:v>GD21</x:v>
      </x:c>
      <x:c r="B916" s="17" t="str">
        <x:v>云浮</x:v>
      </x:c>
      <x:c r="C916" s="24" t="n">
        <x:v>111.8078586</x:v>
      </x:c>
      <x:c r="D916" s="24" t="n">
        <x:v>22.8546663</x:v>
      </x:c>
      <x:c r="E916" s="17" t="str">
        <x:v>C12</x:v>
      </x:c>
      <x:c r="F916" s="17" t="str">
        <x:v>中山虚拟回收/检测中心</x:v>
      </x:c>
      <x:c r="G916" s="17" t="str">
        <x:v>回收中心候选</x:v>
      </x:c>
      <x:c r="H916" s="24" t="n">
        <x:v>113.3872302</x:v>
      </x:c>
      <x:c r="I916" s="24" t="n">
        <x:v>22.5197073</x:v>
      </x:c>
      <x:c r="J916" s="21" t="n">
        <x:f>6371*ACOS(MIN(1,COS(D916*PI()/180)*COS(I916*PI()/180)*COS((H916-C916)*PI()/180)+SIN(D916*PI()/180)*SIN(I916*PI()/180)))</x:f>
        <x:v>166.2541970561187</x:v>
      </x:c>
      <x:c r="K916" s="21" t="n">
        <x:f>'情景参数模板'!$D$31</x:f>
        <x:v>1.2</x:v>
      </x:c>
      <x:c r="L916" s="21" t="n">
        <x:f>J916*K916</x:f>
        <x:v>199.50503646734242</x:v>
      </x:c>
    </x:row>
    <x:row r="917">
      <x:c r="A917" s="17" t="str">
        <x:v>GD21</x:v>
      </x:c>
      <x:c r="B917" s="17" t="str">
        <x:v>云浮</x:v>
      </x:c>
      <x:c r="C917" s="24" t="n">
        <x:v>111.8078586</x:v>
      </x:c>
      <x:c r="D917" s="24" t="n">
        <x:v>22.8546663</x:v>
      </x:c>
      <x:c r="E917" s="17" t="str">
        <x:v>C13</x:v>
      </x:c>
      <x:c r="F917" s="17" t="str">
        <x:v>江门虚拟回收/检测中心</x:v>
      </x:c>
      <x:c r="G917" s="17" t="str">
        <x:v>回收中心候选</x:v>
      </x:c>
      <x:c r="H917" s="24" t="n">
        <x:v>113.0761073</x:v>
      </x:c>
      <x:c r="I917" s="24" t="n">
        <x:v>22.5816619</x:v>
      </x:c>
      <x:c r="J917" s="21" t="n">
        <x:f>6371*ACOS(MIN(1,COS(D917*PI()/180)*COS(I917*PI()/180)*COS((H917-C917)*PI()/180)+SIN(D917*PI()/180)*SIN(I917*PI()/180)))</x:f>
        <x:v>133.57625928884747</x:v>
      </x:c>
      <x:c r="K917" s="21" t="n">
        <x:f>'情景参数模板'!$D$31</x:f>
        <x:v>1.2</x:v>
      </x:c>
      <x:c r="L917" s="21" t="n">
        <x:f>J917*K917</x:f>
        <x:v>160.29151114661695</x:v>
      </x:c>
    </x:row>
    <x:row r="918">
      <x:c r="A918" s="17" t="str">
        <x:v>GD21</x:v>
      </x:c>
      <x:c r="B918" s="17" t="str">
        <x:v>云浮</x:v>
      </x:c>
      <x:c r="C918" s="24" t="n">
        <x:v>111.8078586</x:v>
      </x:c>
      <x:c r="D918" s="24" t="n">
        <x:v>22.8546663</x:v>
      </x:c>
      <x:c r="E918" s="17" t="str">
        <x:v>C14</x:v>
      </x:c>
      <x:c r="F918" s="17" t="str">
        <x:v>阳江虚拟回收/检测中心</x:v>
      </x:c>
      <x:c r="G918" s="17" t="str">
        <x:v>回收中心候选</x:v>
      </x:c>
      <x:c r="H918" s="24" t="n">
        <x:v>111.7831393</x:v>
      </x:c>
      <x:c r="I918" s="24" t="n">
        <x:v>22.0958223</x:v>
      </x:c>
      <x:c r="J918" s="21" t="n">
        <x:f>6371*ACOS(MIN(1,COS(D918*PI()/180)*COS(I918*PI()/180)*COS((H918-C918)*PI()/180)+SIN(D918*PI()/180)*SIN(I918*PI()/180)))</x:f>
        <x:v>84.41781959050998</x:v>
      </x:c>
      <x:c r="K918" s="21" t="n">
        <x:f>'情景参数模板'!$D$31</x:f>
        <x:v>1.2</x:v>
      </x:c>
      <x:c r="L918" s="21" t="n">
        <x:f>J918*K918</x:f>
        <x:v>101.30138350861198</x:v>
      </x:c>
    </x:row>
    <x:row r="919">
      <x:c r="A919" s="17" t="str">
        <x:v>GD21</x:v>
      </x:c>
      <x:c r="B919" s="17" t="str">
        <x:v>云浮</x:v>
      </x:c>
      <x:c r="C919" s="24" t="n">
        <x:v>111.8078586</x:v>
      </x:c>
      <x:c r="D919" s="24" t="n">
        <x:v>22.8546663</x:v>
      </x:c>
      <x:c r="E919" s="17" t="str">
        <x:v>C15</x:v>
      </x:c>
      <x:c r="F919" s="17" t="str">
        <x:v>湛江虚拟回收/检测中心</x:v>
      </x:c>
      <x:c r="G919" s="17" t="str">
        <x:v>回收中心候选</x:v>
      </x:c>
      <x:c r="H919" s="24" t="n">
        <x:v>110.3548318</x:v>
      </x:c>
      <x:c r="I919" s="24" t="n">
        <x:v>21.2737079</x:v>
      </x:c>
      <x:c r="J919" s="21" t="n">
        <x:f>6371*ACOS(MIN(1,COS(D919*PI()/180)*COS(I919*PI()/180)*COS((H919-C919)*PI()/180)+SIN(D919*PI()/180)*SIN(I919*PI()/180)))</x:f>
        <x:v>230.91652154760476</x:v>
      </x:c>
      <x:c r="K919" s="21" t="n">
        <x:f>'情景参数模板'!$D$31</x:f>
        <x:v>1.2</x:v>
      </x:c>
      <x:c r="L919" s="21" t="n">
        <x:f>J919*K919</x:f>
        <x:v>277.0998258571257</x:v>
      </x:c>
    </x:row>
    <x:row r="920">
      <x:c r="A920" s="17" t="str">
        <x:v>GD21</x:v>
      </x:c>
      <x:c r="B920" s="17" t="str">
        <x:v>云浮</x:v>
      </x:c>
      <x:c r="C920" s="24" t="n">
        <x:v>111.8078586</x:v>
      </x:c>
      <x:c r="D920" s="24" t="n">
        <x:v>22.8546663</x:v>
      </x:c>
      <x:c r="E920" s="17" t="str">
        <x:v>C16</x:v>
      </x:c>
      <x:c r="F920" s="17" t="str">
        <x:v>茂名虚拟回收/检测中心</x:v>
      </x:c>
      <x:c r="G920" s="17" t="str">
        <x:v>回收中心候选</x:v>
      </x:c>
      <x:c r="H920" s="24" t="n">
        <x:v>110.9209511</x:v>
      </x:c>
      <x:c r="I920" s="24" t="n">
        <x:v>21.6656961</x:v>
      </x:c>
      <x:c r="J920" s="21" t="n">
        <x:f>6371*ACOS(MIN(1,COS(D920*PI()/180)*COS(I920*PI()/180)*COS((H920-C920)*PI()/180)+SIN(D920*PI()/180)*SIN(I920*PI()/180)))</x:f>
        <x:v>160.65029167234215</x:v>
      </x:c>
      <x:c r="K920" s="21" t="n">
        <x:f>'情景参数模板'!$D$31</x:f>
        <x:v>1.2</x:v>
      </x:c>
      <x:c r="L920" s="21" t="n">
        <x:f>J920*K920</x:f>
        <x:v>192.78035000681058</x:v>
      </x:c>
    </x:row>
    <x:row r="921">
      <x:c r="A921" s="17" t="str">
        <x:v>GD21</x:v>
      </x:c>
      <x:c r="B921" s="17" t="str">
        <x:v>云浮</x:v>
      </x:c>
      <x:c r="C921" s="24" t="n">
        <x:v>111.8078586</x:v>
      </x:c>
      <x:c r="D921" s="24" t="n">
        <x:v>22.8546663</x:v>
      </x:c>
      <x:c r="E921" s="17" t="str">
        <x:v>C17</x:v>
      </x:c>
      <x:c r="F921" s="17" t="str">
        <x:v>肇庆虚拟回收/检测中心</x:v>
      </x:c>
      <x:c r="G921" s="17" t="str">
        <x:v>回收中心候选</x:v>
      </x:c>
      <x:c r="H921" s="24" t="n">
        <x:v>112.4603629</x:v>
      </x:c>
      <x:c r="I921" s="24" t="n">
        <x:v>23.0501661</x:v>
      </x:c>
      <x:c r="J921" s="21" t="n">
        <x:f>6371*ACOS(MIN(1,COS(D921*PI()/180)*COS(I921*PI()/180)*COS((H921-C921)*PI()/180)+SIN(D921*PI()/180)*SIN(I921*PI()/180)))</x:f>
        <x:v>70.25844555620367</x:v>
      </x:c>
      <x:c r="K921" s="21" t="n">
        <x:f>'情景参数模板'!$D$31</x:f>
        <x:v>1.2</x:v>
      </x:c>
      <x:c r="L921" s="21" t="n">
        <x:f>J921*K921</x:f>
        <x:v>84.3101346674444</x:v>
      </x:c>
    </x:row>
    <x:row r="922">
      <x:c r="A922" s="17" t="str">
        <x:v>GD21</x:v>
      </x:c>
      <x:c r="B922" s="17" t="str">
        <x:v>云浮</x:v>
      </x:c>
      <x:c r="C922" s="24" t="n">
        <x:v>111.8078586</x:v>
      </x:c>
      <x:c r="D922" s="24" t="n">
        <x:v>22.8546663</x:v>
      </x:c>
      <x:c r="E922" s="17" t="str">
        <x:v>C18</x:v>
      </x:c>
      <x:c r="F922" s="17" t="str">
        <x:v>清远虚拟回收/检测中心</x:v>
      </x:c>
      <x:c r="G922" s="17" t="str">
        <x:v>回收中心候选</x:v>
      </x:c>
      <x:c r="H922" s="24" t="n">
        <x:v>113.0505994</x:v>
      </x:c>
      <x:c r="I922" s="24" t="n">
        <x:v>23.6832984</x:v>
      </x:c>
      <x:c r="J922" s="21" t="n">
        <x:f>6371*ACOS(MIN(1,COS(D922*PI()/180)*COS(I922*PI()/180)*COS((H922-C922)*PI()/180)+SIN(D922*PI()/180)*SIN(I922*PI()/180)))</x:f>
        <x:v>156.85848449978135</x:v>
      </x:c>
      <x:c r="K922" s="21" t="n">
        <x:f>'情景参数模板'!$D$31</x:f>
        <x:v>1.2</x:v>
      </x:c>
      <x:c r="L922" s="21" t="n">
        <x:f>J922*K922</x:f>
        <x:v>188.23018139973763</x:v>
      </x:c>
    </x:row>
    <x:row r="923">
      <x:c r="A923" s="17" t="str">
        <x:v>GD21</x:v>
      </x:c>
      <x:c r="B923" s="17" t="str">
        <x:v>云浮</x:v>
      </x:c>
      <x:c r="C923" s="24" t="n">
        <x:v>111.8078586</x:v>
      </x:c>
      <x:c r="D923" s="24" t="n">
        <x:v>22.8546663</x:v>
      </x:c>
      <x:c r="E923" s="17" t="str">
        <x:v>C19</x:v>
      </x:c>
      <x:c r="F923" s="17" t="str">
        <x:v>潮州虚拟回收/检测中心</x:v>
      </x:c>
      <x:c r="G923" s="17" t="str">
        <x:v>回收中心候选</x:v>
      </x:c>
      <x:c r="H923" s="24" t="n">
        <x:v>116.6204223</x:v>
      </x:c>
      <x:c r="I923" s="24" t="n">
        <x:v>23.656593</x:v>
      </x:c>
      <x:c r="J923" s="21" t="n">
        <x:f>6371*ACOS(MIN(1,COS(D923*PI()/180)*COS(I923*PI()/180)*COS((H923-C923)*PI()/180)+SIN(D923*PI()/180)*SIN(I923*PI()/180)))</x:f>
        <x:v>499.64697728311506</x:v>
      </x:c>
      <x:c r="K923" s="21" t="n">
        <x:f>'情景参数模板'!$D$31</x:f>
        <x:v>1.2</x:v>
      </x:c>
      <x:c r="L923" s="21" t="n">
        <x:f>J923*K923</x:f>
        <x:v>599.5763727397381</x:v>
      </x:c>
    </x:row>
    <x:row r="924">
      <x:c r="A924" s="17" t="str">
        <x:v>GD21</x:v>
      </x:c>
      <x:c r="B924" s="17" t="str">
        <x:v>云浮</x:v>
      </x:c>
      <x:c r="C924" s="24" t="n">
        <x:v>111.8078586</x:v>
      </x:c>
      <x:c r="D924" s="24" t="n">
        <x:v>22.8546663</x:v>
      </x:c>
      <x:c r="E924" s="17" t="str">
        <x:v>C20</x:v>
      </x:c>
      <x:c r="F924" s="17" t="str">
        <x:v>揭阳虚拟回收/检测中心</x:v>
      </x:c>
      <x:c r="G924" s="17" t="str">
        <x:v>回收中心候选</x:v>
      </x:c>
      <x:c r="H924" s="24" t="n">
        <x:v>116.3680354</x:v>
      </x:c>
      <x:c r="I924" s="24" t="n">
        <x:v>23.553156</x:v>
      </x:c>
      <x:c r="J924" s="21" t="n">
        <x:f>6371*ACOS(MIN(1,COS(D924*PI()/180)*COS(I924*PI()/180)*COS((H924-C924)*PI()/180)+SIN(D924*PI()/180)*SIN(I924*PI()/180)))</x:f>
        <x:v>472.4552002621068</x:v>
      </x:c>
      <x:c r="K924" s="21" t="n">
        <x:f>'情景参数模板'!$D$31</x:f>
        <x:v>1.2</x:v>
      </x:c>
      <x:c r="L924" s="21" t="n">
        <x:f>J924*K924</x:f>
        <x:v>566.9462403145282</x:v>
      </x:c>
    </x:row>
    <x:row r="925">
      <x:c r="A925" s="17" t="str">
        <x:v>GD21</x:v>
      </x:c>
      <x:c r="B925" s="17" t="str">
        <x:v>云浮</x:v>
      </x:c>
      <x:c r="C925" s="24" t="n">
        <x:v>111.8078586</x:v>
      </x:c>
      <x:c r="D925" s="24" t="n">
        <x:v>22.8546663</x:v>
      </x:c>
      <x:c r="E925" s="17" t="str">
        <x:v>C21</x:v>
      </x:c>
      <x:c r="F925" s="17" t="str">
        <x:v>云浮虚拟回收/检测中心</x:v>
      </x:c>
      <x:c r="G925" s="17" t="str">
        <x:v>回收中心候选</x:v>
      </x:c>
      <x:c r="H925" s="24" t="n">
        <x:v>111.8078586</x:v>
      </x:c>
      <x:c r="I925" s="24" t="n">
        <x:v>22.8546663</x:v>
      </x:c>
      <x:c r="J925" s="21" t="n">
        <x:f>6371*ACOS(MIN(1,COS(D925*PI()/180)*COS(I925*PI()/180)*COS((H925-C925)*PI()/180)+SIN(D925*PI()/180)*SIN(I925*PI()/180)))</x:f>
        <x:v>0</x:v>
      </x:c>
      <x:c r="K925" s="21" t="n">
        <x:f>'情景参数模板'!$D$31</x:f>
        <x:v>1.2</x:v>
      </x:c>
      <x:c r="L925" s="21" t="n">
        <x:f>J925*K925</x:f>
        <x:v>0</x:v>
      </x:c>
    </x:row>
    <x:row r="926">
      <x:c r="A926" s="17" t="str">
        <x:v>GD21</x:v>
      </x:c>
      <x:c r="B926" s="17" t="str">
        <x:v>云浮</x:v>
      </x:c>
      <x:c r="C926" s="24" t="n">
        <x:v>111.8078586</x:v>
      </x:c>
      <x:c r="D926" s="24" t="n">
        <x:v>22.8546663</x:v>
      </x:c>
      <x:c r="E926" s="17" t="str">
        <x:v>P01</x:v>
      </x:c>
      <x:c r="F926" s="17" t="str">
        <x:v>汕尾比亚迪废旧动力电池回收项目</x:v>
      </x:c>
      <x:c r="G926" s="17" t="str">
        <x:v>再生利用</x:v>
      </x:c>
      <x:c r="H926" s="24" t="n">
        <x:v>115.3492668</x:v>
      </x:c>
      <x:c r="I926" s="24" t="n">
        <x:v>22.838065</x:v>
      </x:c>
      <x:c r="J926" s="21" t="n">
        <x:f>6371*ACOS(MIN(1,COS(D926*PI()/180)*COS(I926*PI()/180)*COS((H926-C926)*PI()/180)+SIN(D926*PI()/180)*SIN(I926*PI()/180)))</x:f>
        <x:v>362.8897549669268</x:v>
      </x:c>
      <x:c r="K926" s="21" t="n">
        <x:f>'情景参数模板'!$D$31</x:f>
        <x:v>1.2</x:v>
      </x:c>
      <x:c r="L926" s="21" t="n">
        <x:f>J926*K926</x:f>
        <x:v>435.4677059603121</x:v>
      </x:c>
    </x:row>
    <x:row r="927">
      <x:c r="A927" s="17" t="str">
        <x:v>GD21</x:v>
      </x:c>
      <x:c r="B927" s="17" t="str">
        <x:v>云浮</x:v>
      </x:c>
      <x:c r="C927" s="24" t="n">
        <x:v>111.8078586</x:v>
      </x:c>
      <x:c r="D927" s="24" t="n">
        <x:v>22.8546663</x:v>
      </x:c>
      <x:c r="E927" s="17" t="str">
        <x:v>P02E</x:v>
      </x:c>
      <x:c r="F927" s="17" t="str">
        <x:v>广东光华科技股份有限公司（梯次功能）</x:v>
      </x:c>
      <x:c r="G927" s="17" t="str">
        <x:v>梯次利用</x:v>
      </x:c>
      <x:c r="H927" s="24" t="n">
        <x:v>116.6775856</x:v>
      </x:c>
      <x:c r="I927" s="24" t="n">
        <x:v>23.3563921</x:v>
      </x:c>
      <x:c r="J927" s="21" t="n">
        <x:f>6371*ACOS(MIN(1,COS(D927*PI()/180)*COS(I927*PI()/180)*COS((H927-C927)*PI()/180)+SIN(D927*PI()/180)*SIN(I927*PI()/180)))</x:f>
        <x:v>501.14214106027384</x:v>
      </x:c>
      <x:c r="K927" s="21" t="n">
        <x:f>'情景参数模板'!$D$31</x:f>
        <x:v>1.2</x:v>
      </x:c>
      <x:c r="L927" s="21" t="n">
        <x:f>J927*K927</x:f>
        <x:v>601.3705692723286</x:v>
      </x:c>
    </x:row>
    <x:row r="928">
      <x:c r="A928" s="17" t="str">
        <x:v>GD21</x:v>
      </x:c>
      <x:c r="B928" s="17" t="str">
        <x:v>云浮</x:v>
      </x:c>
      <x:c r="C928" s="24" t="n">
        <x:v>111.8078586</x:v>
      </x:c>
      <x:c r="D928" s="24" t="n">
        <x:v>22.8546663</x:v>
      </x:c>
      <x:c r="E928" s="17" t="str">
        <x:v>P02R</x:v>
      </x:c>
      <x:c r="F928" s="17" t="str">
        <x:v>广东光华科技股份有限公司（再生功能）</x:v>
      </x:c>
      <x:c r="G928" s="17" t="str">
        <x:v>再生利用</x:v>
      </x:c>
      <x:c r="H928" s="24" t="n">
        <x:v>116.6775856</x:v>
      </x:c>
      <x:c r="I928" s="24" t="n">
        <x:v>23.3563921</x:v>
      </x:c>
      <x:c r="J928" s="21" t="n">
        <x:f>6371*ACOS(MIN(1,COS(D928*PI()/180)*COS(I928*PI()/180)*COS((H928-C928)*PI()/180)+SIN(D928*PI()/180)*SIN(I928*PI()/180)))</x:f>
        <x:v>501.14214106027384</x:v>
      </x:c>
      <x:c r="K928" s="21" t="n">
        <x:f>'情景参数模板'!$D$31</x:f>
        <x:v>1.2</x:v>
      </x:c>
      <x:c r="L928" s="21" t="n">
        <x:f>J928*K928</x:f>
        <x:v>601.3705692723286</x:v>
      </x:c>
    </x:row>
    <x:row r="929">
      <x:c r="A929" s="17" t="str">
        <x:v>GD21</x:v>
      </x:c>
      <x:c r="B929" s="17" t="str">
        <x:v>云浮</x:v>
      </x:c>
      <x:c r="C929" s="24" t="n">
        <x:v>111.8078586</x:v>
      </x:c>
      <x:c r="D929" s="24" t="n">
        <x:v>22.8546663</x:v>
      </x:c>
      <x:c r="E929" s="17" t="str">
        <x:v>P03</x:v>
      </x:c>
      <x:c r="F929" s="17" t="str">
        <x:v>深圳深汕特别合作区乾泰技术有限公司</x:v>
      </x:c>
      <x:c r="G929" s="17" t="str">
        <x:v>梯次利用</x:v>
      </x:c>
      <x:c r="H929" s="24" t="n">
        <x:v>115.5099937</x:v>
      </x:c>
      <x:c r="I929" s="24" t="n">
        <x:v>23.0123639</x:v>
      </x:c>
      <x:c r="J929" s="21" t="n">
        <x:f>6371*ACOS(MIN(1,COS(D929*PI()/180)*COS(I929*PI()/180)*COS((H929-C929)*PI()/180)+SIN(D929*PI()/180)*SIN(I929*PI()/180)))</x:f>
        <x:v>379.5152802491003</x:v>
      </x:c>
      <x:c r="K929" s="21" t="n">
        <x:f>'情景参数模板'!$D$31</x:f>
        <x:v>1.2</x:v>
      </x:c>
      <x:c r="L929" s="21" t="n">
        <x:f>J929*K929</x:f>
        <x:v>455.41833629892034</x:v>
      </x:c>
    </x:row>
    <x:row r="930">
      <x:c r="A930" s="17" t="str">
        <x:v>GD21</x:v>
      </x:c>
      <x:c r="B930" s="17" t="str">
        <x:v>云浮</x:v>
      </x:c>
      <x:c r="C930" s="24" t="n">
        <x:v>111.8078586</x:v>
      </x:c>
      <x:c r="D930" s="24" t="n">
        <x:v>22.8546663</x:v>
      </x:c>
      <x:c r="E930" s="17" t="str">
        <x:v>P04</x:v>
      </x:c>
      <x:c r="F930" s="17" t="str">
        <x:v>珠海中力新能源科技有限公司</x:v>
      </x:c>
      <x:c r="G930" s="17" t="str">
        <x:v>梯次利用</x:v>
      </x:c>
      <x:c r="H930" s="24" t="n">
        <x:v>113.5721327</x:v>
      </x:c>
      <x:c r="I930" s="24" t="n">
        <x:v>22.273734</x:v>
      </x:c>
      <x:c r="J930" s="21" t="n">
        <x:f>6371*ACOS(MIN(1,COS(D930*PI()/180)*COS(I930*PI()/180)*COS((H930-C930)*PI()/180)+SIN(D930*PI()/180)*SIN(I930*PI()/180)))</x:f>
        <x:v>192.33097216709288</x:v>
      </x:c>
      <x:c r="K930" s="21" t="n">
        <x:f>'情景参数模板'!$D$31</x:f>
        <x:v>1.2</x:v>
      </x:c>
      <x:c r="L930" s="21" t="n">
        <x:f>J930*K930</x:f>
        <x:v>230.79716660051145</x:v>
      </x:c>
    </x:row>
    <x:row r="931">
      <x:c r="A931" s="17" t="str">
        <x:v>GD21</x:v>
      </x:c>
      <x:c r="B931" s="17" t="str">
        <x:v>云浮</x:v>
      </x:c>
      <x:c r="C931" s="24" t="n">
        <x:v>111.8078586</x:v>
      </x:c>
      <x:c r="D931" s="24" t="n">
        <x:v>22.8546663</x:v>
      </x:c>
      <x:c r="E931" s="17" t="str">
        <x:v>P05</x:v>
      </x:c>
      <x:c r="F931" s="17" t="str">
        <x:v>惠州市恒创睿能环保科技有限公司</x:v>
      </x:c>
      <x:c r="G931" s="17" t="str">
        <x:v>梯次利用</x:v>
      </x:c>
      <x:c r="H931" s="24" t="n">
        <x:v>114.4127007</x:v>
      </x:c>
      <x:c r="I931" s="24" t="n">
        <x:v>23.1125153</x:v>
      </x:c>
      <x:c r="J931" s="21" t="n">
        <x:f>6371*ACOS(MIN(1,COS(D931*PI()/180)*COS(I931*PI()/180)*COS((H931-C931)*PI()/180)+SIN(D931*PI()/180)*SIN(I931*PI()/180)))</x:f>
        <x:v>268.1854182947875</x:v>
      </x:c>
      <x:c r="K931" s="21" t="n">
        <x:f>'情景参数模板'!$D$31</x:f>
        <x:v>1.2</x:v>
      </x:c>
      <x:c r="L931" s="21" t="n">
        <x:f>J931*K931</x:f>
        <x:v>321.82250195374496</x:v>
      </x:c>
    </x:row>
    <x:row r="932">
      <x:c r="A932" s="17" t="str">
        <x:v>GD21</x:v>
      </x:c>
      <x:c r="B932" s="17" t="str">
        <x:v>云浮</x:v>
      </x:c>
      <x:c r="C932" s="24" t="n">
        <x:v>111.8078586</x:v>
      </x:c>
      <x:c r="D932" s="24" t="n">
        <x:v>22.8546663</x:v>
      </x:c>
      <x:c r="E932" s="17" t="str">
        <x:v>P06</x:v>
      </x:c>
      <x:c r="F932" s="17" t="str">
        <x:v>江门市朗达锂电池有限公司</x:v>
      </x:c>
      <x:c r="G932" s="17" t="str">
        <x:v>梯次利用</x:v>
      </x:c>
      <x:c r="H932" s="24" t="n">
        <x:v>113.0761073</x:v>
      </x:c>
      <x:c r="I932" s="24" t="n">
        <x:v>22.5816619</x:v>
      </x:c>
      <x:c r="J932" s="21" t="n">
        <x:f>6371*ACOS(MIN(1,COS(D932*PI()/180)*COS(I932*PI()/180)*COS((H932-C932)*PI()/180)+SIN(D932*PI()/180)*SIN(I932*PI()/180)))</x:f>
        <x:v>133.57625928884747</x:v>
      </x:c>
      <x:c r="K932" s="21" t="n">
        <x:f>'情景参数模板'!$D$31</x:f>
        <x:v>1.2</x:v>
      </x:c>
      <x:c r="L932" s="21" t="n">
        <x:f>J932*K932</x:f>
        <x:v>160.29151114661695</x:v>
      </x:c>
    </x:row>
    <x:row r="933">
      <x:c r="A933" s="17" t="str">
        <x:v>GD21</x:v>
      </x:c>
      <x:c r="B933" s="17" t="str">
        <x:v>云浮</x:v>
      </x:c>
      <x:c r="C933" s="24" t="n">
        <x:v>111.8078586</x:v>
      </x:c>
      <x:c r="D933" s="24" t="n">
        <x:v>22.8546663</x:v>
      </x:c>
      <x:c r="E933" s="17" t="str">
        <x:v>P07</x:v>
      </x:c>
      <x:c r="F933" s="17" t="str">
        <x:v>广东迪度新能源有限公司</x:v>
      </x:c>
      <x:c r="G933" s="17" t="str">
        <x:v>梯次利用</x:v>
      </x:c>
      <x:c r="H933" s="24" t="n">
        <x:v>113.7452332</x:v>
      </x:c>
      <x:c r="I933" s="24" t="n">
        <x:v>23.0183568</x:v>
      </x:c>
      <x:c r="J933" s="21" t="n">
        <x:f>6371*ACOS(MIN(1,COS(D933*PI()/180)*COS(I933*PI()/180)*COS((H933-C933)*PI()/180)+SIN(D933*PI()/180)*SIN(I933*PI()/180)))</x:f>
        <x:v>199.2257001173399</x:v>
      </x:c>
      <x:c r="K933" s="21" t="n">
        <x:f>'情景参数模板'!$D$31</x:f>
        <x:v>1.2</x:v>
      </x:c>
      <x:c r="L933" s="21" t="n">
        <x:f>J933*K933</x:f>
        <x:v>239.07084014080786</x:v>
      </x:c>
    </x:row>
    <x:row r="934">
      <x:c r="A934" s="17" t="str">
        <x:v>GD21</x:v>
      </x:c>
      <x:c r="B934" s="17" t="str">
        <x:v>云浮</x:v>
      </x:c>
      <x:c r="C934" s="24" t="n">
        <x:v>111.8078586</x:v>
      </x:c>
      <x:c r="D934" s="24" t="n">
        <x:v>22.8546663</x:v>
      </x:c>
      <x:c r="E934" s="17" t="str">
        <x:v>P08</x:v>
      </x:c>
      <x:c r="F934" s="17" t="str">
        <x:v>东莞市博森新能源有限公司</x:v>
      </x:c>
      <x:c r="G934" s="17" t="str">
        <x:v>梯次利用</x:v>
      </x:c>
      <x:c r="H934" s="24" t="n">
        <x:v>113.7452332</x:v>
      </x:c>
      <x:c r="I934" s="24" t="n">
        <x:v>23.0183568</x:v>
      </x:c>
      <x:c r="J934" s="21" t="n">
        <x:f>6371*ACOS(MIN(1,COS(D934*PI()/180)*COS(I934*PI()/180)*COS((H934-C934)*PI()/180)+SIN(D934*PI()/180)*SIN(I934*PI()/180)))</x:f>
        <x:v>199.2257001173399</x:v>
      </x:c>
      <x:c r="K934" s="21" t="n">
        <x:f>'情景参数模板'!$D$31</x:f>
        <x:v>1.2</x:v>
      </x:c>
      <x:c r="L934" s="21" t="n">
        <x:f>J934*K934</x:f>
        <x:v>239.07084014080786</x:v>
      </x:c>
    </x:row>
    <x:row r="935">
      <x:c r="A935" s="17" t="str">
        <x:v>GD21</x:v>
      </x:c>
      <x:c r="B935" s="17" t="str">
        <x:v>云浮</x:v>
      </x:c>
      <x:c r="C935" s="24" t="n">
        <x:v>111.8078586</x:v>
      </x:c>
      <x:c r="D935" s="24" t="n">
        <x:v>22.8546663</x:v>
      </x:c>
      <x:c r="E935" s="17" t="str">
        <x:v>P09</x:v>
      </x:c>
      <x:c r="F935" s="17" t="str">
        <x:v>广东宇阳新能源有限公司</x:v>
      </x:c>
      <x:c r="G935" s="17" t="str">
        <x:v>梯次利用</x:v>
      </x:c>
      <x:c r="H935" s="24" t="n">
        <x:v>113.7452332</x:v>
      </x:c>
      <x:c r="I935" s="24" t="n">
        <x:v>23.0183568</x:v>
      </x:c>
      <x:c r="J935" s="21" t="n">
        <x:f>6371*ACOS(MIN(1,COS(D935*PI()/180)*COS(I935*PI()/180)*COS((H935-C935)*PI()/180)+SIN(D935*PI()/180)*SIN(I935*PI()/180)))</x:f>
        <x:v>199.2257001173399</x:v>
      </x:c>
      <x:c r="K935" s="21" t="n">
        <x:f>'情景参数模板'!$D$31</x:f>
        <x:v>1.2</x:v>
      </x:c>
      <x:c r="L935" s="21" t="n">
        <x:f>J935*K935</x:f>
        <x:v>239.07084014080786</x:v>
      </x:c>
    </x:row>
    <x:row r="936">
      <x:c r="A936" s="17" t="str">
        <x:v>GD21</x:v>
      </x:c>
      <x:c r="B936" s="17" t="str">
        <x:v>云浮</x:v>
      </x:c>
      <x:c r="C936" s="24" t="n">
        <x:v>111.8078586</x:v>
      </x:c>
      <x:c r="D936" s="24" t="n">
        <x:v>22.8546663</x:v>
      </x:c>
      <x:c r="E936" s="17" t="str">
        <x:v>P10</x:v>
      </x:c>
      <x:c r="F936" s="17" t="str">
        <x:v>广州广汽商贸再生资源有限公司</x:v>
      </x:c>
      <x:c r="G936" s="17" t="str">
        <x:v>梯次利用</x:v>
      </x:c>
      <x:c r="H936" s="24" t="n">
        <x:v>113.2589581</x:v>
      </x:c>
      <x:c r="I936" s="24" t="n">
        <x:v>23.1288429</x:v>
      </x:c>
      <x:c r="J936" s="21" t="n">
        <x:f>6371*ACOS(MIN(1,COS(D936*PI()/180)*COS(I936*PI()/180)*COS((H936-C936)*PI()/180)+SIN(D936*PI()/180)*SIN(I936*PI()/180)))</x:f>
        <x:v>151.63267515894688</x:v>
      </x:c>
      <x:c r="K936" s="21" t="n">
        <x:f>'情景参数模板'!$D$31</x:f>
        <x:v>1.2</x:v>
      </x:c>
      <x:c r="L936" s="21" t="n">
        <x:f>J936*K936</x:f>
        <x:v>181.95921019073626</x:v>
      </x:c>
    </x:row>
    <x:row r="937">
      <x:c r="A937" s="17" t="str">
        <x:v>GD21</x:v>
      </x:c>
      <x:c r="B937" s="17" t="str">
        <x:v>云浮</x:v>
      </x:c>
      <x:c r="C937" s="24" t="n">
        <x:v>111.8078586</x:v>
      </x:c>
      <x:c r="D937" s="24" t="n">
        <x:v>22.8546663</x:v>
      </x:c>
      <x:c r="E937" s="17" t="str">
        <x:v>P11</x:v>
      </x:c>
      <x:c r="F937" s="17" t="str">
        <x:v>深圳市杰成镍钴新能源科技有限公司</x:v>
      </x:c>
      <x:c r="G937" s="17" t="str">
        <x:v>梯次利用</x:v>
      </x:c>
      <x:c r="H937" s="24" t="n">
        <x:v>114.0545429</x:v>
      </x:c>
      <x:c r="I937" s="24" t="n">
        <x:v>22.5445741</x:v>
      </x:c>
      <x:c r="J937" s="21" t="n">
        <x:f>6371*ACOS(MIN(1,COS(D937*PI()/180)*COS(I937*PI()/180)*COS((H937-C937)*PI()/180)+SIN(D937*PI()/180)*SIN(I937*PI()/180)))</x:f>
        <x:v>233.03147812497292</x:v>
      </x:c>
      <x:c r="K937" s="21" t="n">
        <x:f>'情景参数模板'!$D$31</x:f>
        <x:v>1.2</x:v>
      </x:c>
      <x:c r="L937" s="21" t="n">
        <x:f>J937*K937</x:f>
        <x:v>279.6377737499675</x:v>
      </x:c>
    </x:row>
    <x:row r="938">
      <x:c r="A938" s="17" t="str">
        <x:v>GD21</x:v>
      </x:c>
      <x:c r="B938" s="17" t="str">
        <x:v>云浮</x:v>
      </x:c>
      <x:c r="C938" s="24" t="n">
        <x:v>111.8078586</x:v>
      </x:c>
      <x:c r="D938" s="24" t="n">
        <x:v>22.8546663</x:v>
      </x:c>
      <x:c r="E938" s="17" t="str">
        <x:v>P12</x:v>
      </x:c>
      <x:c r="F938" s="17" t="str">
        <x:v>江门市恒创睿能环保科技有限公司</x:v>
      </x:c>
      <x:c r="G938" s="17" t="str">
        <x:v>再生利用</x:v>
      </x:c>
      <x:c r="H938" s="24" t="n">
        <x:v>113.0761073</x:v>
      </x:c>
      <x:c r="I938" s="24" t="n">
        <x:v>22.5816619</x:v>
      </x:c>
      <x:c r="J938" s="21" t="n">
        <x:f>6371*ACOS(MIN(1,COS(D938*PI()/180)*COS(I938*PI()/180)*COS((H938-C938)*PI()/180)+SIN(D938*PI()/180)*SIN(I938*PI()/180)))</x:f>
        <x:v>133.57625928884747</x:v>
      </x:c>
      <x:c r="K938" s="21" t="n">
        <x:f>'情景参数模板'!$D$31</x:f>
        <x:v>1.2</x:v>
      </x:c>
      <x:c r="L938" s="21" t="n">
        <x:f>J938*K938</x:f>
        <x:v>160.29151114661695</x:v>
      </x:c>
    </x:row>
    <x:row r="939">
      <x:c r="A939" s="17" t="str">
        <x:v>GD21</x:v>
      </x:c>
      <x:c r="B939" s="17" t="str">
        <x:v>云浮</x:v>
      </x:c>
      <x:c r="C939" s="24" t="n">
        <x:v>111.8078586</x:v>
      </x:c>
      <x:c r="D939" s="24" t="n">
        <x:v>22.8546663</x:v>
      </x:c>
      <x:c r="E939" s="17" t="str">
        <x:v>P13</x:v>
      </x:c>
      <x:c r="F939" s="17" t="str">
        <x:v>广东佳纳能源科技有限公司</x:v>
      </x:c>
      <x:c r="G939" s="17" t="str">
        <x:v>再生利用</x:v>
      </x:c>
      <x:c r="H939" s="24" t="n">
        <x:v>113.0505994</x:v>
      </x:c>
      <x:c r="I939" s="24" t="n">
        <x:v>23.6832984</x:v>
      </x:c>
      <x:c r="J939" s="21" t="n">
        <x:f>6371*ACOS(MIN(1,COS(D939*PI()/180)*COS(I939*PI()/180)*COS((H939-C939)*PI()/180)+SIN(D939*PI()/180)*SIN(I939*PI()/180)))</x:f>
        <x:v>156.85848449978135</x:v>
      </x:c>
      <x:c r="K939" s="21" t="n">
        <x:f>'情景参数模板'!$D$31</x:f>
        <x:v>1.2</x:v>
      </x:c>
      <x:c r="L939" s="21" t="n">
        <x:f>J939*K939</x:f>
        <x:v>188.23018139973763</x:v>
      </x:c>
    </x:row>
    <x:row r="940">
      <x:c r="A940" s="17" t="str">
        <x:v>GD21</x:v>
      </x:c>
      <x:c r="B940" s="17" t="str">
        <x:v>云浮</x:v>
      </x:c>
      <x:c r="C940" s="24" t="n">
        <x:v>111.8078586</x:v>
      </x:c>
      <x:c r="D940" s="24" t="n">
        <x:v>22.8546663</x:v>
      </x:c>
      <x:c r="E940" s="17" t="str">
        <x:v>P14</x:v>
      </x:c>
      <x:c r="F940" s="17" t="str">
        <x:v>格林美（深圳）循环科技有限公司</x:v>
      </x:c>
      <x:c r="G940" s="17" t="str">
        <x:v>梯次利用</x:v>
      </x:c>
      <x:c r="H940" s="24" t="n">
        <x:v>114.0545429</x:v>
      </x:c>
      <x:c r="I940" s="24" t="n">
        <x:v>22.5445741</x:v>
      </x:c>
      <x:c r="J940" s="21" t="n">
        <x:f>6371*ACOS(MIN(1,COS(D940*PI()/180)*COS(I940*PI()/180)*COS((H940-C940)*PI()/180)+SIN(D940*PI()/180)*SIN(I940*PI()/180)))</x:f>
        <x:v>233.03147812497292</x:v>
      </x:c>
      <x:c r="K940" s="21" t="n">
        <x:f>'情景参数模板'!$D$31</x:f>
        <x:v>1.2</x:v>
      </x:c>
      <x:c r="L940" s="21" t="n">
        <x:f>J940*K940</x:f>
        <x:v>279.6377737499675</x:v>
      </x:c>
    </x:row>
    <x:row r="941">
      <x:c r="A941" s="17" t="str">
        <x:v>GD21</x:v>
      </x:c>
      <x:c r="B941" s="17" t="str">
        <x:v>云浮</x:v>
      </x:c>
      <x:c r="C941" s="24" t="n">
        <x:v>111.8078586</x:v>
      </x:c>
      <x:c r="D941" s="24" t="n">
        <x:v>22.8546663</x:v>
      </x:c>
      <x:c r="E941" s="17" t="str">
        <x:v>P15</x:v>
      </x:c>
      <x:c r="F941" s="17" t="str">
        <x:v>绿循新能源科技（佛山）有限责任公司</x:v>
      </x:c>
      <x:c r="G941" s="17" t="str">
        <x:v>梯次利用</x:v>
      </x:c>
      <x:c r="H941" s="24" t="n">
        <x:v>113.1159558</x:v>
      </x:c>
      <x:c r="I941" s="24" t="n">
        <x:v>23.0239788</x:v>
      </x:c>
      <x:c r="J941" s="21" t="n">
        <x:f>6371*ACOS(MIN(1,COS(D941*PI()/180)*COS(I941*PI()/180)*COS((H941-C941)*PI()/180)+SIN(D941*PI()/180)*SIN(I941*PI()/180)))</x:f>
        <x:v>135.2670709074438</x:v>
      </x:c>
      <x:c r="K941" s="21" t="n">
        <x:f>'情景参数模板'!$D$31</x:f>
        <x:v>1.2</x:v>
      </x:c>
      <x:c r="L941" s="21" t="n">
        <x:f>J941*K941</x:f>
        <x:v>162.32048508893257</x:v>
      </x:c>
    </x:row>
    <x:row r="942">
      <x:c r="A942" s="17" t="str">
        <x:v>GD21</x:v>
      </x:c>
      <x:c r="B942" s="17" t="str">
        <x:v>云浮</x:v>
      </x:c>
      <x:c r="C942" s="24" t="n">
        <x:v>111.8078586</x:v>
      </x:c>
      <x:c r="D942" s="24" t="n">
        <x:v>22.8546663</x:v>
      </x:c>
      <x:c r="E942" s="17" t="str">
        <x:v>P16</x:v>
      </x:c>
      <x:c r="F942" s="17" t="str">
        <x:v>深圳艾云动智慧科技有限公司</x:v>
      </x:c>
      <x:c r="G942" s="17" t="str">
        <x:v>梯次利用</x:v>
      </x:c>
      <x:c r="H942" s="24" t="n">
        <x:v>114.0545429</x:v>
      </x:c>
      <x:c r="I942" s="24" t="n">
        <x:v>22.5445741</x:v>
      </x:c>
      <x:c r="J942" s="21" t="n">
        <x:f>6371*ACOS(MIN(1,COS(D942*PI()/180)*COS(I942*PI()/180)*COS((H942-C942)*PI()/180)+SIN(D942*PI()/180)*SIN(I942*PI()/180)))</x:f>
        <x:v>233.03147812497292</x:v>
      </x:c>
      <x:c r="K942" s="21" t="n">
        <x:f>'情景参数模板'!$D$31</x:f>
        <x:v>1.2</x:v>
      </x:c>
      <x:c r="L942" s="21" t="n">
        <x:f>J942*K942</x:f>
        <x:v>279.6377737499675</x:v>
      </x:c>
    </x:row>
    <x:row r="943">
      <x:c r="A943" s="17" t="str">
        <x:v>GD21</x:v>
      </x:c>
      <x:c r="B943" s="17" t="str">
        <x:v>云浮</x:v>
      </x:c>
      <x:c r="C943" s="24" t="n">
        <x:v>111.8078586</x:v>
      </x:c>
      <x:c r="D943" s="24" t="n">
        <x:v>22.8546663</x:v>
      </x:c>
      <x:c r="E943" s="17" t="str">
        <x:v>P17</x:v>
      </x:c>
      <x:c r="F943" s="17" t="str">
        <x:v>深圳市荣高晟新能源科技有限公司</x:v>
      </x:c>
      <x:c r="G943" s="17" t="str">
        <x:v>梯次利用</x:v>
      </x:c>
      <x:c r="H943" s="24" t="n">
        <x:v>114.0545429</x:v>
      </x:c>
      <x:c r="I943" s="24" t="n">
        <x:v>22.5445741</x:v>
      </x:c>
      <x:c r="J943" s="21" t="n">
        <x:f>6371*ACOS(MIN(1,COS(D943*PI()/180)*COS(I943*PI()/180)*COS((H943-C943)*PI()/180)+SIN(D943*PI()/180)*SIN(I943*PI()/180)))</x:f>
        <x:v>233.03147812497292</x:v>
      </x:c>
      <x:c r="K943" s="21" t="n">
        <x:f>'情景参数模板'!$D$31</x:f>
        <x:v>1.2</x:v>
      </x:c>
      <x:c r="L943" s="21" t="n">
        <x:f>J943*K943</x:f>
        <x:v>279.6377737499675</x:v>
      </x:c>
    </x:row>
    <x:row r="944">
      <x:c r="A944" s="17" t="str">
        <x:v>GD21</x:v>
      </x:c>
      <x:c r="B944" s="17" t="str">
        <x:v>云浮</x:v>
      </x:c>
      <x:c r="C944" s="24" t="n">
        <x:v>111.8078586</x:v>
      </x:c>
      <x:c r="D944" s="24" t="n">
        <x:v>22.8546663</x:v>
      </x:c>
      <x:c r="E944" s="17" t="str">
        <x:v>P18</x:v>
      </x:c>
      <x:c r="F944" s="17" t="str">
        <x:v>中商锂新能源科技（惠州）有限公司</x:v>
      </x:c>
      <x:c r="G944" s="17" t="str">
        <x:v>梯次利用</x:v>
      </x:c>
      <x:c r="H944" s="24" t="n">
        <x:v>114.4127007</x:v>
      </x:c>
      <x:c r="I944" s="24" t="n">
        <x:v>23.1125153</x:v>
      </x:c>
      <x:c r="J944" s="21" t="n">
        <x:f>6371*ACOS(MIN(1,COS(D944*PI()/180)*COS(I944*PI()/180)*COS((H944-C944)*PI()/180)+SIN(D944*PI()/180)*SIN(I944*PI()/180)))</x:f>
        <x:v>268.1854182947875</x:v>
      </x:c>
      <x:c r="K944" s="21" t="n">
        <x:f>'情景参数模板'!$D$31</x:f>
        <x:v>1.2</x:v>
      </x:c>
      <x:c r="L944" s="21" t="n">
        <x:f>J944*K944</x:f>
        <x:v>321.82250195374496</x:v>
      </x:c>
    </x:row>
    <x:row r="945">
      <x:c r="A945" s="17" t="str">
        <x:v>GD21</x:v>
      </x:c>
      <x:c r="B945" s="17" t="str">
        <x:v>云浮</x:v>
      </x:c>
      <x:c r="C945" s="24" t="n">
        <x:v>111.8078586</x:v>
      </x:c>
      <x:c r="D945" s="24" t="n">
        <x:v>22.8546663</x:v>
      </x:c>
      <x:c r="E945" s="17" t="str">
        <x:v>P19</x:v>
      </x:c>
      <x:c r="F945" s="17" t="str">
        <x:v>广东盛祥新材料科技有限公司</x:v>
      </x:c>
      <x:c r="G945" s="17" t="str">
        <x:v>再生利用</x:v>
      </x:c>
      <x:c r="H945" s="24" t="n">
        <x:v>113.8155263</x:v>
      </x:c>
      <x:c r="I945" s="24" t="n">
        <x:v>24.8309489</x:v>
      </x:c>
      <x:c r="J945" s="21" t="n">
        <x:f>6371*ACOS(MIN(1,COS(D945*PI()/180)*COS(I945*PI()/180)*COS((H945-C945)*PI()/180)+SIN(D945*PI()/180)*SIN(I945*PI()/180)))</x:f>
        <x:v>299.9628394143898</x:v>
      </x:c>
      <x:c r="K945" s="21" t="n">
        <x:f>'情景参数模板'!$D$31</x:f>
        <x:v>1.2</x:v>
      </x:c>
      <x:c r="L945" s="21" t="n">
        <x:f>J945*K945</x:f>
        <x:v>359.95540729726775</x:v>
      </x:c>
    </x:row>
    <x:row r="946">
      <x:c r="A946" s="17" t="str">
        <x:v>GD21</x:v>
      </x:c>
      <x:c r="B946" s="17" t="str">
        <x:v>云浮</x:v>
      </x:c>
      <x:c r="C946" s="24" t="n">
        <x:v>111.8078586</x:v>
      </x:c>
      <x:c r="D946" s="24" t="n">
        <x:v>22.8546663</x:v>
      </x:c>
      <x:c r="E946" s="17" t="str">
        <x:v>P20E</x:v>
      </x:c>
      <x:c r="F946" s="17" t="str">
        <x:v>广东金晟新能源股份有限公司（梯次功能）</x:v>
      </x:c>
      <x:c r="G946" s="17" t="str">
        <x:v>梯次利用</x:v>
      </x:c>
      <x:c r="H946" s="24" t="n">
        <x:v>112.4603629</x:v>
      </x:c>
      <x:c r="I946" s="24" t="n">
        <x:v>23.0501661</x:v>
      </x:c>
      <x:c r="J946" s="21" t="n">
        <x:f>6371*ACOS(MIN(1,COS(D946*PI()/180)*COS(I946*PI()/180)*COS((H946-C946)*PI()/180)+SIN(D946*PI()/180)*SIN(I946*PI()/180)))</x:f>
        <x:v>70.25844555620367</x:v>
      </x:c>
      <x:c r="K946" s="21" t="n">
        <x:f>'情景参数模板'!$D$31</x:f>
        <x:v>1.2</x:v>
      </x:c>
      <x:c r="L946" s="21" t="n">
        <x:f>J946*K946</x:f>
        <x:v>84.3101346674444</x:v>
      </x:c>
    </x:row>
    <x:row r="947">
      <x:c r="A947" s="17" t="str">
        <x:v>GD21</x:v>
      </x:c>
      <x:c r="B947" s="17" t="str">
        <x:v>云浮</x:v>
      </x:c>
      <x:c r="C947" s="24" t="n">
        <x:v>111.8078586</x:v>
      </x:c>
      <x:c r="D947" s="24" t="n">
        <x:v>22.8546663</x:v>
      </x:c>
      <x:c r="E947" s="17" t="str">
        <x:v>P20R</x:v>
      </x:c>
      <x:c r="F947" s="17" t="str">
        <x:v>广东金晟新能源股份有限公司（再生功能）</x:v>
      </x:c>
      <x:c r="G947" s="17" t="str">
        <x:v>再生利用</x:v>
      </x:c>
      <x:c r="H947" s="24" t="n">
        <x:v>112.4603629</x:v>
      </x:c>
      <x:c r="I947" s="24" t="n">
        <x:v>23.0501661</x:v>
      </x:c>
      <x:c r="J947" s="21" t="n">
        <x:f>6371*ACOS(MIN(1,COS(D947*PI()/180)*COS(I947*PI()/180)*COS((H947-C947)*PI()/180)+SIN(D947*PI()/180)*SIN(I947*PI()/180)))</x:f>
        <x:v>70.25844555620367</x:v>
      </x:c>
      <x:c r="K947" s="21" t="n">
        <x:f>'情景参数模板'!$D$31</x:f>
        <x:v>1.2</x:v>
      </x:c>
      <x:c r="L947" s="21" t="n">
        <x:f>J947*K947</x:f>
        <x:v>84.3101346674444</x:v>
      </x:c>
    </x:row>
    <x:row r="948">
      <x:c r="A948" s="17" t="str">
        <x:v>GD21</x:v>
      </x:c>
      <x:c r="B948" s="17" t="str">
        <x:v>云浮</x:v>
      </x:c>
      <x:c r="C948" s="24" t="n">
        <x:v>111.8078586</x:v>
      </x:c>
      <x:c r="D948" s="24" t="n">
        <x:v>22.8546663</x:v>
      </x:c>
      <x:c r="E948" s="17" t="str">
        <x:v>P21E</x:v>
      </x:c>
      <x:c r="F948" s="17" t="str">
        <x:v>广东瑞科美电源技术有限公司（梯次功能）</x:v>
      </x:c>
      <x:c r="G948" s="17" t="str">
        <x:v>梯次利用</x:v>
      </x:c>
      <x:c r="H948" s="24" t="n">
        <x:v>113.1159558</x:v>
      </x:c>
      <x:c r="I948" s="24" t="n">
        <x:v>23.0239788</x:v>
      </x:c>
      <x:c r="J948" s="21" t="n">
        <x:f>6371*ACOS(MIN(1,COS(D948*PI()/180)*COS(I948*PI()/180)*COS((H948-C948)*PI()/180)+SIN(D948*PI()/180)*SIN(I948*PI()/180)))</x:f>
        <x:v>135.2670709074438</x:v>
      </x:c>
      <x:c r="K948" s="21" t="n">
        <x:f>'情景参数模板'!$D$31</x:f>
        <x:v>1.2</x:v>
      </x:c>
      <x:c r="L948" s="21" t="n">
        <x:f>J948*K948</x:f>
        <x:v>162.32048508893257</x:v>
      </x:c>
    </x:row>
    <x:row r="949">
      <x:c r="A949" s="17" t="str">
        <x:v>GD21</x:v>
      </x:c>
      <x:c r="B949" s="17" t="str">
        <x:v>云浮</x:v>
      </x:c>
      <x:c r="C949" s="24" t="n">
        <x:v>111.8078586</x:v>
      </x:c>
      <x:c r="D949" s="24" t="n">
        <x:v>22.8546663</x:v>
      </x:c>
      <x:c r="E949" s="17" t="str">
        <x:v>P21R</x:v>
      </x:c>
      <x:c r="F949" s="17" t="str">
        <x:v>广东瑞科美电源技术有限公司（再生功能）</x:v>
      </x:c>
      <x:c r="G949" s="17" t="str">
        <x:v>再生利用</x:v>
      </x:c>
      <x:c r="H949" s="24" t="n">
        <x:v>113.1159558</x:v>
      </x:c>
      <x:c r="I949" s="24" t="n">
        <x:v>23.0239788</x:v>
      </x:c>
      <x:c r="J949" s="21" t="n">
        <x:f>6371*ACOS(MIN(1,COS(D949*PI()/180)*COS(I949*PI()/180)*COS((H949-C949)*PI()/180)+SIN(D949*PI()/180)*SIN(I949*PI()/180)))</x:f>
        <x:v>135.2670709074438</x:v>
      </x:c>
      <x:c r="K949" s="21" t="n">
        <x:f>'情景参数模板'!$D$31</x:f>
        <x:v>1.2</x:v>
      </x:c>
      <x:c r="L949" s="21" t="n">
        <x:f>J949*K949</x:f>
        <x:v>162.32048508893257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4" hidden="0" customWidth="1"/>
    <x:col min="6" max="6" width="30" hidden="0" customWidth="1"/>
    <x:col min="7" max="7" width="34" hidden="0" customWidth="1"/>
  </x:cols>
  <x:sheetData>
    <x:row r="1" ht="30" customHeight="1">
      <x:c r="A1" s="4" t="str">
        <x:v>模型接口：regions_input（字段名已兼容原型代码）</x:v>
      </x:c>
      <x:c r="B1" s="4" t="str">
        <x:v>模型接口：regions_input（字段名已兼容原型代码）</x:v>
      </x:c>
      <x:c r="C1" s="4" t="str">
        <x:v>模型接口：regions_input（字段名已兼容原型代码）</x:v>
      </x:c>
      <x:c r="D1" s="4" t="str">
        <x:v>模型接口：regions_input（字段名已兼容原型代码）</x:v>
      </x:c>
      <x:c r="E1" s="4" t="str">
        <x:v>模型接口：regions_input（字段名已兼容原型代码）</x:v>
      </x:c>
      <x:c r="F1" s="4" t="str">
        <x:v>模型接口：regions_input（字段名已兼容原型代码）</x:v>
      </x:c>
      <x:c r="G1" s="4" t="str">
        <x:v>模型接口：regions_input（字段名已兼容原型代码）</x:v>
      </x:c>
    </x:row>
    <x:row r="3" ht="28" customHeight="1">
      <x:c r="A3" s="14" t="str">
        <x:v>region_id</x:v>
      </x:c>
      <x:c r="B3" s="14" t="str">
        <x:v>name</x:v>
      </x:c>
      <x:c r="C3" s="14" t="str">
        <x:v>lon</x:v>
      </x:c>
      <x:c r="D3" s="14" t="str">
        <x:v>lat</x:v>
      </x:c>
      <x:c r="E3" s="14" t="str">
        <x:v>retired_battery_tons</x:v>
      </x:c>
      <x:c r="F3" s="14" t="str">
        <x:v>scenario</x:v>
      </x:c>
      <x:c r="G3" s="14" t="str">
        <x:v>quality_flag</x:v>
      </x:c>
    </x:row>
    <x:row r="4">
      <x:c r="A4" s="17" t="str">
        <x:v>GD01</x:v>
      </x:c>
      <x:c r="B4" s="17" t="str">
        <x:v>广州</x:v>
      </x:c>
      <x:c r="C4" s="24" t="n">
        <x:v>113.2589581</x:v>
      </x:c>
      <x:c r="D4" s="24" t="n">
        <x:v>23.1288429</x:v>
      </x:c>
      <x:c r="E4" s="21" t="n">
        <x:f>'广东21市模板'!R5</x:f>
        <x:v>2255.450982532751</x:v>
      </x:c>
      <x:c r="F4" s="17" t="str">
        <x:v>BYD_GD_2025_BASE_NEV_PROXY</x:v>
      </x:c>
      <x:c r="G4" s="17" t="str">
        <x:v>C/D-退役量估算；B/C-城市权重；B-坐标代理</x:v>
      </x:c>
    </x:row>
    <x:row r="5">
      <x:c r="A5" s="17" t="str">
        <x:v>GD02</x:v>
      </x:c>
      <x:c r="B5" s="17" t="str">
        <x:v>深圳</x:v>
      </x:c>
      <x:c r="C5" s="24" t="n">
        <x:v>114.0545429</x:v>
      </x:c>
      <x:c r="D5" s="24" t="n">
        <x:v>22.5445741</x:v>
      </x:c>
      <x:c r="E5" s="21" t="n">
        <x:f>'广东21市模板'!R6</x:f>
        <x:v>2178.6696724890826</x:v>
      </x:c>
      <x:c r="F5" s="17" t="str">
        <x:v>BYD_GD_2025_BASE_NEV_PROXY</x:v>
      </x:c>
      <x:c r="G5" s="17" t="str">
        <x:v>C/D-退役量估算；B/C-城市权重；B-坐标代理</x:v>
      </x:c>
    </x:row>
    <x:row r="6">
      <x:c r="A6" s="17" t="str">
        <x:v>GD03</x:v>
      </x:c>
      <x:c r="B6" s="17" t="str">
        <x:v>珠海</x:v>
      </x:c>
      <x:c r="C6" s="24" t="n">
        <x:v>113.5721327</x:v>
      </x:c>
      <x:c r="D6" s="24" t="n">
        <x:v>22.273734</x:v>
      </x:c>
      <x:c r="E6" s="21" t="n">
        <x:f>'广东21市模板'!R7</x:f>
        <x:v>265.7593093886463</x:v>
      </x:c>
      <x:c r="F6" s="17" t="str">
        <x:v>BYD_GD_2025_BASE_NEV_PROXY</x:v>
      </x:c>
      <x:c r="G6" s="17" t="str">
        <x:v>C/D-退役量估算；B/C-城市权重；B-坐标代理</x:v>
      </x:c>
    </x:row>
    <x:row r="7">
      <x:c r="A7" s="17" t="str">
        <x:v>GD04</x:v>
      </x:c>
      <x:c r="B7" s="17" t="str">
        <x:v>汕头</x:v>
      </x:c>
      <x:c r="C7" s="24" t="n">
        <x:v>116.6775856</x:v>
      </x:c>
      <x:c r="D7" s="24" t="n">
        <x:v>23.3563921</x:v>
      </x:c>
      <x:c r="E7" s="21" t="n">
        <x:f>'广东21市模板'!R8</x:f>
        <x:v>298.46814746724885</x:v>
      </x:c>
      <x:c r="F7" s="17" t="str">
        <x:v>BYD_GD_2025_BASE_NEV_PROXY</x:v>
      </x:c>
      <x:c r="G7" s="17" t="str">
        <x:v>C/D-退役量估算；B/C-城市权重；B-坐标代理</x:v>
      </x:c>
    </x:row>
    <x:row r="8">
      <x:c r="A8" s="17" t="str">
        <x:v>GD05</x:v>
      </x:c>
      <x:c r="B8" s="17" t="str">
        <x:v>佛山</x:v>
      </x:c>
      <x:c r="C8" s="24" t="n">
        <x:v>113.1159558</x:v>
      </x:c>
      <x:c r="D8" s="24" t="n">
        <x:v>23.0239788</x:v>
      </x:c>
      <x:c r="E8" s="21" t="n">
        <x:f>'广东21市模板'!R9</x:f>
        <x:v>577.5106234934497</x:v>
      </x:c>
      <x:c r="F8" s="17" t="str">
        <x:v>BYD_GD_2025_BASE_NEV_PROXY</x:v>
      </x:c>
      <x:c r="G8" s="17" t="str">
        <x:v>C/D-退役量估算；B/C-城市权重；B-坐标代理</x:v>
      </x:c>
    </x:row>
    <x:row r="9">
      <x:c r="A9" s="17" t="str">
        <x:v>GD06</x:v>
      </x:c>
      <x:c r="B9" s="17" t="str">
        <x:v>韶关</x:v>
      </x:c>
      <x:c r="C9" s="24" t="n">
        <x:v>113.8155263</x:v>
      </x:c>
      <x:c r="D9" s="24" t="n">
        <x:v>24.8309489</x:v>
      </x:c>
      <x:c r="E9" s="21" t="n">
        <x:f>'广东21市模板'!R10</x:f>
        <x:v>77.84665072052401</x:v>
      </x:c>
      <x:c r="F9" s="17" t="str">
        <x:v>BYD_GD_2025_BASE_NEV_PROXY</x:v>
      </x:c>
      <x:c r="G9" s="17" t="str">
        <x:v>C/D-退役量估算；B/C-城市权重；B-坐标代理</x:v>
      </x:c>
    </x:row>
    <x:row r="10">
      <x:c r="A10" s="17" t="str">
        <x:v>GD07</x:v>
      </x:c>
      <x:c r="B10" s="17" t="str">
        <x:v>河源</x:v>
      </x:c>
      <x:c r="C10" s="24" t="n">
        <x:v>115.0577538</x:v>
      </x:c>
      <x:c r="D10" s="24" t="n">
        <x:v>24.1014769</x:v>
      </x:c>
      <x:c r="E10" s="21" t="n">
        <x:f>'广东21市模板'!R11</x:f>
        <x:v>94.14348377729257</x:v>
      </x:c>
      <x:c r="F10" s="17" t="str">
        <x:v>BYD_GD_2025_BASE_NEV_PROXY</x:v>
      </x:c>
      <x:c r="G10" s="17" t="str">
        <x:v>C/D-退役量估算；B/C-城市权重；B-坐标代理</x:v>
      </x:c>
    </x:row>
    <x:row r="11">
      <x:c r="A11" s="17" t="str">
        <x:v>GD08</x:v>
      </x:c>
      <x:c r="B11" s="17" t="str">
        <x:v>梅州</x:v>
      </x:c>
      <x:c r="C11" s="24" t="n">
        <x:v>116.1171428</x:v>
      </x:c>
      <x:c r="D11" s="24" t="n">
        <x:v>24.2918414</x:v>
      </x:c>
      <x:c r="E11" s="21" t="n">
        <x:f>'广东21市模板'!R12</x:f>
        <x:v>115.86299685589519</x:v>
      </x:c>
      <x:c r="F11" s="17" t="str">
        <x:v>BYD_GD_2025_BASE_NEV_PROXY</x:v>
      </x:c>
      <x:c r="G11" s="17" t="str">
        <x:v>C/D-退役量估算；B/C-城市权重；B-坐标代理</x:v>
      </x:c>
    </x:row>
    <x:row r="12">
      <x:c r="A12" s="17" t="str">
        <x:v>GD09</x:v>
      </x:c>
      <x:c r="B12" s="17" t="str">
        <x:v>惠州</x:v>
      </x:c>
      <x:c r="C12" s="24" t="n">
        <x:v>114.4127007</x:v>
      </x:c>
      <x:c r="D12" s="24" t="n">
        <x:v>23.1125153</x:v>
      </x:c>
      <x:c r="E12" s="21" t="n">
        <x:f>'广东21市模板'!R13</x:f>
        <x:v>333.11571362445414</x:v>
      </x:c>
      <x:c r="F12" s="17" t="str">
        <x:v>BYD_GD_2025_BASE_NEV_PROXY</x:v>
      </x:c>
      <x:c r="G12" s="17" t="str">
        <x:v>C/D-退役量估算；B/C-城市权重；B-坐标代理</x:v>
      </x:c>
    </x:row>
    <x:row r="13">
      <x:c r="A13" s="17" t="str">
        <x:v>GD10</x:v>
      </x:c>
      <x:c r="B13" s="17" t="str">
        <x:v>汕尾</x:v>
      </x:c>
      <x:c r="C13" s="24" t="n">
        <x:v>115.5099937</x:v>
      </x:c>
      <x:c r="D13" s="24" t="n">
        <x:v>23.0123639</x:v>
      </x:c>
      <x:c r="E13" s="21" t="n">
        <x:f>'广东21市模板'!R14</x:f>
        <x:v>133.97378836244542</x:v>
      </x:c>
      <x:c r="F13" s="17" t="str">
        <x:v>BYD_GD_2025_BASE_NEV_PROXY</x:v>
      </x:c>
      <x:c r="G13" s="17" t="str">
        <x:v>C/D-退役量估算；B/C-城市权重；B-坐标代理</x:v>
      </x:c>
    </x:row>
    <x:row r="14">
      <x:c r="A14" s="17" t="str">
        <x:v>GD11</x:v>
      </x:c>
      <x:c r="B14" s="17" t="str">
        <x:v>东莞</x:v>
      </x:c>
      <x:c r="C14" s="24" t="n">
        <x:v>113.7452332</x:v>
      </x:c>
      <x:c r="D14" s="24" t="n">
        <x:v>23.0183568</x:v>
      </x:c>
      <x:c r="E14" s="21" t="n">
        <x:f>'广东21市模板'!R15</x:f>
        <x:v>664.4174687991266</x:v>
      </x:c>
      <x:c r="F14" s="17" t="str">
        <x:v>BYD_GD_2025_BASE_NEV_PROXY</x:v>
      </x:c>
      <x:c r="G14" s="17" t="str">
        <x:v>C/D-退役量估算；B/C-城市权重；B-坐标代理</x:v>
      </x:c>
    </x:row>
    <x:row r="15">
      <x:c r="A15" s="17" t="str">
        <x:v>GD12</x:v>
      </x:c>
      <x:c r="B15" s="17" t="str">
        <x:v>中山</x:v>
      </x:c>
      <x:c r="C15" s="24" t="n">
        <x:v>113.3872302</x:v>
      </x:c>
      <x:c r="D15" s="24" t="n">
        <x:v>22.5197073</x:v>
      </x:c>
      <x:c r="E15" s="21" t="n">
        <x:f>'广东21市模板'!R16</x:f>
        <x:v>509.06008558951964</x:v>
      </x:c>
      <x:c r="F15" s="17" t="str">
        <x:v>BYD_GD_2025_BASE_NEV_PROXY</x:v>
      </x:c>
      <x:c r="G15" s="17" t="str">
        <x:v>C/D-退役量估算；B/C-城市权重；B-坐标代理</x:v>
      </x:c>
    </x:row>
    <x:row r="16">
      <x:c r="A16" s="17" t="str">
        <x:v>GD13</x:v>
      </x:c>
      <x:c r="B16" s="17" t="str">
        <x:v>江门</x:v>
      </x:c>
      <x:c r="C16" s="24" t="n">
        <x:v>113.0761073</x:v>
      </x:c>
      <x:c r="D16" s="24" t="n">
        <x:v>22.5816619</x:v>
      </x:c>
      <x:c r="E16" s="21" t="n">
        <x:f>'广东21市模板'!R17</x:f>
        <x:v>159.31162067685588</x:v>
      </x:c>
      <x:c r="F16" s="17" t="str">
        <x:v>BYD_GD_2025_BASE_NEV_PROXY</x:v>
      </x:c>
      <x:c r="G16" s="17" t="str">
        <x:v>C/D-退役量估算；B/C-城市权重；B-坐标代理</x:v>
      </x:c>
    </x:row>
    <x:row r="17">
      <x:c r="A17" s="17" t="str">
        <x:v>GD14</x:v>
      </x:c>
      <x:c r="B17" s="17" t="str">
        <x:v>阳江</x:v>
      </x:c>
      <x:c r="C17" s="24" t="n">
        <x:v>111.7831393</x:v>
      </x:c>
      <x:c r="D17" s="24" t="n">
        <x:v>22.0958223</x:v>
      </x:c>
      <x:c r="E17" s="21" t="n">
        <x:f>'广东21市模板'!R18</x:f>
        <x:v>90.51556687772926</x:v>
      </x:c>
      <x:c r="F17" s="17" t="str">
        <x:v>BYD_GD_2025_BASE_NEV_PROXY</x:v>
      </x:c>
      <x:c r="G17" s="17" t="str">
        <x:v>C/D-退役量估算；B/C-城市权重；B-坐标代理</x:v>
      </x:c>
    </x:row>
    <x:row r="18">
      <x:c r="A18" s="17" t="str">
        <x:v>GD15</x:v>
      </x:c>
      <x:c r="B18" s="17" t="str">
        <x:v>湛江</x:v>
      </x:c>
      <x:c r="C18" s="24" t="n">
        <x:v>110.3548318</x:v>
      </x:c>
      <x:c r="D18" s="24" t="n">
        <x:v>21.2737079</x:v>
      </x:c>
      <x:c r="E18" s="21" t="n">
        <x:f>'广东21市模板'!R19</x:f>
        <x:v>269.751937510917</x:v>
      </x:c>
      <x:c r="F18" s="17" t="str">
        <x:v>BYD_GD_2025_BASE_NEV_PROXY</x:v>
      </x:c>
      <x:c r="G18" s="17" t="str">
        <x:v>C/D-退役量估算；B/C-城市权重；B-坐标代理</x:v>
      </x:c>
    </x:row>
    <x:row r="19">
      <x:c r="A19" s="17" t="str">
        <x:v>GD16</x:v>
      </x:c>
      <x:c r="B19" s="17" t="str">
        <x:v>茂名</x:v>
      </x:c>
      <x:c r="C19" s="24" t="n">
        <x:v>110.9209511</x:v>
      </x:c>
      <x:c r="D19" s="24" t="n">
        <x:v>21.6656961</x:v>
      </x:c>
      <x:c r="E19" s="21" t="n">
        <x:f>'广东21市模板'!R20</x:f>
        <x:v>231.72599371179038</x:v>
      </x:c>
      <x:c r="F19" s="17" t="str">
        <x:v>BYD_GD_2025_BASE_NEV_PROXY</x:v>
      </x:c>
      <x:c r="G19" s="17" t="str">
        <x:v>C/D-退役量估算；B/C-城市权重；B-坐标代理</x:v>
      </x:c>
    </x:row>
    <x:row r="20">
      <x:c r="A20" s="17" t="str">
        <x:v>GD17</x:v>
      </x:c>
      <x:c r="B20" s="17" t="str">
        <x:v>肇庆</x:v>
      </x:c>
      <x:c r="C20" s="24" t="n">
        <x:v>112.4603629</x:v>
      </x:c>
      <x:c r="D20" s="24" t="n">
        <x:v>23.0501661</x:v>
      </x:c>
      <x:c r="E20" s="21" t="n">
        <x:f>'广东21市模板'!R21</x:f>
        <x:v>97.76180301310043</x:v>
      </x:c>
      <x:c r="F20" s="17" t="str">
        <x:v>BYD_GD_2025_BASE_NEV_PROXY</x:v>
      </x:c>
      <x:c r="G20" s="17" t="str">
        <x:v>C/D-退役量估算；B/C-城市权重；B-坐标代理</x:v>
      </x:c>
    </x:row>
    <x:row r="21">
      <x:c r="A21" s="17" t="str">
        <x:v>GD18</x:v>
      </x:c>
      <x:c r="B21" s="17" t="str">
        <x:v>清远</x:v>
      </x:c>
      <x:c r="C21" s="24" t="n">
        <x:v>113.0505994</x:v>
      </x:c>
      <x:c r="D21" s="24" t="n">
        <x:v>23.6832984</x:v>
      </x:c>
      <x:c r="E21" s="21" t="n">
        <x:f>'广东21市模板'!R22</x:f>
        <x:v>108.62635838427946</x:v>
      </x:c>
      <x:c r="F21" s="17" t="str">
        <x:v>BYD_GD_2025_BASE_NEV_PROXY</x:v>
      </x:c>
      <x:c r="G21" s="17" t="str">
        <x:v>C/D-退役量估算；B/C-城市权重；B-坐标代理</x:v>
      </x:c>
    </x:row>
    <x:row r="22">
      <x:c r="A22" s="17" t="str">
        <x:v>GD19</x:v>
      </x:c>
      <x:c r="B22" s="17" t="str">
        <x:v>潮州</x:v>
      </x:c>
      <x:c r="C22" s="24" t="n">
        <x:v>116.6204223</x:v>
      </x:c>
      <x:c r="D22" s="24" t="n">
        <x:v>23.656593</x:v>
      </x:c>
      <x:c r="E22" s="21" t="n">
        <x:f>'广东21市模板'!R23</x:f>
        <x:v>76.03269227074236</x:v>
      </x:c>
      <x:c r="F22" s="17" t="str">
        <x:v>BYD_GD_2025_BASE_NEV_PROXY</x:v>
      </x:c>
      <x:c r="G22" s="17" t="str">
        <x:v>C/D-退役量估算；B/C-城市权重；B-坐标代理</x:v>
      </x:c>
    </x:row>
    <x:row r="23">
      <x:c r="A23" s="17" t="str">
        <x:v>GD20</x:v>
      </x:c>
      <x:c r="B23" s="17" t="str">
        <x:v>揭阳</x:v>
      </x:c>
      <x:c r="C23" s="24" t="n">
        <x:v>116.3680354</x:v>
      </x:c>
      <x:c r="D23" s="24" t="n">
        <x:v>23.553156</x:v>
      </x:c>
      <x:c r="E23" s="21" t="n">
        <x:f>'广东21市模板'!R24</x:f>
        <x:v>181.04073141921396</x:v>
      </x:c>
      <x:c r="F23" s="17" t="str">
        <x:v>BYD_GD_2025_BASE_NEV_PROXY</x:v>
      </x:c>
      <x:c r="G23" s="17" t="str">
        <x:v>C/D-退役量估算；B/C-城市权重；B-坐标代理</x:v>
      </x:c>
    </x:row>
    <x:row r="24">
      <x:c r="A24" s="17" t="str">
        <x:v>GD21</x:v>
      </x:c>
      <x:c r="B24" s="17" t="str">
        <x:v>云浮</x:v>
      </x:c>
      <x:c r="C24" s="24" t="n">
        <x:v>111.8078586</x:v>
      </x:c>
      <x:c r="D24" s="24" t="n">
        <x:v>22.8546663</x:v>
      </x:c>
      <x:c r="E24" s="21" t="n">
        <x:f>'广东21市模板'!R25</x:f>
        <x:v>72.4143730349345</x:v>
      </x:c>
      <x:c r="F24" s="17" t="str">
        <x:v>BYD_GD_2025_BASE_NEV_PROXY</x:v>
      </x:c>
      <x:c r="G24" s="17" t="str">
        <x:v>C/D-退役量估算；B/C-城市权重；B-坐标代理</x:v>
      </x:c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42" hidden="0" customWidth="1"/>
    <x:col min="4" max="4" width="18" hidden="0" customWidth="1"/>
    <x:col min="5" max="5" width="42" hidden="0" customWidth="1"/>
    <x:col min="6" max="6" width="16" hidden="0" customWidth="1"/>
    <x:col min="7" max="7" width="10" hidden="0" customWidth="1"/>
    <x:col min="8" max="8" width="16" hidden="0" customWidth="1"/>
  </x:cols>
  <x:sheetData>
    <x:row r="1" ht="30" customHeight="1">
      <x:c r="A1" s="4" t="str">
        <x:v>两次对话中的关键纠错与取舍</x:v>
      </x:c>
      <x:c r="B1" s="4" t="str">
        <x:v>两次对话中的关键纠错与取舍</x:v>
      </x:c>
      <x:c r="C1" s="4" t="str">
        <x:v>两次对话中的关键纠错与取舍</x:v>
      </x:c>
      <x:c r="D1" s="4" t="str">
        <x:v>两次对话中的关键纠错与取舍</x:v>
      </x:c>
      <x:c r="E1" s="4" t="str">
        <x:v>两次对话中的关键纠错与取舍</x:v>
      </x:c>
      <x:c r="F1" s="4" t="str">
        <x:v>两次对话中的关键纠错与取舍</x:v>
      </x:c>
      <x:c r="G1" s="4" t="str">
        <x:v>两次对话中的关键纠错与取舍</x:v>
      </x:c>
      <x:c r="H1" s="4" t="str">
        <x:v>两次对话中的关键纠错与取舍</x:v>
      </x:c>
    </x:row>
    <x:row r="3" ht="28" customHeight="1">
      <x:c r="A3" s="14" t="str">
        <x:v>旧说法/旧数值</x:v>
      </x:c>
      <x:c r="B3" s="14" t="str">
        <x:v>问题</x:v>
      </x:c>
      <x:c r="C3" s="14" t="str">
        <x:v>当前处理</x:v>
      </x:c>
      <x:c r="D3" s="14" t="str">
        <x:v>可否用于正式模型</x:v>
      </x:c>
      <x:c r="E3" s="14" t="str">
        <x:v>替代证据/方法</x:v>
      </x:c>
      <x:c r="F3" s="14" t="str">
        <x:v>影响章节</x:v>
      </x:c>
      <x:c r="G3" s="14" t="str">
        <x:v>优先级</x:v>
      </x:c>
      <x:c r="H3" s="14" t="str">
        <x:v>状态</x:v>
      </x:c>
    </x:row>
    <x:row r="4">
      <x:c r="A4" s="17" t="str">
        <x:v>广东年退役量34,000吨</x:v>
      </x:c>
      <x:c r="B4" s="17" t="str">
        <x:v>来源链未在对话中保留，且可能混用累计/预测口径</x:v>
      </x:c>
      <x:c r="C4" s="17" t="str">
        <x:v>删除为正式基准值；重新用BYD销量车龄队列估算</x:v>
      </x:c>
      <x:c r="D4" s="17" t="str">
        <x:v>否</x:v>
      </x:c>
      <x:c r="E4" s="17" t="str">
        <x:v>BYD历年销量+寿命分布+广东分配权重</x:v>
      </x:c>
      <x:c r="F4" s="17" t="str">
        <x:v>5.2</x:v>
      </x:c>
      <x:c r="G4" s="17" t="str">
        <x:v>P0</x:v>
      </x:c>
      <x:c r="H4" s="34" t="str">
        <x:v>勿用</x:v>
      </x:c>
    </x:row>
    <x:row r="5">
      <x:c r="A5" s="17" t="str">
        <x:v>运输成本0.33元/(吨·km)</x:v>
      </x:c>
      <x:c r="B5" s="17" t="str">
        <x:v>无可审计来源，且与‘≥10元/公里’表述单位冲突</x:v>
      </x:c>
      <x:c r="C5" s="17" t="str">
        <x:v>不采用；必须按吨公里询价或文献统一单位</x:v>
      </x:c>
      <x:c r="D5" s="17" t="str">
        <x:v>否</x:v>
      </x:c>
      <x:c r="E5" s="17" t="str">
        <x:v>三家危运报价/招投标/文献中位数</x:v>
      </x:c>
      <x:c r="F5" s="17" t="str">
        <x:v>5.4</x:v>
      </x:c>
      <x:c r="G5" s="17" t="str">
        <x:v>P0</x:v>
      </x:c>
      <x:c r="H5" s="34" t="str">
        <x:v>勿用</x:v>
      </x:c>
    </x:row>
    <x:row r="6">
      <x:c r="A6" s="17" t="str">
        <x:v>运输成本1.2元/(吨·km)</x:v>
      </x:c>
      <x:c r="B6" s="17" t="str">
        <x:v>Claude为RELOG示例填入的占位值</x:v>
      </x:c>
      <x:c r="C6" s="17" t="str">
        <x:v>仅可用于代码测试，不用于论文结果</x:v>
      </x:c>
      <x:c r="D6" s="17" t="str">
        <x:v>否</x:v>
      </x:c>
      <x:c r="E6" s="17" t="str">
        <x:v>低/中/高报价情景</x:v>
      </x:c>
      <x:c r="F6" s="17" t="str">
        <x:v>5.4</x:v>
      </x:c>
      <x:c r="G6" s="17" t="str">
        <x:v>P0</x:v>
      </x:c>
      <x:c r="H6" s="34" t="str">
        <x:v>勿用</x:v>
      </x:c>
    </x:row>
    <x:row r="7">
      <x:c r="A7" s="17" t="str">
        <x:v>拆解处理成本12,000元/吨</x:v>
      </x:c>
      <x:c r="B7" s="17" t="str">
        <x:v>对话中未给可靠出处，可能把成本与收购价/收入混淆</x:v>
      </x:c>
      <x:c r="C7" s="17" t="str">
        <x:v>拆分处理成本、回购成本、材料收入三项</x:v>
      </x:c>
      <x:c r="D7" s="17" t="str">
        <x:v>否</x:v>
      </x:c>
      <x:c r="E7" s="17" t="str">
        <x:v>环评可研+论文+访谈</x:v>
      </x:c>
      <x:c r="F7" s="17" t="str">
        <x:v>4.4/5.4</x:v>
      </x:c>
      <x:c r="G7" s="17" t="str">
        <x:v>P0</x:v>
      </x:c>
      <x:c r="H7" s="34" t="str">
        <x:v>勿用</x:v>
      </x:c>
    </x:row>
    <x:row r="8">
      <x:c r="A8" s="17" t="str">
        <x:v>回收中心5000/20000/50000吨档</x:v>
      </x:c>
      <x:c r="B8" s="17" t="str">
        <x:v>未经比亚迪或项目资料校准，跨度过大</x:v>
      </x:c>
      <x:c r="C8" s="17" t="str">
        <x:v>重新按需求和公开项目规模设置</x:v>
      </x:c>
      <x:c r="D8" s="17" t="str">
        <x:v>仅情景</x:v>
      </x:c>
      <x:c r="E8" s="17" t="str">
        <x:v>汕尾1万、西安/宝鸡2万等锚点</x:v>
      </x:c>
      <x:c r="F8" s="17" t="str">
        <x:v>5.3</x:v>
      </x:c>
      <x:c r="G8" s="17" t="str">
        <x:v>P0</x:v>
      </x:c>
      <x:c r="H8" s="23" t="str">
        <x:v>需重设</x:v>
      </x:c>
    </x:row>
    <x:row r="9">
      <x:c r="A9" s="17" t="str">
        <x:v>固定建设成本800/2000/4500万元等</x:v>
      </x:c>
      <x:c r="B9" s="17" t="str">
        <x:v>为Python原型占位值</x:v>
      </x:c>
      <x:c r="C9" s="17" t="str">
        <x:v>全部移出正式数据；以年化投资成本替换</x:v>
      </x:c>
      <x:c r="D9" s="17" t="str">
        <x:v>否</x:v>
      </x:c>
      <x:c r="E9" s="17" t="str">
        <x:v>汕尾3904.65、武汉5000、宝鸡11000万元对标</x:v>
      </x:c>
      <x:c r="F9" s="17" t="str">
        <x:v>5.4</x:v>
      </x:c>
      <x:c r="G9" s="17" t="str">
        <x:v>P0</x:v>
      </x:c>
      <x:c r="H9" s="34" t="str">
        <x:v>勿用</x:v>
      </x:c>
    </x:row>
    <x:row r="10">
      <x:c r="A10" s="17" t="str">
        <x:v>白名单企业156家</x:v>
      </x:c>
      <x:c r="B10" s="17" t="str">
        <x:v>旧对话口径不明且动态变化</x:v>
      </x:c>
      <x:c r="C10" s="17" t="str">
        <x:v>引用工信部截至2023年底148家，并在定稿前更新最新公告</x:v>
      </x:c>
      <x:c r="D10" s="17" t="str">
        <x:v>否（原值）</x:v>
      </x:c>
      <x:c r="E10" s="17" t="str">
        <x:v>工信部2024版规范条件解读</x:v>
      </x:c>
      <x:c r="F10" s="17" t="str">
        <x:v>2.3/5.3</x:v>
      </x:c>
      <x:c r="G10" s="17" t="str">
        <x:v>P1</x:v>
      </x:c>
      <x:c r="H10" s="23" t="str">
        <x:v>已纠正</x:v>
      </x:c>
    </x:row>
    <x:row r="11">
      <x:c r="A11" s="17" t="str">
        <x:v>RELOG 0.4必须Julia 1.5</x:v>
      </x:c>
      <x:c r="B11" s="17" t="str">
        <x:v>只适用于旧版文档；当前0.7文档基于Julia1.8，master为0.8.0</x:v>
      </x:c>
      <x:c r="C11" s="17" t="str">
        <x:v>论文只说明版本差异，不再复现</x:v>
      </x:c>
      <x:c r="D11" s="17" t="str">
        <x:v>不适用</x:v>
      </x:c>
      <x:c r="E11" s="17" t="str">
        <x:v>GitHub Project.toml与0.7官方文档</x:v>
      </x:c>
      <x:c r="F11" s="17" t="str">
        <x:v>2.4</x:v>
      </x:c>
      <x:c r="G11" s="17" t="str">
        <x:v>P1</x:v>
      </x:c>
      <x:c r="H11" s="23" t="str">
        <x:v>已纠正</x:v>
      </x:c>
    </x:row>
    <x:row r="12">
      <x:c r="A12" s="17" t="str">
        <x:v>RELOG新版没有solve函数</x:v>
      </x:c>
      <x:c r="B12" s="17" t="str">
        <x:v>与0.7官方文档冲突；报错更可能是环境/API加载问题</x:v>
      </x:c>
      <x:c r="C12" s="17" t="str">
        <x:v>不再据此下结论</x:v>
      </x:c>
      <x:c r="D12" s="17" t="str">
        <x:v>不适用</x:v>
      </x:c>
      <x:c r="E12" s="17" t="str">
        <x:v>0.7 usage明确给出RELOG.solve</x:v>
      </x:c>
      <x:c r="F12" s="17" t="str">
        <x:v>2.4</x:v>
      </x:c>
      <x:c r="G12" s="17" t="str">
        <x:v>P1</x:v>
      </x:c>
      <x:c r="H12" s="23" t="str">
        <x:v>已纠正</x:v>
      </x:c>
    </x:row>
    <x:row r="13">
      <x:c r="A13" s="17" t="str">
        <x:v>基础模型直接加入梯次利用、碳排、多周期</x:v>
      </x:c>
      <x:c r="B13" s="17" t="str">
        <x:v>会使数据需求和识别难度急剧上升</x:v>
      </x:c>
      <x:c r="C13" s="17" t="str">
        <x:v>基础模型只做收集—检测—再生；梯次/碳排作为扩展</x:v>
      </x:c>
      <x:c r="D13" s="17" t="str">
        <x:v>是（新方案）</x:v>
      </x:c>
      <x:c r="E13" s="17" t="str">
        <x:v>分层建模与情景分析</x:v>
      </x:c>
      <x:c r="F13" s="17" t="str">
        <x:v>4/6/7</x:v>
      </x:c>
      <x:c r="G13" s="17" t="str">
        <x:v>P0</x:v>
      </x:c>
      <x:c r="H13" s="23" t="str">
        <x:v>已收束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28" hidden="0" customWidth="1"/>
    <x:col min="4" max="4" width="42" hidden="0" customWidth="1"/>
    <x:col min="5" max="5" width="18" hidden="0" customWidth="1"/>
    <x:col min="6" max="6" width="24" hidden="0" customWidth="1"/>
    <x:col min="7" max="7" width="42" hidden="0" customWidth="1"/>
    <x:col min="8" max="8" width="38" hidden="0" customWidth="1"/>
    <x:col min="9" max="9" width="10" hidden="0" customWidth="1"/>
  </x:cols>
  <x:sheetData>
    <x:row r="1" ht="30" customHeight="1">
      <x:c r="A1" s="56" t="str">
        <x:v>新对话所提数据缺口：合理性、处理结果与剩余边界</x:v>
      </x:c>
      <x:c r="B1" s="56" t="str">
        <x:v>新对话所提数据缺口：合理性、处理结果与剩余边界</x:v>
      </x:c>
      <x:c r="C1" s="56" t="str">
        <x:v>新对话所提数据缺口：合理性、处理结果与剩余边界</x:v>
      </x:c>
      <x:c r="D1" s="56" t="str">
        <x:v>新对话所提数据缺口：合理性、处理结果与剩余边界</x:v>
      </x:c>
      <x:c r="E1" s="56" t="str">
        <x:v>新对话所提数据缺口：合理性、处理结果与剩余边界</x:v>
      </x:c>
      <x:c r="F1" s="56" t="str">
        <x:v>新对话所提数据缺口：合理性、处理结果与剩余边界</x:v>
      </x:c>
      <x:c r="G1" s="56" t="str">
        <x:v>新对话所提数据缺口：合理性、处理结果与剩余边界</x:v>
      </x:c>
      <x:c r="H1" s="56" t="str">
        <x:v>新对话所提数据缺口：合理性、处理结果与剩余边界</x:v>
      </x:c>
      <x:c r="I1" s="56" t="str">
        <x:v>新对话所提数据缺口：合理性、处理结果与剩余边界</x:v>
      </x:c>
    </x:row>
    <x:row r="2" ht="44" customHeight="1">
      <x:c r="A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B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C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D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E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F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G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H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  <x:c r="I2" s="60" t="str">
        <x:v>结论：优先级总体合理，但‘广东可能有100—300个比亚迪官方回收点’和‘货车路线很容易批量取得’均被高估。V2.1只补入可核验事实或明确标注的代理，不制造企业实绩。</x:v>
      </x:c>
    </x:row>
    <x:row r="4" ht="15" hidden="0" customHeight="1">
      <x:c r="A4" s="48" t="str">
        <x:v>缺口</x:v>
      </x:c>
      <x:c r="B4" s="48" t="str">
        <x:v>ChatGPT建议</x:v>
      </x:c>
      <x:c r="C4" s="48" t="str">
        <x:v>判断</x:v>
      </x:c>
      <x:c r="D4" s="48" t="str">
        <x:v>V2.1处理</x:v>
      </x:c>
      <x:c r="E4" s="48" t="str">
        <x:v>数据等级</x:v>
      </x:c>
      <x:c r="F4" s="48" t="str">
        <x:v>是否可直接入模</x:v>
      </x:c>
      <x:c r="G4" s="48" t="str">
        <x:v>论文口径</x:v>
      </x:c>
      <x:c r="H4" s="48" t="str">
        <x:v>仍需什么</x:v>
      </x:c>
      <x:c r="I4" s="48" t="str">
        <x:v>优先级</x:v>
      </x:c>
    </x:row>
    <x:row r="5" ht="24" hidden="0" customHeight="1">
      <x:c r="A5" s="51" t="str">
        <x:v>比亚迪广东真实回收点</x:v>
      </x:c>
      <x:c r="B5" s="51" t="str">
        <x:v>优先抓官网完整点位，预计100—300个</x:v>
      </x:c>
      <x:c r="C5" s="51" t="str">
        <x:v>方向合理、规模判断不合理</x:v>
      </x:c>
      <x:c r="D5" s="51" t="str">
        <x:v>官网当前接口全国13个、广东3个；逐点录入名称、地址、电话、坐标</x:v>
      </x:c>
      <x:c r="E5" s="51" t="str">
        <x:v>A地址；A/B/C坐标</x:v>
      </x:c>
      <x:c r="F5" s="51" t="str">
        <x:v>可作真实锚点；不可代表完整网络</x:v>
      </x:c>
      <x:c r="G5" s="51" t="str">
        <x:v>3个是官网公开企业回收点，不等于售后网点或全部合作点</x:v>
      </x:c>
      <x:c r="H5" s="51" t="str">
        <x:v>比亚迪内部完整回收网络及各点容量</x:v>
      </x:c>
      <x:c r="I5" s="51" t="str">
        <x:v>P0</x:v>
      </x:c>
    </x:row>
    <x:row r="6" ht="24" hidden="0" customHeight="1">
      <x:c r="A6" s="51" t="str">
        <x:v>实际道路/货车距离</x:v>
      </x:c>
      <x:c r="B6" s="51" t="str">
        <x:v>调用高德货车API重算945条弧</x:v>
      </x:c>
      <x:c r="C6" s="51" t="str">
        <x:v>重要，但‘很容易’被高估</x:v>
      </x:c>
      <x:c r="D6" s="51" t="str">
        <x:v>已用OSRM driving/car开放路网重算945条弧并保留原代理</x:v>
      </x:c>
      <x:c r="E6" s="51" t="str">
        <x:v>C-可复现计算</x:v>
      </x:c>
      <x:c r="F6" s="51" t="str">
        <x:v>可作为道路网络情景；不可称危运路线</x:v>
      </x:c>
      <x:c r="G6" s="51" t="str">
        <x:v>明确不含货车限行、危运许可、收费和实时路况</x:v>
      </x:c>
      <x:c r="H6" s="51" t="str">
        <x:v>若要危运合规路线，需高德开发者Key、车辆参数和危运规则</x:v>
      </x:c>
      <x:c r="I6" s="51" t="str">
        <x:v>P0</x:v>
      </x:c>
    </x:row>
    <x:row r="7" ht="24" hidden="0" customHeight="1">
      <x:c r="A7" s="51" t="str">
        <x:v>300吨最低处理量依据</x:v>
      </x:c>
      <x:c r="B7" s="51" t="str">
        <x:v>寻找企业真实最低处理量，否则做敏感性</x:v>
      </x:c>
      <x:c r="C7" s="51" t="str">
        <x:v>合理</x:v>
      </x:c>
      <x:c r="D7" s="51" t="str">
        <x:v>把300吨明确为3000吨名义容量的10%情景，并列0/100/300/500吨</x:v>
      </x:c>
      <x:c r="E7" s="51" t="str">
        <x:v>D-情景</x:v>
      </x:c>
      <x:c r="F7" s="51" t="str">
        <x:v>可入模但必须敏感性</x:v>
      </x:c>
      <x:c r="G7" s="51" t="str">
        <x:v>规范产能门槛不等于最小开工量</x:v>
      </x:c>
      <x:c r="H7" s="51" t="str">
        <x:v>企业合同量、设备经济负荷或真实运营记录</x:v>
      </x:c>
      <x:c r="I7" s="51" t="str">
        <x:v>P0</x:v>
      </x:c>
    </x:row>
    <x:row r="8" ht="15" hidden="0" customHeight="1">
      <x:c r="A8" s="51" t="str">
        <x:v>20%/40%/60%渠道捕获率</x:v>
      </x:c>
      <x:c r="B8" s="51" t="str">
        <x:v>尝试找比亚迪真实回收率</x:v>
      </x:c>
      <x:c r="C8" s="51" t="str">
        <x:v>合理但公开不可得</x:v>
      </x:c>
      <x:c r="D8" s="51" t="str">
        <x:v>继续保留低/基准/高情景，不升级为企业实绩</x:v>
      </x:c>
      <x:c r="E8" s="51" t="str">
        <x:v>D-情景</x:v>
      </x:c>
      <x:c r="F8" s="51" t="str">
        <x:v>可入模并敏感性</x:v>
      </x:c>
      <x:c r="G8" s="51" t="str">
        <x:v>称‘模型控制份额/回流捕获率’，不要称比亚迪真实率</x:v>
      </x:c>
      <x:c r="H8" s="51" t="str">
        <x:v>企业内部回收台账与销量—回收匹配</x:v>
      </x:c>
      <x:c r="I8" s="51" t="str">
        <x:v>P0</x:v>
      </x:c>
    </x:row>
    <x:row r="9" ht="15" hidden="0" customHeight="1">
      <x:c r="A9" s="51" t="str">
        <x:v>21市比亚迪上牌/保有量</x:v>
      </x:c>
      <x:c r="B9" s="51" t="str">
        <x:v>用商业数据库或城市品牌数据</x:v>
      </x:c>
      <x:c r="C9" s="51" t="str">
        <x:v>合理但免费公开数据不足</x:v>
      </x:c>
      <x:c r="D9" s="51" t="str">
        <x:v>继续用NEV空间代理，保持C级并披露分配方法</x:v>
      </x:c>
      <x:c r="E9" s="51" t="str">
        <x:v>C-代理</x:v>
      </x:c>
      <x:c r="F9" s="51" t="str">
        <x:v>可入模并做替代权重稳健性</x:v>
      </x:c>
      <x:c r="G9" s="51" t="str">
        <x:v>不是BYD城市真实上牌量</x:v>
      </x:c>
      <x:c r="H9" s="51" t="str">
        <x:v>上险量、交强险或乘联会城市品牌数据库</x:v>
      </x:c>
      <x:c r="I9" s="51" t="str">
        <x:v>P1</x:v>
      </x:c>
    </x:row>
    <x:row r="10" ht="24" hidden="0" customHeight="1">
      <x:c r="A10" s="51" t="str">
        <x:v>P01开工率/利用率</x:v>
      </x:c>
      <x:c r="B10" s="51" t="str">
        <x:v>补充是否投产及实际产量</x:v>
      </x:c>
      <x:c r="C10" s="51" t="str">
        <x:v>合理</x:v>
      </x:c>
      <x:c r="D10" s="51" t="str">
        <x:v>补入现有项目与排污许可证据；仍不推定实际吞吐量</x:v>
      </x:c>
      <x:c r="E10" s="51" t="str">
        <x:v>A状态；实际量缺失</x:v>
      </x:c>
      <x:c r="F10" s="51" t="str">
        <x:v>P01可设既有必须开启；容量利用率仍是情景</x:v>
      </x:c>
      <x:c r="G10" s="51" t="str">
        <x:v>许可与投产证据不等于实际产量</x:v>
      </x:c>
      <x:c r="H10" s="51" t="str">
        <x:v>年度危废/排污台账、企业访谈、处理合同</x:v>
      </x:c>
      <x:c r="I10" s="51" t="str">
        <x:v>P0</x:v>
      </x:c>
    </x:row>
    <x:row r="11" ht="24" hidden="0" customHeight="1">
      <x:c r="A11" s="51" t="str">
        <x:v>候选企业最新政策状态</x:v>
      </x:c>
      <x:c r="B11" s="51" t="str">
        <x:v>更新白名单</x:v>
      </x:c>
      <x:c r="C11" s="51" t="str">
        <x:v>非常合理且必须处理</x:v>
      </x:c>
      <x:c r="D11" s="51" t="str">
        <x:v>拆分2025历史候选集与2026现行情景；梯次名单已取消公告管理</x:v>
      </x:c>
      <x:c r="E11" s="51" t="str">
        <x:v>A/B-政策</x:v>
      </x:c>
      <x:c r="F11" s="51" t="str">
        <x:v>历史模型可复现；现行情景须改术语与筛选逻辑</x:v>
      </x:c>
      <x:c r="G11" s="51" t="str">
        <x:v>不再称‘当前梯次白名单企业’</x:v>
      </x:c>
      <x:c r="H11" s="51" t="str">
        <x:v>逐家企业当前经营/许可状态</x:v>
      </x:c>
      <x:c r="I11" s="51" t="str">
        <x:v>P0</x:v>
      </x:c>
    </x:row>
    <x:row r="12" ht="15" hidden="0" customHeight="1">
      <x:c r="A12" s="51" t="str">
        <x:v>运输与处理成本报价</x:v>
      </x:c>
      <x:c r="B12" s="51" t="str">
        <x:v>网上询价或电话报价</x:v>
      </x:c>
      <x:c r="C12" s="51" t="str">
        <x:v>合理，不能编造</x:v>
      </x:c>
      <x:c r="D12" s="51" t="str">
        <x:v>本轮不虚构报价；原C/D级区间继续敏感性</x:v>
      </x:c>
      <x:c r="E12" s="51" t="str">
        <x:v>C/D</x:v>
      </x:c>
      <x:c r="F12" s="51" t="str">
        <x:v>可做情景，不可称BYD合同价</x:v>
      </x:c>
      <x:c r="G12" s="51" t="str">
        <x:v>列明吨公里、整车、装卸、危运附加费口径</x:v>
      </x:c>
      <x:c r="H12" s="51" t="str">
        <x:v>至少3家书面报价或招投标合同</x:v>
      </x:c>
      <x:c r="I12" s="51" t="str">
        <x:v>P1</x:v>
      </x:c>
    </x:row>
    <x:row r="13" ht="24" hidden="0" customHeight="1">
      <x:c r="A13" s="51" t="str">
        <x:v>SOH与真实退役分布</x:v>
      </x:c>
      <x:c r="B13" s="51" t="str">
        <x:v>补充SOH分布</x:v>
      </x:c>
      <x:c r="C13" s="51" t="str">
        <x:v>作为扩展项合理，非当前基础模型必需</x:v>
      </x:c>
      <x:c r="D13" s="51" t="str">
        <x:v>不强行补值，保留未来研究</x:v>
      </x:c>
      <x:c r="E13" s="51" t="str">
        <x:v>未获得</x:v>
      </x:c>
      <x:c r="F13" s="51" t="str">
        <x:v>不进入基础模型</x:v>
      </x:c>
      <x:c r="G13" s="51" t="str">
        <x:v>当前模型按比例分流，不声称逐包检测</x:v>
      </x:c>
      <x:c r="H13" s="51" t="str">
        <x:v>BMS/SOH检测记录与化学体系分布</x:v>
      </x:c>
      <x:c r="I13" s="51" t="str">
        <x:v>P2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4" hidden="0" customWidth="1"/>
    <x:col min="5" max="5" width="22" hidden="0" customWidth="1"/>
    <x:col min="6" max="6" width="54" hidden="0" customWidth="1"/>
    <x:col min="7" max="7" width="28" hidden="0" customWidth="1"/>
    <x:col min="8" max="8" width="24" hidden="0" customWidth="1"/>
    <x:col min="9" max="9" width="14" hidden="0" customWidth="1"/>
    <x:col min="10" max="10" width="14" hidden="0" customWidth="1"/>
    <x:col min="11" max="11" width="18" hidden="0" customWidth="1"/>
    <x:col min="12" max="12" width="22" hidden="0" customWidth="1"/>
    <x:col min="13" max="13" width="52" hidden="0" customWidth="1"/>
    <x:col min="14" max="14" width="18" hidden="0" customWidth="1"/>
    <x:col min="15" max="15" width="32" hidden="0" customWidth="1"/>
    <x:col min="16" max="16" width="42" hidden="0" customWidth="1"/>
  </x:cols>
  <x:sheetData>
    <x:row r="1" ht="30" customHeight="1">
      <x:c r="A1" s="56" t="str">
        <x:v>比亚迪官网公开动力电池回收点：广东省核验结果</x:v>
      </x:c>
      <x:c r="B1" s="56" t="str">
        <x:v>比亚迪官网公开动力电池回收点：广东省核验结果</x:v>
      </x:c>
      <x:c r="C1" s="56" t="str">
        <x:v>比亚迪官网公开动力电池回收点：广东省核验结果</x:v>
      </x:c>
      <x:c r="D1" s="56" t="str">
        <x:v>比亚迪官网公开动力电池回收点：广东省核验结果</x:v>
      </x:c>
      <x:c r="E1" s="56" t="str">
        <x:v>比亚迪官网公开动力电池回收点：广东省核验结果</x:v>
      </x:c>
      <x:c r="F1" s="56" t="str">
        <x:v>比亚迪官网公开动力电池回收点：广东省核验结果</x:v>
      </x:c>
      <x:c r="G1" s="56" t="str">
        <x:v>比亚迪官网公开动力电池回收点：广东省核验结果</x:v>
      </x:c>
      <x:c r="H1" s="56" t="str">
        <x:v>比亚迪官网公开动力电池回收点：广东省核验结果</x:v>
      </x:c>
      <x:c r="I1" s="56" t="str">
        <x:v>比亚迪官网公开动力电池回收点：广东省核验结果</x:v>
      </x:c>
      <x:c r="J1" s="56" t="str">
        <x:v>比亚迪官网公开动力电池回收点：广东省核验结果</x:v>
      </x:c>
      <x:c r="K1" s="56" t="str">
        <x:v>比亚迪官网公开动力电池回收点：广东省核验结果</x:v>
      </x:c>
      <x:c r="L1" s="56" t="str">
        <x:v>比亚迪官网公开动力电池回收点：广东省核验结果</x:v>
      </x:c>
      <x:c r="M1" s="56" t="str">
        <x:v>比亚迪官网公开动力电池回收点：广东省核验结果</x:v>
      </x:c>
      <x:c r="N1" s="56" t="str">
        <x:v>比亚迪官网公开动力电池回收点：广东省核验结果</x:v>
      </x:c>
      <x:c r="O1" s="56" t="str">
        <x:v>比亚迪官网公开动力电池回收点：广东省核验结果</x:v>
      </x:c>
      <x:c r="P1" s="56" t="str">
        <x:v>比亚迪官网公开动力电池回收点：广东省核验结果</x:v>
      </x:c>
    </x:row>
    <x:row r="2" ht="44" customHeight="1">
      <x:c r="A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B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C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D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E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F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G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H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I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J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K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L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M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N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O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  <x:c r="P2" s="64" t="str">
        <x:v>查询日2026-08-15：官网接口共返回全国13个企业回收点，其中广东3个。该页面未披露各点设计容量、实际回收量或服务半径，因此只能作为真实锚点，不能替代21市汇总需求/候选中心。</x:v>
      </x:c>
    </x:row>
    <x:row r="3" ht="30" customHeight="1">
      <x:c r="A3" s="48" t="str">
        <x:v>指标</x:v>
      </x:c>
      <x:c r="B3" s="48" t="str">
        <x:v>数值</x:v>
      </x:c>
    </x:row>
    <x:row r="4">
      <x:c r="A4" s="51" t="str">
        <x:v>全国官网公开点数</x:v>
      </x:c>
      <x:c r="B4" s="65" t="n">
        <x:v>13</x:v>
      </x:c>
    </x:row>
    <x:row r="5">
      <x:c r="A5" s="51" t="str">
        <x:v>广东官网公开点数</x:v>
      </x:c>
      <x:c r="B5" s="65" t="n">
        <x:v>3</x:v>
      </x:c>
    </x:row>
    <x:row r="7" ht="15" hidden="0" customHeight="1">
      <x:c r="A7" s="48" t="str">
        <x:v>point_id</x:v>
      </x:c>
      <x:c r="B7" s="48" t="str">
        <x:v>城市</x:v>
      </x:c>
      <x:c r="C7" s="48" t="str">
        <x:v>区县/园区</x:v>
      </x:c>
      <x:c r="D7" s="48" t="str">
        <x:v>官网主体名称</x:v>
      </x:c>
      <x:c r="E7" s="48" t="str">
        <x:v>统一社会信用代码</x:v>
      </x:c>
      <x:c r="F7" s="48" t="str">
        <x:v>官网地址</x:v>
      </x:c>
      <x:c r="G7" s="48" t="str">
        <x:v>电话</x:v>
      </x:c>
      <x:c r="H7" s="48" t="str">
        <x:v>营业时间</x:v>
      </x:c>
      <x:c r="I7" s="48" t="str">
        <x:v>经度</x:v>
      </x:c>
      <x:c r="J7" s="48" t="str">
        <x:v>纬度</x:v>
      </x:c>
      <x:c r="K7" s="48" t="str">
        <x:v>地址等级</x:v>
      </x:c>
      <x:c r="L7" s="48" t="str">
        <x:v>坐标等级</x:v>
      </x:c>
      <x:c r="M7" s="48" t="str">
        <x:v>坐标来源</x:v>
      </x:c>
      <x:c r="N7" s="48" t="str">
        <x:v>官网记录ID</x:v>
      </x:c>
      <x:c r="O7" s="48" t="str">
        <x:v>模型用途</x:v>
      </x:c>
      <x:c r="P7" s="48" t="str">
        <x:v>限制</x:v>
      </x:c>
    </x:row>
    <x:row r="8" ht="15" hidden="0" customHeight="1">
      <x:c r="A8" s="51" t="str">
        <x:v>BR01</x:v>
      </x:c>
      <x:c r="B8" s="51" t="str">
        <x:v>深圳</x:v>
      </x:c>
      <x:c r="C8" s="51" t="str">
        <x:v>龙岗区</x:v>
      </x:c>
      <x:c r="D8" s="51" t="str">
        <x:v>深圳市比亚迪锂电池有限公司</x:v>
      </x:c>
      <x:c r="E8" s="51" t="str">
        <x:v>91440300708416327M</x:v>
      </x:c>
      <x:c r="F8" s="51" t="str">
        <x:v>深圳市龙岗区龙岗街道宝龙工业城宝荷路3001号</x:v>
      </x:c>
      <x:c r="G8" s="51" t="str">
        <x:v>+86-755-89888888-53618</x:v>
      </x:c>
      <x:c r="H8" s="51" t="str">
        <x:v>8:30-17:30（周一至周五）</x:v>
      </x:c>
      <x:c r="I8" s="66" t="n">
        <x:v>114.273583</x:v>
      </x:c>
      <x:c r="J8" s="66" t="n">
        <x:v>22.686772</x:v>
      </x:c>
      <x:c r="K8" s="51" t="str">
        <x:v>A-比亚迪官网</x:v>
      </x:c>
      <x:c r="L8" s="51" t="str">
        <x:v>B-公开地图点</x:v>
      </x:c>
      <x:c r="M8" s="51" t="str">
        <x:v>https://www.amap.com/place/B02F38JOBL</x:v>
      </x:c>
      <x:c r="N8" s="65" t="str">
        <x:v>1502367473179</x:v>
      </x:c>
      <x:c r="O8" s="51" t="str">
        <x:v>深圳真实前端锚点/可选收集节点</x:v>
      </x:c>
      <x:c r="P8" s="51" t="str">
        <x:v>官网未披露容量和服务范围</x:v>
      </x:c>
    </x:row>
    <x:row r="9" ht="15" hidden="0" customHeight="1">
      <x:c r="A9" s="51" t="str">
        <x:v>BR02</x:v>
      </x:c>
      <x:c r="B9" s="51" t="str">
        <x:v>广州</x:v>
      </x:c>
      <x:c r="C9" s="51" t="str">
        <x:v>从化经济开发区</x:v>
      </x:c>
      <x:c r="D9" s="51" t="str">
        <x:v>广州广汽比亚迪新能源客车有限公司</x:v>
      </x:c>
      <x:c r="E9" s="51" t="str">
        <x:v>914401013047727048</x:v>
      </x:c>
      <x:c r="F9" s="51" t="str">
        <x:v>广州市从化经济开发区明珠工业园明珠大道北6号</x:v>
      </x:c>
      <x:c r="G9" s="51" t="str">
        <x:v>+86-755-89888888-53618</x:v>
      </x:c>
      <x:c r="H9" s="51" t="str">
        <x:v>8:30-17:30（周一至周五）</x:v>
      </x:c>
      <x:c r="I9" s="66" t="n">
        <x:v>113.520169</x:v>
      </x:c>
      <x:c r="J9" s="66" t="n">
        <x:v>23.612917</x:v>
      </x:c>
      <x:c r="K9" s="51" t="str">
        <x:v>A-比亚迪官网</x:v>
      </x:c>
      <x:c r="L9" s="51" t="str">
        <x:v>A/B-政府环评中心点</x:v>
      </x:c>
      <x:c r="M9" s="51" t="str">
        <x:v>https://sthjj.gz.gov.cn/attachment/7/7895/7895332/10165629.pdf</x:v>
      </x:c>
      <x:c r="N9" s="65" t="str">
        <x:v>1617162711624</x:v>
      </x:c>
      <x:c r="O9" s="51" t="str">
        <x:v>广州真实前端锚点/可选收集节点</x:v>
      </x:c>
      <x:c r="P9" s="51" t="str">
        <x:v>坐标为项目中心点，非厂界测绘；官网未披露容量</x:v>
      </x:c>
    </x:row>
    <x:row r="10" ht="15" hidden="0" customHeight="1">
      <x:c r="A10" s="51" t="str">
        <x:v>BR03</x:v>
      </x:c>
      <x:c r="B10" s="51" t="str">
        <x:v>汕头</x:v>
      </x:c>
      <x:c r="C10" s="51" t="str">
        <x:v>濠江区</x:v>
      </x:c>
      <x:c r="D10" s="51" t="str">
        <x:v>汕头比亚迪实业有限公司</x:v>
      </x:c>
      <x:c r="E10" s="51" t="str">
        <x:v>91440512MA4W05D26U</x:v>
      </x:c>
      <x:c r="F10" s="51" t="str">
        <x:v>汕头市濠江区致业路1号</x:v>
      </x:c>
      <x:c r="G10" s="51" t="str">
        <x:v>+86-755-89888888-53618</x:v>
      </x:c>
      <x:c r="H10" s="51" t="str">
        <x:v>8:30-17:30（周一至周五）</x:v>
      </x:c>
      <x:c r="I10" s="66" t="n">
        <x:v>116.711</x:v>
      </x:c>
      <x:c r="J10" s="66" t="n">
        <x:v>23.261</x:v>
      </x:c>
      <x:c r="K10" s="51" t="str">
        <x:v>A-比亚迪官网</x:v>
      </x:c>
      <x:c r="L10" s="51" t="str">
        <x:v>C-公开地理数据</x:v>
      </x:c>
      <x:c r="M10" s="51" t="str">
        <x:v>https://www.cndatatrading.com/data/m/meteorological/NEA-rtb.html</x:v>
      </x:c>
      <x:c r="N10" s="65" t="str">
        <x:v>1502367471002</x:v>
      </x:c>
      <x:c r="O10" s="51" t="str">
        <x:v>汕头真实前端锚点/可选收集节点</x:v>
      </x:c>
      <x:c r="P10" s="51" t="str">
        <x:v>坐标精度较低，正式危运路由前应人工复核</x:v>
      </x:c>
    </x:row>
    <x:row r="12">
      <x:c r="A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B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C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D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E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F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G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H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I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J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K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L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M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N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O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  <x:c r="P12" s="69" t="str">
        <x:v>数据抽取接口（可复核）：https://www.bydglobal.com/sites/REST/resources/v1/search/sites/BYD_CN/types/BydBatteryRecycle/assets?fields=name,id,recycleComAddr,recycleComCode,recycleComRegion,recycleComTel,recycleComTime,recycleComname,recycleImg,recycleOrder&amp;field:subtype:equals=BydBatteryRecycleInfo&amp;orderBy=recycleOrder:desc&amp;offset=0&amp;limit=5000</x:v>
      </x:c>
    </x:row>
  </x:sheetData>
  <x:mergeCells>
    <x:mergeCell ref="A1:P1"/>
    <x:mergeCell ref="A2:P2"/>
    <x:mergeCell ref="A12:P1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8" hidden="0" customWidth="1"/>
    <x:col min="5" max="5" width="15" hidden="0" customWidth="1"/>
    <x:col min="6" max="6" width="18" hidden="0" customWidth="1"/>
    <x:col min="7" max="7" width="38" hidden="0" customWidth="1"/>
    <x:col min="8" max="8" width="14" hidden="0" customWidth="1"/>
    <x:col min="9" max="9" width="14" hidden="0" customWidth="1"/>
    <x:col min="10" max="10" width="20" hidden="0" customWidth="1"/>
    <x:col min="11" max="11" width="18" hidden="0" customWidth="1"/>
    <x:col min="12" max="12" width="18" hidden="0" customWidth="1"/>
    <x:col min="13" max="13" width="15" hidden="0" customWidth="1"/>
    <x:col min="14" max="14" width="15" hidden="0" customWidth="1"/>
    <x:col min="15" max="15" width="16" hidden="0" customWidth="1"/>
    <x:col min="16" max="16" width="18" hidden="0" customWidth="1"/>
    <x:col min="17" max="17" width="14" hidden="0" customWidth="1"/>
    <x:col min="18" max="18" width="38" hidden="0" customWidth="1"/>
    <x:col min="19" max="19" width="42" hidden="0" customWidth="1"/>
  </x:cols>
  <x:sheetData>
    <x:row r="1" ht="30" customHeight="1">
      <x:c r="A1" s="56" t="str">
        <x:v>945条两层运输弧：OSRM开放道路网络距离与时长</x:v>
      </x:c>
      <x:c r="B1" s="56" t="str">
        <x:v>945条两层运输弧：OSRM开放道路网络距离与时长</x:v>
      </x:c>
      <x:c r="C1" s="56" t="str">
        <x:v>945条两层运输弧：OSRM开放道路网络距离与时长</x:v>
      </x:c>
      <x:c r="D1" s="56" t="str">
        <x:v>945条两层运输弧：OSRM开放道路网络距离与时长</x:v>
      </x:c>
      <x:c r="E1" s="56" t="str">
        <x:v>945条两层运输弧：OSRM开放道路网络距离与时长</x:v>
      </x:c>
      <x:c r="F1" s="56" t="str">
        <x:v>945条两层运输弧：OSRM开放道路网络距离与时长</x:v>
      </x:c>
      <x:c r="G1" s="56" t="str">
        <x:v>945条两层运输弧：OSRM开放道路网络距离与时长</x:v>
      </x:c>
      <x:c r="H1" s="56" t="str">
        <x:v>945条两层运输弧：OSRM开放道路网络距离与时长</x:v>
      </x:c>
      <x:c r="I1" s="56" t="str">
        <x:v>945条两层运输弧：OSRM开放道路网络距离与时长</x:v>
      </x:c>
      <x:c r="J1" s="56" t="str">
        <x:v>945条两层运输弧：OSRM开放道路网络距离与时长</x:v>
      </x:c>
      <x:c r="K1" s="56" t="str">
        <x:v>945条两层运输弧：OSRM开放道路网络距离与时长</x:v>
      </x:c>
      <x:c r="L1" s="56" t="str">
        <x:v>945条两层运输弧：OSRM开放道路网络距离与时长</x:v>
      </x:c>
      <x:c r="M1" s="56" t="str">
        <x:v>945条两层运输弧：OSRM开放道路网络距离与时长</x:v>
      </x:c>
      <x:c r="N1" s="56" t="str">
        <x:v>945条两层运输弧：OSRM开放道路网络距离与时长</x:v>
      </x:c>
      <x:c r="O1" s="56" t="str">
        <x:v>945条两层运输弧：OSRM开放道路网络距离与时长</x:v>
      </x:c>
      <x:c r="P1" s="56" t="str">
        <x:v>945条两层运输弧：OSRM开放道路网络距离与时长</x:v>
      </x:c>
      <x:c r="Q1" s="56" t="str">
        <x:v>945条两层运输弧：OSRM开放道路网络距离与时长</x:v>
      </x:c>
      <x:c r="R1" s="56" t="str">
        <x:v>945条两层运输弧：OSRM开放道路网络距离与时长</x:v>
      </x:c>
      <x:c r="S1" s="56" t="str">
        <x:v>945条两层运输弧：OSRM开放道路网络距离与时长</x:v>
      </x:c>
    </x:row>
    <x:row r="2" ht="44" customHeight="1">
      <x:c r="A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B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C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D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E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F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G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H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I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J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K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L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M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N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O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P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Q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R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  <x:c r="S2" s="60" t="str">
        <x:v>用途：将osrm_km替换原network_arcs_input中的road_proxy_km后重跑模型。限制：profile为driving/car；不含货车限行、危运线路、车型轴重、收费和实时路况，论文中不得称为‘真实危运货车路线’。</x:v>
      </x:c>
    </x:row>
    <x:row r="4" ht="30" customHeight="1">
      <x:c r="A4" s="48" t="str">
        <x:v>arc_id</x:v>
      </x:c>
      <x:c r="B4" s="48" t="str">
        <x:v>origin_id</x:v>
      </x:c>
      <x:c r="C4" s="48" t="str">
        <x:v>origin_type</x:v>
      </x:c>
      <x:c r="D4" s="48" t="str">
        <x:v>origin_name</x:v>
      </x:c>
      <x:c r="E4" s="48" t="str">
        <x:v>destination_id</x:v>
      </x:c>
      <x:c r="F4" s="48" t="str">
        <x:v>destination_type</x:v>
      </x:c>
      <x:c r="G4" s="48" t="str">
        <x:v>destination_name</x:v>
      </x:c>
      <x:c r="H4" s="48" t="str">
        <x:v>proxy_km</x:v>
      </x:c>
      <x:c r="I4" s="48" t="str">
        <x:v>osrm_km</x:v>
      </x:c>
      <x:c r="J4" s="48" t="str">
        <x:v>osrm_duration_min</x:v>
      </x:c>
      <x:c r="K4" s="48" t="str">
        <x:v>ratio_osrm_proxy</x:v>
      </x:c>
      <x:c r="L4" s="48" t="str">
        <x:v>max_distance_km</x:v>
      </x:c>
      <x:c r="M4" s="48" t="str">
        <x:v>allowed_proxy</x:v>
      </x:c>
      <x:c r="N4" s="48" t="str">
        <x:v>allowed_osrm</x:v>
      </x:c>
      <x:c r="O4" s="48" t="str">
        <x:v>allowed_changed</x:v>
      </x:c>
      <x:c r="P4" s="48" t="str">
        <x:v>route_profile</x:v>
      </x:c>
      <x:c r="Q4" s="48" t="str">
        <x:v>query_date</x:v>
      </x:c>
      <x:c r="R4" s="48" t="str">
        <x:v>quality_flag</x:v>
      </x:c>
      <x:c r="S4" s="48" t="str">
        <x:v>source_url</x:v>
      </x:c>
    </x:row>
    <x:row r="5">
      <x:c r="A5" s="51" t="str">
        <x:v>A0001</x:v>
      </x:c>
      <x:c r="B5" s="51" t="str">
        <x:v>GD01</x:v>
      </x:c>
      <x:c r="C5" s="51" t="str">
        <x:v>source</x:v>
      </x:c>
      <x:c r="D5" s="51" t="str">
        <x:v>广州</x:v>
      </x:c>
      <x:c r="E5" s="51" t="str">
        <x:v>C01</x:v>
      </x:c>
      <x:c r="F5" s="51" t="str">
        <x:v>collection</x:v>
      </x:c>
      <x:c r="G5" s="51" t="str">
        <x:v>广州虚拟回收/检测中心</x:v>
      </x:c>
      <x:c r="H5" s="52" t="n">
        <x:v>0</x:v>
      </x:c>
      <x:c r="I5" s="52" t="n">
        <x:v>0</x:v>
      </x:c>
      <x:c r="J5" s="52" t="n">
        <x:v>0</x:v>
      </x:c>
      <x:c r="K5" s="52" t="str">
        <x:f>IFERROR(I5/H5,"")</x:f>
      </x:c>
      <x:c r="L5" s="52" t="n">
        <x:v>150</x:v>
      </x:c>
      <x:c r="M5" s="65" t="n">
        <x:f>IF(H5&lt;=L5,1,0)</x:f>
        <x:v>1</x:v>
      </x:c>
      <x:c r="N5" s="65" t="n">
        <x:f>IF(I5&lt;=L5,1,0)</x:f>
        <x:v>1</x:v>
      </x:c>
      <x:c r="O5" s="51" t="str">
        <x:f>IF(M5=N5,"不变",IF(N5=1,"由禁变允","由允变禁"))</x:f>
        <x:v>不变</x:v>
      </x:c>
      <x:c r="P5" s="51" t="str">
        <x:v>OSRM driving/car</x:v>
      </x:c>
      <x:c r="Q5" s="51" t="str">
        <x:v>2026-08-15</x:v>
      </x:c>
      <x:c r="R5" s="51" t="str">
        <x:v>C-开放路网计算；不是货车/危运合规路线</x:v>
      </x:c>
      <x:c r="S5" s="51" t="str">
        <x:v>https://routing.openstreetmap.de/routed-car/</x:v>
      </x:c>
    </x:row>
    <x:row r="6">
      <x:c r="A6" s="51" t="str">
        <x:v>A0002</x:v>
      </x:c>
      <x:c r="B6" s="51" t="str">
        <x:v>GD01</x:v>
      </x:c>
      <x:c r="C6" s="51" t="str">
        <x:v>source</x:v>
      </x:c>
      <x:c r="D6" s="51" t="str">
        <x:v>广州</x:v>
      </x:c>
      <x:c r="E6" s="51" t="str">
        <x:v>C02</x:v>
      </x:c>
      <x:c r="F6" s="51" t="str">
        <x:v>collection</x:v>
      </x:c>
      <x:c r="G6" s="51" t="str">
        <x:v>深圳虚拟回收/检测中心</x:v>
      </x:c>
      <x:c r="H6" s="52" t="n">
        <x:v>125.09932920710673</x:v>
      </x:c>
      <x:c r="I6" s="52" t="n">
        <x:v>141.4812</x:v>
      </x:c>
      <x:c r="J6" s="52" t="n">
        <x:v>94.66833333333334</x:v>
      </x:c>
      <x:c r="K6" s="52" t="n">
        <x:f>IFERROR(I6/H6,"")</x:f>
        <x:v>1.1309509083439804</x:v>
      </x:c>
      <x:c r="L6" s="52" t="n">
        <x:v>150</x:v>
      </x:c>
      <x:c r="M6" s="65" t="n">
        <x:f>IF(H6&lt;=L6,1,0)</x:f>
        <x:v>1</x:v>
      </x:c>
      <x:c r="N6" s="65" t="n">
        <x:f>IF(I6&lt;=L6,1,0)</x:f>
        <x:v>1</x:v>
      </x:c>
      <x:c r="O6" s="51" t="str">
        <x:f>IF(M6=N6,"不变",IF(N6=1,"由禁变允","由允变禁"))</x:f>
        <x:v>不变</x:v>
      </x:c>
      <x:c r="P6" s="51" t="str">
        <x:v>OSRM driving/car</x:v>
      </x:c>
      <x:c r="Q6" s="51" t="str">
        <x:v>2026-08-15</x:v>
      </x:c>
      <x:c r="R6" s="51" t="str">
        <x:v>C-开放路网计算；不是货车/危运合规路线</x:v>
      </x:c>
      <x:c r="S6" s="51" t="str">
        <x:v>https://routing.openstreetmap.de/routed-car/</x:v>
      </x:c>
    </x:row>
    <x:row r="7">
      <x:c r="A7" s="51" t="str">
        <x:v>A0003</x:v>
      </x:c>
      <x:c r="B7" s="51" t="str">
        <x:v>GD01</x:v>
      </x:c>
      <x:c r="C7" s="51" t="str">
        <x:v>source</x:v>
      </x:c>
      <x:c r="D7" s="51" t="str">
        <x:v>广州</x:v>
      </x:c>
      <x:c r="E7" s="51" t="str">
        <x:v>C03</x:v>
      </x:c>
      <x:c r="F7" s="51" t="str">
        <x:v>collection</x:v>
      </x:c>
      <x:c r="G7" s="51" t="str">
        <x:v>珠海虚拟回收/检测中心</x:v>
      </x:c>
      <x:c r="H7" s="52" t="n">
        <x:v>120.43690722365889</x:v>
      </x:c>
      <x:c r="I7" s="52" t="n">
        <x:v>127.8165</x:v>
      </x:c>
      <x:c r="J7" s="52" t="n">
        <x:v>94.055</x:v>
      </x:c>
      <x:c r="K7" s="52" t="n">
        <x:f>IFERROR(I7/H7,"")</x:f>
        <x:v>1.0612735161210736</x:v>
      </x:c>
      <x:c r="L7" s="52" t="n">
        <x:v>150</x:v>
      </x:c>
      <x:c r="M7" s="65" t="n">
        <x:f>IF(H7&lt;=L7,1,0)</x:f>
        <x:v>1</x:v>
      </x:c>
      <x:c r="N7" s="65" t="n">
        <x:f>IF(I7&lt;=L7,1,0)</x:f>
        <x:v>1</x:v>
      </x:c>
      <x:c r="O7" s="51" t="str">
        <x:f>IF(M7=N7,"不变",IF(N7=1,"由禁变允","由允变禁"))</x:f>
        <x:v>不变</x:v>
      </x:c>
      <x:c r="P7" s="51" t="str">
        <x:v>OSRM driving/car</x:v>
      </x:c>
      <x:c r="Q7" s="51" t="str">
        <x:v>2026-08-15</x:v>
      </x:c>
      <x:c r="R7" s="51" t="str">
        <x:v>C-开放路网计算；不是货车/危运合规路线</x:v>
      </x:c>
      <x:c r="S7" s="51" t="str">
        <x:v>https://routing.openstreetmap.de/routed-car/</x:v>
      </x:c>
    </x:row>
    <x:row r="8">
      <x:c r="A8" s="51" t="str">
        <x:v>A0004</x:v>
      </x:c>
      <x:c r="B8" s="51" t="str">
        <x:v>GD01</x:v>
      </x:c>
      <x:c r="C8" s="51" t="str">
        <x:v>source</x:v>
      </x:c>
      <x:c r="D8" s="51" t="str">
        <x:v>广州</x:v>
      </x:c>
      <x:c r="E8" s="51" t="str">
        <x:v>C04</x:v>
      </x:c>
      <x:c r="F8" s="51" t="str">
        <x:v>collection</x:v>
      </x:c>
      <x:c r="G8" s="51" t="str">
        <x:v>汕头虚拟回收/检测中心</x:v>
      </x:c>
      <x:c r="H8" s="52" t="n">
        <x:v>420.22799394481007</x:v>
      </x:c>
      <x:c r="I8" s="52" t="n">
        <x:v>414.9252</x:v>
      </x:c>
      <x:c r="J8" s="52" t="n">
        <x:v>289.405</x:v>
      </x:c>
      <x:c r="K8" s="52" t="n">
        <x:f>IFERROR(I8/H8,"")</x:f>
        <x:v>0.9873811501822354</x:v>
      </x:c>
      <x:c r="L8" s="52" t="n">
        <x:v>150</x:v>
      </x:c>
      <x:c r="M8" s="65" t="n">
        <x:f>IF(H8&lt;=L8,1,0)</x:f>
        <x:v>0</x:v>
      </x:c>
      <x:c r="N8" s="65" t="n">
        <x:f>IF(I8&lt;=L8,1,0)</x:f>
        <x:v>0</x:v>
      </x:c>
      <x:c r="O8" s="51" t="str">
        <x:f>IF(M8=N8,"不变",IF(N8=1,"由禁变允","由允变禁"))</x:f>
        <x:v>不变</x:v>
      </x:c>
      <x:c r="P8" s="51" t="str">
        <x:v>OSRM driving/car</x:v>
      </x:c>
      <x:c r="Q8" s="51" t="str">
        <x:v>2026-08-15</x:v>
      </x:c>
      <x:c r="R8" s="51" t="str">
        <x:v>C-开放路网计算；不是货车/危运合规路线</x:v>
      </x:c>
      <x:c r="S8" s="51" t="str">
        <x:v>https://routing.openstreetmap.de/routed-car/</x:v>
      </x:c>
    </x:row>
    <x:row r="9">
      <x:c r="A9" s="51" t="str">
        <x:v>A0005</x:v>
      </x:c>
      <x:c r="B9" s="51" t="str">
        <x:v>GD01</x:v>
      </x:c>
      <x:c r="C9" s="51" t="str">
        <x:v>source</x:v>
      </x:c>
      <x:c r="D9" s="51" t="str">
        <x:v>广州</x:v>
      </x:c>
      <x:c r="E9" s="51" t="str">
        <x:v>C05</x:v>
      </x:c>
      <x:c r="F9" s="51" t="str">
        <x:v>collection</x:v>
      </x:c>
      <x:c r="G9" s="51" t="str">
        <x:v>佛山虚拟回收/检测中心</x:v>
      </x:c>
      <x:c r="H9" s="52" t="n">
        <x:v>22.448811015599897</x:v>
      </x:c>
      <x:c r="I9" s="52" t="n">
        <x:v>25.4265</x:v>
      </x:c>
      <x:c r="J9" s="52" t="n">
        <x:v>23.546666666666667</x:v>
      </x:c>
      <x:c r="K9" s="52" t="n">
        <x:f>IFERROR(I9/H9,"")</x:f>
        <x:v>1.1326435053656463</x:v>
      </x:c>
      <x:c r="L9" s="52" t="n">
        <x:v>150</x:v>
      </x:c>
      <x:c r="M9" s="65" t="n">
        <x:f>IF(H9&lt;=L9,1,0)</x:f>
        <x:v>1</x:v>
      </x:c>
      <x:c r="N9" s="65" t="n">
        <x:f>IF(I9&lt;=L9,1,0)</x:f>
        <x:v>1</x:v>
      </x:c>
      <x:c r="O9" s="51" t="str">
        <x:f>IF(M9=N9,"不变",IF(N9=1,"由禁变允","由允变禁"))</x:f>
        <x:v>不变</x:v>
      </x:c>
      <x:c r="P9" s="51" t="str">
        <x:v>OSRM driving/car</x:v>
      </x:c>
      <x:c r="Q9" s="51" t="str">
        <x:v>2026-08-15</x:v>
      </x:c>
      <x:c r="R9" s="51" t="str">
        <x:v>C-开放路网计算；不是货车/危运合规路线</x:v>
      </x:c>
      <x:c r="S9" s="51" t="str">
        <x:v>https://routing.openstreetmap.de/routed-car/</x:v>
      </x:c>
    </x:row>
    <x:row r="10">
      <x:c r="A10" s="51" t="str">
        <x:v>A0006</x:v>
      </x:c>
      <x:c r="B10" s="51" t="str">
        <x:v>GD01</x:v>
      </x:c>
      <x:c r="C10" s="51" t="str">
        <x:v>source</x:v>
      </x:c>
      <x:c r="D10" s="51" t="str">
        <x:v>广州</x:v>
      </x:c>
      <x:c r="E10" s="51" t="str">
        <x:v>C06</x:v>
      </x:c>
      <x:c r="F10" s="51" t="str">
        <x:v>collection</x:v>
      </x:c>
      <x:c r="G10" s="51" t="str">
        <x:v>韶关虚拟回收/检测中心</x:v>
      </x:c>
      <x:c r="H10" s="52" t="n">
        <x:v>237.03724939624288</x:v>
      </x:c>
      <x:c r="I10" s="52" t="n">
        <x:v>232.97320000000002</x:v>
      </x:c>
      <x:c r="J10" s="52" t="n">
        <x:v>167.92833333333334</x:v>
      </x:c>
      <x:c r="K10" s="52" t="n">
        <x:f>IFERROR(I10/H10,"")</x:f>
        <x:v>0.9828548069698142</x:v>
      </x:c>
      <x:c r="L10" s="52" t="n">
        <x:v>150</x:v>
      </x:c>
      <x:c r="M10" s="65" t="n">
        <x:f>IF(H10&lt;=L10,1,0)</x:f>
        <x:v>0</x:v>
      </x:c>
      <x:c r="N10" s="65" t="n">
        <x:f>IF(I10&lt;=L10,1,0)</x:f>
        <x:v>0</x:v>
      </x:c>
      <x:c r="O10" s="51" t="str">
        <x:f>IF(M10=N10,"不变",IF(N10=1,"由禁变允","由允变禁"))</x:f>
        <x:v>不变</x:v>
      </x:c>
      <x:c r="P10" s="51" t="str">
        <x:v>OSRM driving/car</x:v>
      </x:c>
      <x:c r="Q10" s="51" t="str">
        <x:v>2026-08-15</x:v>
      </x:c>
      <x:c r="R10" s="51" t="str">
        <x:v>C-开放路网计算；不是货车/危运合规路线</x:v>
      </x:c>
      <x:c r="S10" s="51" t="str">
        <x:v>https://routing.openstreetmap.de/routed-car/</x:v>
      </x:c>
    </x:row>
    <x:row r="11">
      <x:c r="A11" s="51" t="str">
        <x:v>A0007</x:v>
      </x:c>
      <x:c r="B11" s="51" t="str">
        <x:v>GD01</x:v>
      </x:c>
      <x:c r="C11" s="51" t="str">
        <x:v>source</x:v>
      </x:c>
      <x:c r="D11" s="51" t="str">
        <x:v>广州</x:v>
      </x:c>
      <x:c r="E11" s="51" t="str">
        <x:v>C07</x:v>
      </x:c>
      <x:c r="F11" s="51" t="str">
        <x:v>collection</x:v>
      </x:c>
      <x:c r="G11" s="51" t="str">
        <x:v>河源虚拟回收/检测中心</x:v>
      </x:c>
      <x:c r="H11" s="52" t="n">
        <x:v>255.35449854690705</x:v>
      </x:c>
      <x:c r="I11" s="52" t="n">
        <x:v>275.0163</x:v>
      </x:c>
      <x:c r="J11" s="52" t="n">
        <x:v>213.30166666666668</x:v>
      </x:c>
      <x:c r="K11" s="52" t="n">
        <x:f>IFERROR(I11/H11,"")</x:f>
        <x:v>1.076998061772862</x:v>
      </x:c>
      <x:c r="L11" s="52" t="n">
        <x:v>150</x:v>
      </x:c>
      <x:c r="M11" s="65" t="n">
        <x:f>IF(H11&lt;=L11,1,0)</x:f>
        <x:v>0</x:v>
      </x:c>
      <x:c r="N11" s="65" t="n">
        <x:f>IF(I11&lt;=L11,1,0)</x:f>
        <x:v>0</x:v>
      </x:c>
      <x:c r="O11" s="51" t="str">
        <x:f>IF(M11=N11,"不变",IF(N11=1,"由禁变允","由允变禁"))</x:f>
        <x:v>不变</x:v>
      </x:c>
      <x:c r="P11" s="51" t="str">
        <x:v>OSRM driving/car</x:v>
      </x:c>
      <x:c r="Q11" s="51" t="str">
        <x:v>2026-08-15</x:v>
      </x:c>
      <x:c r="R11" s="51" t="str">
        <x:v>C-开放路网计算；不是货车/危运合规路线</x:v>
      </x:c>
      <x:c r="S11" s="51" t="str">
        <x:v>https://routing.openstreetmap.de/routed-car/</x:v>
      </x:c>
    </x:row>
    <x:row r="12">
      <x:c r="A12" s="51" t="str">
        <x:v>A0008</x:v>
      </x:c>
      <x:c r="B12" s="51" t="str">
        <x:v>GD01</x:v>
      </x:c>
      <x:c r="C12" s="51" t="str">
        <x:v>source</x:v>
      </x:c>
      <x:c r="D12" s="51" t="str">
        <x:v>广州</x:v>
      </x:c>
      <x:c r="E12" s="51" t="str">
        <x:v>C08</x:v>
      </x:c>
      <x:c r="F12" s="51" t="str">
        <x:v>collection</x:v>
      </x:c>
      <x:c r="G12" s="51" t="str">
        <x:v>梅州虚拟回收/检测中心</x:v>
      </x:c>
      <x:c r="H12" s="52" t="n">
        <x:v>382.1027064948506</x:v>
      </x:c>
      <x:c r="I12" s="52" t="n">
        <x:v>383.8924</x:v>
      </x:c>
      <x:c r="J12" s="52" t="n">
        <x:v>269.1616666666667</x:v>
      </x:c>
      <x:c r="K12" s="52" t="n">
        <x:f>IFERROR(I12/H12,"")</x:f>
        <x:v>1.0046838022205256</x:v>
      </x:c>
      <x:c r="L12" s="52" t="n">
        <x:v>150</x:v>
      </x:c>
      <x:c r="M12" s="65" t="n">
        <x:f>IF(H12&lt;=L12,1,0)</x:f>
        <x:v>0</x:v>
      </x:c>
      <x:c r="N12" s="65" t="n">
        <x:f>IF(I12&lt;=L12,1,0)</x:f>
        <x:v>0</x:v>
      </x:c>
      <x:c r="O12" s="51" t="str">
        <x:f>IF(M12=N12,"不变",IF(N12=1,"由禁变允","由允变禁"))</x:f>
        <x:v>不变</x:v>
      </x:c>
      <x:c r="P12" s="51" t="str">
        <x:v>OSRM driving/car</x:v>
      </x:c>
      <x:c r="Q12" s="51" t="str">
        <x:v>2026-08-15</x:v>
      </x:c>
      <x:c r="R12" s="51" t="str">
        <x:v>C-开放路网计算；不是货车/危运合规路线</x:v>
      </x:c>
      <x:c r="S12" s="51" t="str">
        <x:v>https://routing.openstreetmap.de/routed-car/</x:v>
      </x:c>
    </x:row>
    <x:row r="13">
      <x:c r="A13" s="51" t="str">
        <x:v>A0009</x:v>
      </x:c>
      <x:c r="B13" s="51" t="str">
        <x:v>GD01</x:v>
      </x:c>
      <x:c r="C13" s="51" t="str">
        <x:v>source</x:v>
      </x:c>
      <x:c r="D13" s="51" t="str">
        <x:v>广州</x:v>
      </x:c>
      <x:c r="E13" s="51" t="str">
        <x:v>C09</x:v>
      </x:c>
      <x:c r="F13" s="51" t="str">
        <x:v>collection</x:v>
      </x:c>
      <x:c r="G13" s="51" t="str">
        <x:v>惠州虚拟回收/检测中心</x:v>
      </x:c>
      <x:c r="H13" s="52" t="n">
        <x:v>141.59962050860264</x:v>
      </x:c>
      <x:c r="I13" s="52" t="n">
        <x:v>138.7404</x:v>
      </x:c>
      <x:c r="J13" s="52" t="n">
        <x:v>98.4</x:v>
      </x:c>
      <x:c r="K13" s="52" t="n">
        <x:f>IFERROR(I13/H13,"")</x:f>
        <x:v>0.9798077106539355</x:v>
      </x:c>
      <x:c r="L13" s="52" t="n">
        <x:v>150</x:v>
      </x:c>
      <x:c r="M13" s="65" t="n">
        <x:f>IF(H13&lt;=L13,1,0)</x:f>
        <x:v>1</x:v>
      </x:c>
      <x:c r="N13" s="65" t="n">
        <x:f>IF(I13&lt;=L13,1,0)</x:f>
        <x:v>1</x:v>
      </x:c>
      <x:c r="O13" s="51" t="str">
        <x:f>IF(M13=N13,"不变",IF(N13=1,"由禁变允","由允变禁"))</x:f>
        <x:v>不变</x:v>
      </x:c>
      <x:c r="P13" s="51" t="str">
        <x:v>OSRM driving/car</x:v>
      </x:c>
      <x:c r="Q13" s="51" t="str">
        <x:v>2026-08-15</x:v>
      </x:c>
      <x:c r="R13" s="51" t="str">
        <x:v>C-开放路网计算；不是货车/危运合规路线</x:v>
      </x:c>
      <x:c r="S13" s="51" t="str">
        <x:v>https://routing.openstreetmap.de/routed-car/</x:v>
      </x:c>
    </x:row>
    <x:row r="14">
      <x:c r="A14" s="51" t="str">
        <x:v>A0010</x:v>
      </x:c>
      <x:c r="B14" s="51" t="str">
        <x:v>GD01</x:v>
      </x:c>
      <x:c r="C14" s="51" t="str">
        <x:v>source</x:v>
      </x:c>
      <x:c r="D14" s="51" t="str">
        <x:v>广州</x:v>
      </x:c>
      <x:c r="E14" s="51" t="str">
        <x:v>C10</x:v>
      </x:c>
      <x:c r="F14" s="51" t="str">
        <x:v>collection</x:v>
      </x:c>
      <x:c r="G14" s="51" t="str">
        <x:v>汕尾虚拟回收/检测中心</x:v>
      </x:c>
      <x:c r="H14" s="52" t="n">
        <x:v>276.7760629013141</x:v>
      </x:c>
      <x:c r="I14" s="52" t="n">
        <x:v>274.5215</x:v>
      </x:c>
      <x:c r="J14" s="52" t="n">
        <x:v>207.79166666666666</x:v>
      </x:c>
      <x:c r="K14" s="52" t="n">
        <x:f>IFERROR(I14/H14,"")</x:f>
        <x:v>0.991854198380884</x:v>
      </x:c>
      <x:c r="L14" s="52" t="n">
        <x:v>150</x:v>
      </x:c>
      <x:c r="M14" s="65" t="n">
        <x:f>IF(H14&lt;=L14,1,0)</x:f>
        <x:v>0</x:v>
      </x:c>
      <x:c r="N14" s="65" t="n">
        <x:f>IF(I14&lt;=L14,1,0)</x:f>
        <x:v>0</x:v>
      </x:c>
      <x:c r="O14" s="51" t="str">
        <x:f>IF(M14=N14,"不变",IF(N14=1,"由禁变允","由允变禁"))</x:f>
        <x:v>不变</x:v>
      </x:c>
      <x:c r="P14" s="51" t="str">
        <x:v>OSRM driving/car</x:v>
      </x:c>
      <x:c r="Q14" s="51" t="str">
        <x:v>2026-08-15</x:v>
      </x:c>
      <x:c r="R14" s="51" t="str">
        <x:v>C-开放路网计算；不是货车/危运合规路线</x:v>
      </x:c>
      <x:c r="S14" s="51" t="str">
        <x:v>https://routing.openstreetmap.de/routed-car/</x:v>
      </x:c>
    </x:row>
    <x:row r="15">
      <x:c r="A15" s="51" t="str">
        <x:v>A0011</x:v>
      </x:c>
      <x:c r="B15" s="51" t="str">
        <x:v>GD01</x:v>
      </x:c>
      <x:c r="C15" s="51" t="str">
        <x:v>source</x:v>
      </x:c>
      <x:c r="D15" s="51" t="str">
        <x:v>广州</x:v>
      </x:c>
      <x:c r="E15" s="51" t="str">
        <x:v>C11</x:v>
      </x:c>
      <x:c r="F15" s="51" t="str">
        <x:v>collection</x:v>
      </x:c>
      <x:c r="G15" s="51" t="str">
        <x:v>东莞虚拟回收/检测中心</x:v>
      </x:c>
      <x:c r="H15" s="52" t="n">
        <x:v>61.48835744881942</x:v>
      </x:c>
      <x:c r="I15" s="52" t="n">
        <x:v>63.2176</x:v>
      </x:c>
      <x:c r="J15" s="52" t="n">
        <x:v>48.34666666666667</x:v>
      </x:c>
      <x:c r="K15" s="52" t="n">
        <x:f>IFERROR(I15/H15,"")</x:f>
        <x:v>1.0281230890355126</x:v>
      </x:c>
      <x:c r="L15" s="52" t="n">
        <x:v>150</x:v>
      </x:c>
      <x:c r="M15" s="65" t="n">
        <x:f>IF(H15&lt;=L15,1,0)</x:f>
        <x:v>1</x:v>
      </x:c>
      <x:c r="N15" s="65" t="n">
        <x:f>IF(I15&lt;=L15,1,0)</x:f>
        <x:v>1</x:v>
      </x:c>
      <x:c r="O15" s="51" t="str">
        <x:f>IF(M15=N15,"不变",IF(N15=1,"由禁变允","由允变禁"))</x:f>
        <x:v>不变</x:v>
      </x:c>
      <x:c r="P15" s="51" t="str">
        <x:v>OSRM driving/car</x:v>
      </x:c>
      <x:c r="Q15" s="51" t="str">
        <x:v>2026-08-15</x:v>
      </x:c>
      <x:c r="R15" s="51" t="str">
        <x:v>C-开放路网计算；不是货车/危运合规路线</x:v>
      </x:c>
      <x:c r="S15" s="51" t="str">
        <x:v>https://routing.openstreetmap.de/routed-car/</x:v>
      </x:c>
    </x:row>
    <x:row r="16">
      <x:c r="A16" s="51" t="str">
        <x:v>A0012</x:v>
      </x:c>
      <x:c r="B16" s="51" t="str">
        <x:v>GD01</x:v>
      </x:c>
      <x:c r="C16" s="51" t="str">
        <x:v>source</x:v>
      </x:c>
      <x:c r="D16" s="51" t="str">
        <x:v>广州</x:v>
      </x:c>
      <x:c r="E16" s="51" t="str">
        <x:v>C12</x:v>
      </x:c>
      <x:c r="F16" s="51" t="str">
        <x:v>collection</x:v>
      </x:c>
      <x:c r="G16" s="51" t="str">
        <x:v>中山虚拟回收/检测中心</x:v>
      </x:c>
      <x:c r="H16" s="52" t="n">
        <x:v>82.79613442153406</x:v>
      </x:c>
      <x:c r="I16" s="52" t="n">
        <x:v>85.1917</x:v>
      </x:c>
      <x:c r="J16" s="52" t="n">
        <x:v>63.93</x:v>
      </x:c>
      <x:c r="K16" s="52" t="n">
        <x:f>IFERROR(I16/H16,"")</x:f>
        <x:v>1.0289333022030904</x:v>
      </x:c>
      <x:c r="L16" s="52" t="n">
        <x:v>150</x:v>
      </x:c>
      <x:c r="M16" s="65" t="n">
        <x:f>IF(H16&lt;=L16,1,0)</x:f>
        <x:v>1</x:v>
      </x:c>
      <x:c r="N16" s="65" t="n">
        <x:f>IF(I16&lt;=L16,1,0)</x:f>
        <x:v>1</x:v>
      </x:c>
      <x:c r="O16" s="51" t="str">
        <x:f>IF(M16=N16,"不变",IF(N16=1,"由禁变允","由允变禁"))</x:f>
        <x:v>不变</x:v>
      </x:c>
      <x:c r="P16" s="51" t="str">
        <x:v>OSRM driving/car</x:v>
      </x:c>
      <x:c r="Q16" s="51" t="str">
        <x:v>2026-08-15</x:v>
      </x:c>
      <x:c r="R16" s="51" t="str">
        <x:v>C-开放路网计算；不是货车/危运合规路线</x:v>
      </x:c>
      <x:c r="S16" s="51" t="str">
        <x:v>https://routing.openstreetmap.de/routed-car/</x:v>
      </x:c>
    </x:row>
    <x:row r="17">
      <x:c r="A17" s="51" t="str">
        <x:v>A0013</x:v>
      </x:c>
      <x:c r="B17" s="51" t="str">
        <x:v>GD01</x:v>
      </x:c>
      <x:c r="C17" s="51" t="str">
        <x:v>source</x:v>
      </x:c>
      <x:c r="D17" s="51" t="str">
        <x:v>广州</x:v>
      </x:c>
      <x:c r="E17" s="51" t="str">
        <x:v>C13</x:v>
      </x:c>
      <x:c r="F17" s="51" t="str">
        <x:v>collection</x:v>
      </x:c>
      <x:c r="G17" s="51" t="str">
        <x:v>江门虚拟回收/检测中心</x:v>
      </x:c>
      <x:c r="H17" s="52" t="n">
        <x:v>76.3956958586808</x:v>
      </x:c>
      <x:c r="I17" s="52" t="n">
        <x:v>81.83030000000001</x:v>
      </x:c>
      <x:c r="J17" s="52" t="n">
        <x:v>64.17833333333333</x:v>
      </x:c>
      <x:c r="K17" s="52" t="n">
        <x:f>IFERROR(I17/H17,"")</x:f>
        <x:v>1.0711375697313146</x:v>
      </x:c>
      <x:c r="L17" s="52" t="n">
        <x:v>150</x:v>
      </x:c>
      <x:c r="M17" s="65" t="n">
        <x:f>IF(H17&lt;=L17,1,0)</x:f>
        <x:v>1</x:v>
      </x:c>
      <x:c r="N17" s="65" t="n">
        <x:f>IF(I17&lt;=L17,1,0)</x:f>
        <x:v>1</x:v>
      </x:c>
      <x:c r="O17" s="51" t="str">
        <x:f>IF(M17=N17,"不变",IF(N17=1,"由禁变允","由允变禁"))</x:f>
        <x:v>不变</x:v>
      </x:c>
      <x:c r="P17" s="51" t="str">
        <x:v>OSRM driving/car</x:v>
      </x:c>
      <x:c r="Q17" s="51" t="str">
        <x:v>2026-08-15</x:v>
      </x:c>
      <x:c r="R17" s="51" t="str">
        <x:v>C-开放路网计算；不是货车/危运合规路线</x:v>
      </x:c>
      <x:c r="S17" s="51" t="str">
        <x:v>https://routing.openstreetmap.de/routed-car/</x:v>
      </x:c>
    </x:row>
    <x:row r="18">
      <x:c r="A18" s="51" t="str">
        <x:v>A0014</x:v>
      </x:c>
      <x:c r="B18" s="51" t="str">
        <x:v>GD01</x:v>
      </x:c>
      <x:c r="C18" s="51" t="str">
        <x:v>source</x:v>
      </x:c>
      <x:c r="D18" s="51" t="str">
        <x:v>广州</x:v>
      </x:c>
      <x:c r="E18" s="51" t="str">
        <x:v>C14</x:v>
      </x:c>
      <x:c r="F18" s="51" t="str">
        <x:v>collection</x:v>
      </x:c>
      <x:c r="G18" s="51" t="str">
        <x:v>阳江虚拟回收/检测中心</x:v>
      </x:c>
      <x:c r="H18" s="52" t="n">
        <x:v>228.13253822875888</x:v>
      </x:c>
      <x:c r="I18" s="52" t="n">
        <x:v>251.0879</x:v>
      </x:c>
      <x:c r="J18" s="52" t="n">
        <x:v>169.08333333333334</x:v>
      </x:c>
      <x:c r="K18" s="52" t="n">
        <x:f>IFERROR(I18/H18,"")</x:f>
        <x:v>1.1006229183678424</x:v>
      </x:c>
      <x:c r="L18" s="52" t="n">
        <x:v>150</x:v>
      </x:c>
      <x:c r="M18" s="65" t="n">
        <x:f>IF(H18&lt;=L18,1,0)</x:f>
        <x:v>0</x:v>
      </x:c>
      <x:c r="N18" s="65" t="n">
        <x:f>IF(I18&lt;=L18,1,0)</x:f>
        <x:v>0</x:v>
      </x:c>
      <x:c r="O18" s="51" t="str">
        <x:f>IF(M18=N18,"不变",IF(N18=1,"由禁变允","由允变禁"))</x:f>
        <x:v>不变</x:v>
      </x:c>
      <x:c r="P18" s="51" t="str">
        <x:v>OSRM driving/car</x:v>
      </x:c>
      <x:c r="Q18" s="51" t="str">
        <x:v>2026-08-15</x:v>
      </x:c>
      <x:c r="R18" s="51" t="str">
        <x:v>C-开放路网计算；不是货车/危运合规路线</x:v>
      </x:c>
      <x:c r="S18" s="51" t="str">
        <x:v>https://routing.openstreetmap.de/routed-car/</x:v>
      </x:c>
    </x:row>
    <x:row r="19">
      <x:c r="A19" s="51" t="str">
        <x:v>A0015</x:v>
      </x:c>
      <x:c r="B19" s="51" t="str">
        <x:v>GD01</x:v>
      </x:c>
      <x:c r="C19" s="51" t="str">
        <x:v>source</x:v>
      </x:c>
      <x:c r="D19" s="51" t="str">
        <x:v>广州</x:v>
      </x:c>
      <x:c r="E19" s="51" t="str">
        <x:v>C15</x:v>
      </x:c>
      <x:c r="F19" s="51" t="str">
        <x:v>collection</x:v>
      </x:c>
      <x:c r="G19" s="51" t="str">
        <x:v>湛江虚拟回收/检测中心</x:v>
      </x:c>
      <x:c r="H19" s="52" t="n">
        <x:v>435.86375186529995</x:v>
      </x:c>
      <x:c r="I19" s="52" t="n">
        <x:v>415.4794</x:v>
      </x:c>
      <x:c r="J19" s="52" t="n">
        <x:v>278.76500000000004</x:v>
      </x:c>
      <x:c r="K19" s="52" t="n">
        <x:f>IFERROR(I19/H19,"")</x:f>
        <x:v>0.9532322846805587</x:v>
      </x:c>
      <x:c r="L19" s="52" t="n">
        <x:v>150</x:v>
      </x:c>
      <x:c r="M19" s="65" t="n">
        <x:f>IF(H19&lt;=L19,1,0)</x:f>
        <x:v>0</x:v>
      </x:c>
      <x:c r="N19" s="65" t="n">
        <x:f>IF(I19&lt;=L19,1,0)</x:f>
        <x:v>0</x:v>
      </x:c>
      <x:c r="O19" s="51" t="str">
        <x:f>IF(M19=N19,"不变",IF(N19=1,"由禁变允","由允变禁"))</x:f>
        <x:v>不变</x:v>
      </x:c>
      <x:c r="P19" s="51" t="str">
        <x:v>OSRM driving/car</x:v>
      </x:c>
      <x:c r="Q19" s="51" t="str">
        <x:v>2026-08-15</x:v>
      </x:c>
      <x:c r="R19" s="51" t="str">
        <x:v>C-开放路网计算；不是货车/危运合规路线</x:v>
      </x:c>
      <x:c r="S19" s="51" t="str">
        <x:v>https://routing.openstreetmap.de/routed-car/</x:v>
      </x:c>
    </x:row>
    <x:row r="20">
      <x:c r="A20" s="51" t="str">
        <x:v>A0016</x:v>
      </x:c>
      <x:c r="B20" s="51" t="str">
        <x:v>GD01</x:v>
      </x:c>
      <x:c r="C20" s="51" t="str">
        <x:v>source</x:v>
      </x:c>
      <x:c r="D20" s="51" t="str">
        <x:v>广州</x:v>
      </x:c>
      <x:c r="E20" s="51" t="str">
        <x:v>C16</x:v>
      </x:c>
      <x:c r="F20" s="51" t="str">
        <x:v>collection</x:v>
      </x:c>
      <x:c r="G20" s="51" t="str">
        <x:v>茂名虚拟回收/检测中心</x:v>
      </x:c>
      <x:c r="H20" s="52" t="n">
        <x:v>348.28546413377285</x:v>
      </x:c>
      <x:c r="I20" s="52" t="n">
        <x:v>334.73</x:v>
      </x:c>
      <x:c r="J20" s="52" t="n">
        <x:v>227.67999999999998</x:v>
      </x:c>
      <x:c r="K20" s="52" t="n">
        <x:f>IFERROR(I20/H20,"")</x:f>
        <x:v>0.9610794433598115</x:v>
      </x:c>
      <x:c r="L20" s="52" t="n">
        <x:v>150</x:v>
      </x:c>
      <x:c r="M20" s="65" t="n">
        <x:f>IF(H20&lt;=L20,1,0)</x:f>
        <x:v>0</x:v>
      </x:c>
      <x:c r="N20" s="65" t="n">
        <x:f>IF(I20&lt;=L20,1,0)</x:f>
        <x:v>0</x:v>
      </x:c>
      <x:c r="O20" s="51" t="str">
        <x:f>IF(M20=N20,"不变",IF(N20=1,"由禁变允","由允变禁"))</x:f>
        <x:v>不变</x:v>
      </x:c>
      <x:c r="P20" s="51" t="str">
        <x:v>OSRM driving/car</x:v>
      </x:c>
      <x:c r="Q20" s="51" t="str">
        <x:v>2026-08-15</x:v>
      </x:c>
      <x:c r="R20" s="51" t="str">
        <x:v>C-开放路网计算；不是货车/危运合规路线</x:v>
      </x:c>
      <x:c r="S20" s="51" t="str">
        <x:v>https://routing.openstreetmap.de/routed-car/</x:v>
      </x:c>
    </x:row>
    <x:row r="21">
      <x:c r="A21" s="51" t="str">
        <x:v>A0017</x:v>
      </x:c>
      <x:c r="B21" s="51" t="str">
        <x:v>GD01</x:v>
      </x:c>
      <x:c r="C21" s="51" t="str">
        <x:v>source</x:v>
      </x:c>
      <x:c r="D21" s="51" t="str">
        <x:v>广州</x:v>
      </x:c>
      <x:c r="E21" s="51" t="str">
        <x:v>C17</x:v>
      </x:c>
      <x:c r="F21" s="51" t="str">
        <x:v>collection</x:v>
      </x:c>
      <x:c r="G21" s="51" t="str">
        <x:v>肇庆虚拟回收/检测中心</x:v>
      </x:c>
      <x:c r="H21" s="52" t="n">
        <x:v>98.58397364775895</x:v>
      </x:c>
      <x:c r="I21" s="52" t="n">
        <x:v>97.76219999999999</x:v>
      </x:c>
      <x:c r="J21" s="52" t="n">
        <x:v>78.89666666666668</x:v>
      </x:c>
      <x:c r="K21" s="52" t="n">
        <x:f>IFERROR(I21/H21,"")</x:f>
        <x:v>0.9916642267769084</x:v>
      </x:c>
      <x:c r="L21" s="52" t="n">
        <x:v>150</x:v>
      </x:c>
      <x:c r="M21" s="65" t="n">
        <x:f>IF(H21&lt;=L21,1,0)</x:f>
        <x:v>1</x:v>
      </x:c>
      <x:c r="N21" s="65" t="n">
        <x:f>IF(I21&lt;=L21,1,0)</x:f>
        <x:v>1</x:v>
      </x:c>
      <x:c r="O21" s="51" t="str">
        <x:f>IF(M21=N21,"不变",IF(N21=1,"由禁变允","由允变禁"))</x:f>
        <x:v>不变</x:v>
      </x:c>
      <x:c r="P21" s="51" t="str">
        <x:v>OSRM driving/car</x:v>
      </x:c>
      <x:c r="Q21" s="51" t="str">
        <x:v>2026-08-15</x:v>
      </x:c>
      <x:c r="R21" s="51" t="str">
        <x:v>C-开放路网计算；不是货车/危运合规路线</x:v>
      </x:c>
      <x:c r="S21" s="51" t="str">
        <x:v>https://routing.openstreetmap.de/routed-car/</x:v>
      </x:c>
    </x:row>
    <x:row r="22">
      <x:c r="A22" s="51" t="str">
        <x:v>A0018</x:v>
      </x:c>
      <x:c r="B22" s="51" t="str">
        <x:v>GD01</x:v>
      </x:c>
      <x:c r="C22" s="51" t="str">
        <x:v>source</x:v>
      </x:c>
      <x:c r="D22" s="51" t="str">
        <x:v>广州</x:v>
      </x:c>
      <x:c r="E22" s="51" t="str">
        <x:v>C18</x:v>
      </x:c>
      <x:c r="F22" s="51" t="str">
        <x:v>collection</x:v>
      </x:c>
      <x:c r="G22" s="51" t="str">
        <x:v>清远虚拟回收/检测中心</x:v>
      </x:c>
      <x:c r="H22" s="52" t="n">
        <x:v>78.25907590976536</x:v>
      </x:c>
      <x:c r="I22" s="52" t="n">
        <x:v>78.0213</x:v>
      </x:c>
      <x:c r="J22" s="52" t="n">
        <x:v>59.126666666666665</x:v>
      </x:c>
      <x:c r="K22" s="52" t="n">
        <x:f>IFERROR(I22/H22,"")</x:f>
        <x:v>0.9969616826291238</x:v>
      </x:c>
      <x:c r="L22" s="52" t="n">
        <x:v>150</x:v>
      </x:c>
      <x:c r="M22" s="65" t="n">
        <x:f>IF(H22&lt;=L22,1,0)</x:f>
        <x:v>1</x:v>
      </x:c>
      <x:c r="N22" s="65" t="n">
        <x:f>IF(I22&lt;=L22,1,0)</x:f>
        <x:v>1</x:v>
      </x:c>
      <x:c r="O22" s="51" t="str">
        <x:f>IF(M22=N22,"不变",IF(N22=1,"由禁变允","由允变禁"))</x:f>
        <x:v>不变</x:v>
      </x:c>
      <x:c r="P22" s="51" t="str">
        <x:v>OSRM driving/car</x:v>
      </x:c>
      <x:c r="Q22" s="51" t="str">
        <x:v>2026-08-15</x:v>
      </x:c>
      <x:c r="R22" s="51" t="str">
        <x:v>C-开放路网计算；不是货车/危运合规路线</x:v>
      </x:c>
      <x:c r="S22" s="51" t="str">
        <x:v>https://routing.openstreetmap.de/routed-car/</x:v>
      </x:c>
    </x:row>
    <x:row r="23">
      <x:c r="A23" s="51" t="str">
        <x:v>A0019</x:v>
      </x:c>
      <x:c r="B23" s="51" t="str">
        <x:v>GD01</x:v>
      </x:c>
      <x:c r="C23" s="51" t="str">
        <x:v>source</x:v>
      </x:c>
      <x:c r="D23" s="51" t="str">
        <x:v>广州</x:v>
      </x:c>
      <x:c r="E23" s="51" t="str">
        <x:v>C19</x:v>
      </x:c>
      <x:c r="F23" s="51" t="str">
        <x:v>collection</x:v>
      </x:c>
      <x:c r="G23" s="51" t="str">
        <x:v>潮州虚拟回收/检测中心</x:v>
      </x:c>
      <x:c r="H23" s="52" t="n">
        <x:v>417.6343351726079</x:v>
      </x:c>
      <x:c r="I23" s="52" t="n">
        <x:v>409.614</x:v>
      </x:c>
      <x:c r="J23" s="52" t="n">
        <x:v>281.7916666666667</x:v>
      </x:c>
      <x:c r="K23" s="52" t="n">
        <x:f>IFERROR(I23/H23,"")</x:f>
        <x:v>0.9807957955150093</x:v>
      </x:c>
      <x:c r="L23" s="52" t="n">
        <x:v>150</x:v>
      </x:c>
      <x:c r="M23" s="65" t="n">
        <x:f>IF(H23&lt;=L23,1,0)</x:f>
        <x:v>0</x:v>
      </x:c>
      <x:c r="N23" s="65" t="n">
        <x:f>IF(I23&lt;=L23,1,0)</x:f>
        <x:v>0</x:v>
      </x:c>
      <x:c r="O23" s="51" t="str">
        <x:f>IF(M23=N23,"不变",IF(N23=1,"由禁变允","由允变禁"))</x:f>
        <x:v>不变</x:v>
      </x:c>
      <x:c r="P23" s="51" t="str">
        <x:v>OSRM driving/car</x:v>
      </x:c>
      <x:c r="Q23" s="51" t="str">
        <x:v>2026-08-15</x:v>
      </x:c>
      <x:c r="R23" s="51" t="str">
        <x:v>C-开放路网计算；不是货车/危运合规路线</x:v>
      </x:c>
      <x:c r="S23" s="51" t="str">
        <x:v>https://routing.openstreetmap.de/routed-car/</x:v>
      </x:c>
    </x:row>
    <x:row r="24">
      <x:c r="A24" s="51" t="str">
        <x:v>A0020</x:v>
      </x:c>
      <x:c r="B24" s="51" t="str">
        <x:v>GD01</x:v>
      </x:c>
      <x:c r="C24" s="51" t="str">
        <x:v>source</x:v>
      </x:c>
      <x:c r="D24" s="51" t="str">
        <x:v>广州</x:v>
      </x:c>
      <x:c r="E24" s="51" t="str">
        <x:v>C20</x:v>
      </x:c>
      <x:c r="F24" s="51" t="str">
        <x:v>collection</x:v>
      </x:c>
      <x:c r="G24" s="51" t="str">
        <x:v>揭阳虚拟回收/检测中心</x:v>
      </x:c>
      <x:c r="H24" s="52" t="n">
        <x:v>385.08202812819275</x:v>
      </x:c>
      <x:c r="I24" s="52" t="n">
        <x:v>376.69829999999996</x:v>
      </x:c>
      <x:c r="J24" s="52" t="n">
        <x:v>263.77000000000004</x:v>
      </x:c>
      <x:c r="K24" s="52" t="n">
        <x:f>IFERROR(I24/H24,"")</x:f>
        <x:v>0.9782287213741331</x:v>
      </x:c>
      <x:c r="L24" s="52" t="n">
        <x:v>150</x:v>
      </x:c>
      <x:c r="M24" s="65" t="n">
        <x:f>IF(H24&lt;=L24,1,0)</x:f>
        <x:v>0</x:v>
      </x:c>
      <x:c r="N24" s="65" t="n">
        <x:f>IF(I24&lt;=L24,1,0)</x:f>
        <x:v>0</x:v>
      </x:c>
      <x:c r="O24" s="51" t="str">
        <x:f>IF(M24=N24,"不变",IF(N24=1,"由禁变允","由允变禁"))</x:f>
        <x:v>不变</x:v>
      </x:c>
      <x:c r="P24" s="51" t="str">
        <x:v>OSRM driving/car</x:v>
      </x:c>
      <x:c r="Q24" s="51" t="str">
        <x:v>2026-08-15</x:v>
      </x:c>
      <x:c r="R24" s="51" t="str">
        <x:v>C-开放路网计算；不是货车/危运合规路线</x:v>
      </x:c>
      <x:c r="S24" s="51" t="str">
        <x:v>https://routing.openstreetmap.de/routed-car/</x:v>
      </x:c>
    </x:row>
    <x:row r="25">
      <x:c r="A25" s="51" t="str">
        <x:v>A0021</x:v>
      </x:c>
      <x:c r="B25" s="51" t="str">
        <x:v>GD01</x:v>
      </x:c>
      <x:c r="C25" s="51" t="str">
        <x:v>source</x:v>
      </x:c>
      <x:c r="D25" s="51" t="str">
        <x:v>广州</x:v>
      </x:c>
      <x:c r="E25" s="51" t="str">
        <x:v>C21</x:v>
      </x:c>
      <x:c r="F25" s="51" t="str">
        <x:v>collection</x:v>
      </x:c>
      <x:c r="G25" s="51" t="str">
        <x:v>云浮虚拟回收/检测中心</x:v>
      </x:c>
      <x:c r="H25" s="52" t="n">
        <x:v>181.95921019073626</x:v>
      </x:c>
      <x:c r="I25" s="52" t="n">
        <x:v>184.6334</x:v>
      </x:c>
      <x:c r="J25" s="52" t="n">
        <x:v>133.07333333333332</x:v>
      </x:c>
      <x:c r="K25" s="52" t="n">
        <x:f>IFERROR(I25/H25,"")</x:f>
        <x:v>1.0146966444098133</x:v>
      </x:c>
      <x:c r="L25" s="52" t="n">
        <x:v>150</x:v>
      </x:c>
      <x:c r="M25" s="65" t="n">
        <x:f>IF(H25&lt;=L25,1,0)</x:f>
        <x:v>0</x:v>
      </x:c>
      <x:c r="N25" s="65" t="n">
        <x:f>IF(I25&lt;=L25,1,0)</x:f>
        <x:v>0</x:v>
      </x:c>
      <x:c r="O25" s="51" t="str">
        <x:f>IF(M25=N25,"不变",IF(N25=1,"由禁变允","由允变禁"))</x:f>
        <x:v>不变</x:v>
      </x:c>
      <x:c r="P25" s="51" t="str">
        <x:v>OSRM driving/car</x:v>
      </x:c>
      <x:c r="Q25" s="51" t="str">
        <x:v>2026-08-15</x:v>
      </x:c>
      <x:c r="R25" s="51" t="str">
        <x:v>C-开放路网计算；不是货车/危运合规路线</x:v>
      </x:c>
      <x:c r="S25" s="51" t="str">
        <x:v>https://routing.openstreetmap.de/routed-car/</x:v>
      </x:c>
    </x:row>
    <x:row r="26">
      <x:c r="A26" s="51" t="str">
        <x:v>A0022</x:v>
      </x:c>
      <x:c r="B26" s="51" t="str">
        <x:v>GD02</x:v>
      </x:c>
      <x:c r="C26" s="51" t="str">
        <x:v>source</x:v>
      </x:c>
      <x:c r="D26" s="51" t="str">
        <x:v>深圳</x:v>
      </x:c>
      <x:c r="E26" s="51" t="str">
        <x:v>C01</x:v>
      </x:c>
      <x:c r="F26" s="51" t="str">
        <x:v>collection</x:v>
      </x:c>
      <x:c r="G26" s="51" t="str">
        <x:v>广州虚拟回收/检测中心</x:v>
      </x:c>
      <x:c r="H26" s="52" t="n">
        <x:v>125.09932920710673</x:v>
      </x:c>
      <x:c r="I26" s="52" t="n">
        <x:v>135.1178</x:v>
      </x:c>
      <x:c r="J26" s="52" t="n">
        <x:v>93.51</x:v>
      </x:c>
      <x:c r="K26" s="52" t="n">
        <x:f>IFERROR(I26/H26,"")</x:f>
        <x:v>1.0800841287990226</x:v>
      </x:c>
      <x:c r="L26" s="52" t="n">
        <x:v>150</x:v>
      </x:c>
      <x:c r="M26" s="65" t="n">
        <x:f>IF(H26&lt;=L26,1,0)</x:f>
        <x:v>1</x:v>
      </x:c>
      <x:c r="N26" s="65" t="n">
        <x:f>IF(I26&lt;=L26,1,0)</x:f>
        <x:v>1</x:v>
      </x:c>
      <x:c r="O26" s="51" t="str">
        <x:f>IF(M26=N26,"不变",IF(N26=1,"由禁变允","由允变禁"))</x:f>
        <x:v>不变</x:v>
      </x:c>
      <x:c r="P26" s="51" t="str">
        <x:v>OSRM driving/car</x:v>
      </x:c>
      <x:c r="Q26" s="51" t="str">
        <x:v>2026-08-15</x:v>
      </x:c>
      <x:c r="R26" s="51" t="str">
        <x:v>C-开放路网计算；不是货车/危运合规路线</x:v>
      </x:c>
      <x:c r="S26" s="51" t="str">
        <x:v>https://routing.openstreetmap.de/routed-car/</x:v>
      </x:c>
    </x:row>
    <x:row r="27">
      <x:c r="A27" s="51" t="str">
        <x:v>A0023</x:v>
      </x:c>
      <x:c r="B27" s="51" t="str">
        <x:v>GD02</x:v>
      </x:c>
      <x:c r="C27" s="51" t="str">
        <x:v>source</x:v>
      </x:c>
      <x:c r="D27" s="51" t="str">
        <x:v>深圳</x:v>
      </x:c>
      <x:c r="E27" s="51" t="str">
        <x:v>C02</x:v>
      </x:c>
      <x:c r="F27" s="51" t="str">
        <x:v>collection</x:v>
      </x:c>
      <x:c r="G27" s="51" t="str">
        <x:v>深圳虚拟回收/检测中心</x:v>
      </x:c>
      <x:c r="H27" s="52" t="n">
        <x:v>0</x:v>
      </x:c>
      <x:c r="I27" s="52" t="n">
        <x:v>0</x:v>
      </x:c>
      <x:c r="J27" s="52" t="n">
        <x:v>0</x:v>
      </x:c>
      <x:c r="K27" s="52" t="str">
        <x:f>IFERROR(I27/H27,"")</x:f>
      </x:c>
      <x:c r="L27" s="52" t="n">
        <x:v>150</x:v>
      </x:c>
      <x:c r="M27" s="65" t="n">
        <x:f>IF(H27&lt;=L27,1,0)</x:f>
        <x:v>1</x:v>
      </x:c>
      <x:c r="N27" s="65" t="n">
        <x:f>IF(I27&lt;=L27,1,0)</x:f>
        <x:v>1</x:v>
      </x:c>
      <x:c r="O27" s="51" t="str">
        <x:f>IF(M27=N27,"不变",IF(N27=1,"由禁变允","由允变禁"))</x:f>
        <x:v>不变</x:v>
      </x:c>
      <x:c r="P27" s="51" t="str">
        <x:v>OSRM driving/car</x:v>
      </x:c>
      <x:c r="Q27" s="51" t="str">
        <x:v>2026-08-15</x:v>
      </x:c>
      <x:c r="R27" s="51" t="str">
        <x:v>C-开放路网计算；不是货车/危运合规路线</x:v>
      </x:c>
      <x:c r="S27" s="51" t="str">
        <x:v>https://routing.openstreetmap.de/routed-car/</x:v>
      </x:c>
    </x:row>
    <x:row r="28">
      <x:c r="A28" s="51" t="str">
        <x:v>A0024</x:v>
      </x:c>
      <x:c r="B28" s="51" t="str">
        <x:v>GD02</x:v>
      </x:c>
      <x:c r="C28" s="51" t="str">
        <x:v>source</x:v>
      </x:c>
      <x:c r="D28" s="51" t="str">
        <x:v>深圳</x:v>
      </x:c>
      <x:c r="E28" s="51" t="str">
        <x:v>C03</x:v>
      </x:c>
      <x:c r="F28" s="51" t="str">
        <x:v>collection</x:v>
      </x:c>
      <x:c r="G28" s="51" t="str">
        <x:v>珠海虚拟回收/检测中心</x:v>
      </x:c>
      <x:c r="H28" s="52" t="n">
        <x:v>69.62293789389439</x:v>
      </x:c>
      <x:c r="I28" s="52" t="n">
        <x:v>102.4739</x:v>
      </x:c>
      <x:c r="J28" s="52" t="n">
        <x:v>87.705</x:v>
      </x:c>
      <x:c r="K28" s="52" t="n">
        <x:f>IFERROR(I28/H28,"")</x:f>
        <x:v>1.4718410785274618</x:v>
      </x:c>
      <x:c r="L28" s="52" t="n">
        <x:v>150</x:v>
      </x:c>
      <x:c r="M28" s="65" t="n">
        <x:f>IF(H28&lt;=L28,1,0)</x:f>
        <x:v>1</x:v>
      </x:c>
      <x:c r="N28" s="65" t="n">
        <x:f>IF(I28&lt;=L28,1,0)</x:f>
        <x:v>1</x:v>
      </x:c>
      <x:c r="O28" s="51" t="str">
        <x:f>IF(M28=N28,"不变",IF(N28=1,"由禁变允","由允变禁"))</x:f>
        <x:v>不变</x:v>
      </x:c>
      <x:c r="P28" s="51" t="str">
        <x:v>OSRM driving/car</x:v>
      </x:c>
      <x:c r="Q28" s="51" t="str">
        <x:v>2026-08-15</x:v>
      </x:c>
      <x:c r="R28" s="51" t="str">
        <x:v>C-开放路网计算；不是货车/危运合规路线</x:v>
      </x:c>
      <x:c r="S28" s="51" t="str">
        <x:v>https://routing.openstreetmap.de/routed-car/</x:v>
      </x:c>
    </x:row>
    <x:row r="29">
      <x:c r="A29" s="51" t="str">
        <x:v>A0025</x:v>
      </x:c>
      <x:c r="B29" s="51" t="str">
        <x:v>GD02</x:v>
      </x:c>
      <x:c r="C29" s="51" t="str">
        <x:v>source</x:v>
      </x:c>
      <x:c r="D29" s="51" t="str">
        <x:v>深圳</x:v>
      </x:c>
      <x:c r="E29" s="51" t="str">
        <x:v>C04</x:v>
      </x:c>
      <x:c r="F29" s="51" t="str">
        <x:v>collection</x:v>
      </x:c>
      <x:c r="G29" s="51" t="str">
        <x:v>汕头虚拟回收/检测中心</x:v>
      </x:c>
      <x:c r="H29" s="52" t="n">
        <x:v>340.00628858069996</x:v>
      </x:c>
      <x:c r="I29" s="52" t="n">
        <x:v>331.2585</x:v>
      </x:c>
      <x:c r="J29" s="52" t="n">
        <x:v>229.19833333333332</x:v>
      </x:c>
      <x:c r="K29" s="52" t="n">
        <x:f>IFERROR(I29/H29,"")</x:f>
        <x:v>0.9742716859231747</x:v>
      </x:c>
      <x:c r="L29" s="52" t="n">
        <x:v>150</x:v>
      </x:c>
      <x:c r="M29" s="65" t="n">
        <x:f>IF(H29&lt;=L29,1,0)</x:f>
        <x:v>0</x:v>
      </x:c>
      <x:c r="N29" s="65" t="n">
        <x:f>IF(I29&lt;=L29,1,0)</x:f>
        <x:v>0</x:v>
      </x:c>
      <x:c r="O29" s="51" t="str">
        <x:f>IF(M29=N29,"不变",IF(N29=1,"由禁变允","由允变禁"))</x:f>
        <x:v>不变</x:v>
      </x:c>
      <x:c r="P29" s="51" t="str">
        <x:v>OSRM driving/car</x:v>
      </x:c>
      <x:c r="Q29" s="51" t="str">
        <x:v>2026-08-15</x:v>
      </x:c>
      <x:c r="R29" s="51" t="str">
        <x:v>C-开放路网计算；不是货车/危运合规路线</x:v>
      </x:c>
      <x:c r="S29" s="51" t="str">
        <x:v>https://routing.openstreetmap.de/routed-car/</x:v>
      </x:c>
    </x:row>
    <x:row r="30">
      <x:c r="A30" s="51" t="str">
        <x:v>A0026</x:v>
      </x:c>
      <x:c r="B30" s="51" t="str">
        <x:v>GD02</x:v>
      </x:c>
      <x:c r="C30" s="51" t="str">
        <x:v>source</x:v>
      </x:c>
      <x:c r="D30" s="51" t="str">
        <x:v>深圳</x:v>
      </x:c>
      <x:c r="E30" s="51" t="str">
        <x:v>C05</x:v>
      </x:c>
      <x:c r="F30" s="51" t="str">
        <x:v>collection</x:v>
      </x:c>
      <x:c r="G30" s="51" t="str">
        <x:v>佛山虚拟回收/检测中心</x:v>
      </x:c>
      <x:c r="H30" s="52" t="n">
        <x:v>132.00168158093638</x:v>
      </x:c>
      <x:c r="I30" s="52" t="n">
        <x:v>132.89079999999998</x:v>
      </x:c>
      <x:c r="J30" s="52" t="n">
        <x:v>100.74833333333332</x:v>
      </x:c>
      <x:c r="K30" s="52" t="n">
        <x:f>IFERROR(I30/H30,"")</x:f>
        <x:v>1.0067356597917159</x:v>
      </x:c>
      <x:c r="L30" s="52" t="n">
        <x:v>150</x:v>
      </x:c>
      <x:c r="M30" s="65" t="n">
        <x:f>IF(H30&lt;=L30,1,0)</x:f>
        <x:v>1</x:v>
      </x:c>
      <x:c r="N30" s="65" t="n">
        <x:f>IF(I30&lt;=L30,1,0)</x:f>
        <x:v>1</x:v>
      </x:c>
      <x:c r="O30" s="51" t="str">
        <x:f>IF(M30=N30,"不变",IF(N30=1,"由禁变允","由允变禁"))</x:f>
        <x:v>不变</x:v>
      </x:c>
      <x:c r="P30" s="51" t="str">
        <x:v>OSRM driving/car</x:v>
      </x:c>
      <x:c r="Q30" s="51" t="str">
        <x:v>2026-08-15</x:v>
      </x:c>
      <x:c r="R30" s="51" t="str">
        <x:v>C-开放路网计算；不是货车/危运合规路线</x:v>
      </x:c>
      <x:c r="S30" s="51" t="str">
        <x:v>https://routing.openstreetmap.de/routed-car/</x:v>
      </x:c>
    </x:row>
    <x:row r="31">
      <x:c r="A31" s="51" t="str">
        <x:v>A0027</x:v>
      </x:c>
      <x:c r="B31" s="51" t="str">
        <x:v>GD02</x:v>
      </x:c>
      <x:c r="C31" s="51" t="str">
        <x:v>source</x:v>
      </x:c>
      <x:c r="D31" s="51" t="str">
        <x:v>深圳</x:v>
      </x:c>
      <x:c r="E31" s="51" t="str">
        <x:v>C06</x:v>
      </x:c>
      <x:c r="F31" s="51" t="str">
        <x:v>collection</x:v>
      </x:c>
      <x:c r="G31" s="51" t="str">
        <x:v>韶关虚拟回收/检测中心</x:v>
      </x:c>
      <x:c r="H31" s="52" t="n">
        <x:v>306.47442199910176</x:v>
      </x:c>
      <x:c r="I31" s="52" t="n">
        <x:v>337.2787</x:v>
      </x:c>
      <x:c r="J31" s="52" t="n">
        <x:v>235.21666666666667</x:v>
      </x:c>
      <x:c r="K31" s="52" t="n">
        <x:f>IFERROR(I31/H31,"")</x:f>
        <x:v>1.1005117418933856</x:v>
      </x:c>
      <x:c r="L31" s="52" t="n">
        <x:v>150</x:v>
      </x:c>
      <x:c r="M31" s="65" t="n">
        <x:f>IF(H31&lt;=L31,1,0)</x:f>
        <x:v>0</x:v>
      </x:c>
      <x:c r="N31" s="65" t="n">
        <x:f>IF(I31&lt;=L31,1,0)</x:f>
        <x:v>0</x:v>
      </x:c>
      <x:c r="O31" s="51" t="str">
        <x:f>IF(M31=N31,"不变",IF(N31=1,"由禁变允","由允变禁"))</x:f>
        <x:v>不变</x:v>
      </x:c>
      <x:c r="P31" s="51" t="str">
        <x:v>OSRM driving/car</x:v>
      </x:c>
      <x:c r="Q31" s="51" t="str">
        <x:v>2026-08-15</x:v>
      </x:c>
      <x:c r="R31" s="51" t="str">
        <x:v>C-开放路网计算；不是货车/危运合规路线</x:v>
      </x:c>
      <x:c r="S31" s="51" t="str">
        <x:v>https://routing.openstreetmap.de/routed-car/</x:v>
      </x:c>
    </x:row>
    <x:row r="32">
      <x:c r="A32" s="51" t="str">
        <x:v>A0028</x:v>
      </x:c>
      <x:c r="B32" s="51" t="str">
        <x:v>GD02</x:v>
      </x:c>
      <x:c r="C32" s="51" t="str">
        <x:v>source</x:v>
      </x:c>
      <x:c r="D32" s="51" t="str">
        <x:v>深圳</x:v>
      </x:c>
      <x:c r="E32" s="51" t="str">
        <x:v>C07</x:v>
      </x:c>
      <x:c r="F32" s="51" t="str">
        <x:v>collection</x:v>
      </x:c>
      <x:c r="G32" s="51" t="str">
        <x:v>河源虚拟回收/检测中心</x:v>
      </x:c>
      <x:c r="H32" s="52" t="n">
        <x:v>241.38401680373065</x:v>
      </x:c>
      <x:c r="I32" s="52" t="n">
        <x:v>251.40970000000002</x:v>
      </x:c>
      <x:c r="J32" s="52" t="n">
        <x:v>196.81666666666666</x:v>
      </x:c>
      <x:c r="K32" s="52" t="n">
        <x:f>IFERROR(I32/H32,"")</x:f>
        <x:v>1.0415341634008073</x:v>
      </x:c>
      <x:c r="L32" s="52" t="n">
        <x:v>150</x:v>
      </x:c>
      <x:c r="M32" s="65" t="n">
        <x:f>IF(H32&lt;=L32,1,0)</x:f>
        <x:v>0</x:v>
      </x:c>
      <x:c r="N32" s="65" t="n">
        <x:f>IF(I32&lt;=L32,1,0)</x:f>
        <x:v>0</x:v>
      </x:c>
      <x:c r="O32" s="51" t="str">
        <x:f>IF(M32=N32,"不变",IF(N32=1,"由禁变允","由允变禁"))</x:f>
        <x:v>不变</x:v>
      </x:c>
      <x:c r="P32" s="51" t="str">
        <x:v>OSRM driving/car</x:v>
      </x:c>
      <x:c r="Q32" s="51" t="str">
        <x:v>2026-08-15</x:v>
      </x:c>
      <x:c r="R32" s="51" t="str">
        <x:v>C-开放路网计算；不是货车/危运合规路线</x:v>
      </x:c>
      <x:c r="S32" s="51" t="str">
        <x:v>https://routing.openstreetmap.de/routed-car/</x:v>
      </x:c>
    </x:row>
    <x:row r="33">
      <x:c r="A33" s="51" t="str">
        <x:v>A0029</x:v>
      </x:c>
      <x:c r="B33" s="51" t="str">
        <x:v>GD02</x:v>
      </x:c>
      <x:c r="C33" s="51" t="str">
        <x:v>source</x:v>
      </x:c>
      <x:c r="D33" s="51" t="str">
        <x:v>深圳</x:v>
      </x:c>
      <x:c r="E33" s="51" t="str">
        <x:v>C08</x:v>
      </x:c>
      <x:c r="F33" s="51" t="str">
        <x:v>collection</x:v>
      </x:c>
      <x:c r="G33" s="51" t="str">
        <x:v>梅州虚拟回收/检测中心</x:v>
      </x:c>
      <x:c r="H33" s="52" t="n">
        <x:v>343.699494537765</x:v>
      </x:c>
      <x:c r="I33" s="52" t="n">
        <x:v>344.454</x:v>
      </x:c>
      <x:c r="J33" s="52" t="n">
        <x:v>250.01666666666668</x:v>
      </x:c>
      <x:c r="K33" s="52" t="n">
        <x:f>IFERROR(I33/H33,"")</x:f>
        <x:v>1.0021952475177471</x:v>
      </x:c>
      <x:c r="L33" s="52" t="n">
        <x:v>150</x:v>
      </x:c>
      <x:c r="M33" s="65" t="n">
        <x:f>IF(H33&lt;=L33,1,0)</x:f>
        <x:v>0</x:v>
      </x:c>
      <x:c r="N33" s="65" t="n">
        <x:f>IF(I33&lt;=L33,1,0)</x:f>
        <x:v>0</x:v>
      </x:c>
      <x:c r="O33" s="51" t="str">
        <x:f>IF(M33=N33,"不变",IF(N33=1,"由禁变允","由允变禁"))</x:f>
        <x:v>不变</x:v>
      </x:c>
      <x:c r="P33" s="51" t="str">
        <x:v>OSRM driving/car</x:v>
      </x:c>
      <x:c r="Q33" s="51" t="str">
        <x:v>2026-08-15</x:v>
      </x:c>
      <x:c r="R33" s="51" t="str">
        <x:v>C-开放路网计算；不是货车/危运合规路线</x:v>
      </x:c>
      <x:c r="S33" s="51" t="str">
        <x:v>https://routing.openstreetmap.de/routed-car/</x:v>
      </x:c>
    </x:row>
    <x:row r="34">
      <x:c r="A34" s="51" t="str">
        <x:v>A0030</x:v>
      </x:c>
      <x:c r="B34" s="51" t="str">
        <x:v>GD02</x:v>
      </x:c>
      <x:c r="C34" s="51" t="str">
        <x:v>source</x:v>
      </x:c>
      <x:c r="D34" s="51" t="str">
        <x:v>深圳</x:v>
      </x:c>
      <x:c r="E34" s="51" t="str">
        <x:v>C09</x:v>
      </x:c>
      <x:c r="F34" s="51" t="str">
        <x:v>collection</x:v>
      </x:c>
      <x:c r="G34" s="51" t="str">
        <x:v>惠州虚拟回收/检测中心</x:v>
      </x:c>
      <x:c r="H34" s="52" t="n">
        <x:v>87.65338268455065</x:v>
      </x:c>
      <x:c r="I34" s="52" t="n">
        <x:v>88.19930000000001</x:v>
      </x:c>
      <x:c r="J34" s="52" t="n">
        <x:v>71.375</x:v>
      </x:c>
      <x:c r="K34" s="52" t="n">
        <x:f>IFERROR(I34/H34,"")</x:f>
        <x:v>1.0062281374515119</x:v>
      </x:c>
      <x:c r="L34" s="52" t="n">
        <x:v>150</x:v>
      </x:c>
      <x:c r="M34" s="65" t="n">
        <x:f>IF(H34&lt;=L34,1,0)</x:f>
        <x:v>1</x:v>
      </x:c>
      <x:c r="N34" s="65" t="n">
        <x:f>IF(I34&lt;=L34,1,0)</x:f>
        <x:v>1</x:v>
      </x:c>
      <x:c r="O34" s="51" t="str">
        <x:f>IF(M34=N34,"不变",IF(N34=1,"由禁变允","由允变禁"))</x:f>
        <x:v>不变</x:v>
      </x:c>
      <x:c r="P34" s="51" t="str">
        <x:v>OSRM driving/car</x:v>
      </x:c>
      <x:c r="Q34" s="51" t="str">
        <x:v>2026-08-15</x:v>
      </x:c>
      <x:c r="R34" s="51" t="str">
        <x:v>C-开放路网计算；不是货车/危运合规路线</x:v>
      </x:c>
      <x:c r="S34" s="51" t="str">
        <x:v>https://routing.openstreetmap.de/routed-car/</x:v>
      </x:c>
    </x:row>
    <x:row r="35">
      <x:c r="A35" s="51" t="str">
        <x:v>A0031</x:v>
      </x:c>
      <x:c r="B35" s="51" t="str">
        <x:v>GD02</x:v>
      </x:c>
      <x:c r="C35" s="51" t="str">
        <x:v>source</x:v>
      </x:c>
      <x:c r="D35" s="51" t="str">
        <x:v>深圳</x:v>
      </x:c>
      <x:c r="E35" s="51" t="str">
        <x:v>C10</x:v>
      </x:c>
      <x:c r="F35" s="51" t="str">
        <x:v>collection</x:v>
      </x:c>
      <x:c r="G35" s="51" t="str">
        <x:v>汕尾虚拟回收/检测中心</x:v>
      </x:c>
      <x:c r="H35" s="52" t="n">
        <x:v>189.62625214547197</x:v>
      </x:c>
      <x:c r="I35" s="52" t="n">
        <x:v>186.97289999999998</x:v>
      </x:c>
      <x:c r="J35" s="52" t="n">
        <x:v>148.00833333333333</x:v>
      </x:c>
      <x:c r="K35" s="52" t="n">
        <x:f>IFERROR(I35/H35,"")</x:f>
        <x:v>0.9860074640749823</x:v>
      </x:c>
      <x:c r="L35" s="52" t="n">
        <x:v>150</x:v>
      </x:c>
      <x:c r="M35" s="65" t="n">
        <x:f>IF(H35&lt;=L35,1,0)</x:f>
        <x:v>0</x:v>
      </x:c>
      <x:c r="N35" s="65" t="n">
        <x:f>IF(I35&lt;=L35,1,0)</x:f>
        <x:v>0</x:v>
      </x:c>
      <x:c r="O35" s="51" t="str">
        <x:f>IF(M35=N35,"不变",IF(N35=1,"由禁变允","由允变禁"))</x:f>
        <x:v>不变</x:v>
      </x:c>
      <x:c r="P35" s="51" t="str">
        <x:v>OSRM driving/car</x:v>
      </x:c>
      <x:c r="Q35" s="51" t="str">
        <x:v>2026-08-15</x:v>
      </x:c>
      <x:c r="R35" s="51" t="str">
        <x:v>C-开放路网计算；不是货车/危运合规路线</x:v>
      </x:c>
      <x:c r="S35" s="51" t="str">
        <x:v>https://routing.openstreetmap.de/routed-car/</x:v>
      </x:c>
    </x:row>
    <x:row r="36">
      <x:c r="A36" s="51" t="str">
        <x:v>A0032</x:v>
      </x:c>
      <x:c r="B36" s="51" t="str">
        <x:v>GD02</x:v>
      </x:c>
      <x:c r="C36" s="51" t="str">
        <x:v>source</x:v>
      </x:c>
      <x:c r="D36" s="51" t="str">
        <x:v>深圳</x:v>
      </x:c>
      <x:c r="E36" s="51" t="str">
        <x:v>C11</x:v>
      </x:c>
      <x:c r="F36" s="51" t="str">
        <x:v>collection</x:v>
      </x:c>
      <x:c r="G36" s="51" t="str">
        <x:v>东莞虚拟回收/检测中心</x:v>
      </x:c>
      <x:c r="H36" s="52" t="n">
        <x:v>73.7874966555125</x:v>
      </x:c>
      <x:c r="I36" s="52" t="n">
        <x:v>74.1049</x:v>
      </x:c>
      <x:c r="J36" s="52" t="n">
        <x:v>55.56333333333334</x:v>
      </x:c>
      <x:c r="K36" s="52" t="n">
        <x:f>IFERROR(I36/H36,"")</x:f>
        <x:v>1.004301587109932</x:v>
      </x:c>
      <x:c r="L36" s="52" t="n">
        <x:v>150</x:v>
      </x:c>
      <x:c r="M36" s="65" t="n">
        <x:f>IF(H36&lt;=L36,1,0)</x:f>
        <x:v>1</x:v>
      </x:c>
      <x:c r="N36" s="65" t="n">
        <x:f>IF(I36&lt;=L36,1,0)</x:f>
        <x:v>1</x:v>
      </x:c>
      <x:c r="O36" s="51" t="str">
        <x:f>IF(M36=N36,"不变",IF(N36=1,"由禁变允","由允变禁"))</x:f>
        <x:v>不变</x:v>
      </x:c>
      <x:c r="P36" s="51" t="str">
        <x:v>OSRM driving/car</x:v>
      </x:c>
      <x:c r="Q36" s="51" t="str">
        <x:v>2026-08-15</x:v>
      </x:c>
      <x:c r="R36" s="51" t="str">
        <x:v>C-开放路网计算；不是货车/危运合规路线</x:v>
      </x:c>
      <x:c r="S36" s="51" t="str">
        <x:v>https://routing.openstreetmap.de/routed-car/</x:v>
      </x:c>
    </x:row>
    <x:row r="37">
      <x:c r="A37" s="51" t="str">
        <x:v>A0033</x:v>
      </x:c>
      <x:c r="B37" s="51" t="str">
        <x:v>GD02</x:v>
      </x:c>
      <x:c r="C37" s="51" t="str">
        <x:v>source</x:v>
      </x:c>
      <x:c r="D37" s="51" t="str">
        <x:v>深圳</x:v>
      </x:c>
      <x:c r="E37" s="51" t="str">
        <x:v>C12</x:v>
      </x:c>
      <x:c r="F37" s="51" t="str">
        <x:v>collection</x:v>
      </x:c>
      <x:c r="G37" s="51" t="str">
        <x:v>中山虚拟回收/检测中心</x:v>
      </x:c>
      <x:c r="H37" s="52" t="n">
        <x:v>82.31192214368541</x:v>
      </x:c>
      <x:c r="I37" s="52" t="n">
        <x:v>86.1462</x:v>
      </x:c>
      <x:c r="J37" s="52" t="n">
        <x:v>68.85333333333332</x:v>
      </x:c>
      <x:c r="K37" s="52" t="n">
        <x:f>IFERROR(I37/H37,"")</x:f>
        <x:v>1.046582290346973</x:v>
      </x:c>
      <x:c r="L37" s="52" t="n">
        <x:v>150</x:v>
      </x:c>
      <x:c r="M37" s="65" t="n">
        <x:f>IF(H37&lt;=L37,1,0)</x:f>
        <x:v>1</x:v>
      </x:c>
      <x:c r="N37" s="65" t="n">
        <x:f>IF(I37&lt;=L37,1,0)</x:f>
        <x:v>1</x:v>
      </x:c>
      <x:c r="O37" s="51" t="str">
        <x:f>IF(M37=N37,"不变",IF(N37=1,"由禁变允","由允变禁"))</x:f>
        <x:v>不变</x:v>
      </x:c>
      <x:c r="P37" s="51" t="str">
        <x:v>OSRM driving/car</x:v>
      </x:c>
      <x:c r="Q37" s="51" t="str">
        <x:v>2026-08-15</x:v>
      </x:c>
      <x:c r="R37" s="51" t="str">
        <x:v>C-开放路网计算；不是货车/危运合规路线</x:v>
      </x:c>
      <x:c r="S37" s="51" t="str">
        <x:v>https://routing.openstreetmap.de/routed-car/</x:v>
      </x:c>
    </x:row>
    <x:row r="38">
      <x:c r="A38" s="51" t="str">
        <x:v>A0034</x:v>
      </x:c>
      <x:c r="B38" s="51" t="str">
        <x:v>GD02</x:v>
      </x:c>
      <x:c r="C38" s="51" t="str">
        <x:v>source</x:v>
      </x:c>
      <x:c r="D38" s="51" t="str">
        <x:v>深圳</x:v>
      </x:c>
      <x:c r="E38" s="51" t="str">
        <x:v>C13</x:v>
      </x:c>
      <x:c r="F38" s="51" t="str">
        <x:v>collection</x:v>
      </x:c>
      <x:c r="G38" s="51" t="str">
        <x:v>江门虚拟回收/检测中心</x:v>
      </x:c>
      <x:c r="H38" s="52" t="n">
        <x:v>120.66466151382667</x:v>
      </x:c>
      <x:c r="I38" s="52" t="n">
        <x:v>120.5209</x:v>
      </x:c>
      <x:c r="J38" s="52" t="n">
        <x:v>93.03999999999999</x:v>
      </x:c>
      <x:c r="K38" s="52" t="n">
        <x:f>IFERROR(I38/H38,"")</x:f>
        <x:v>0.9988085864409424</x:v>
      </x:c>
      <x:c r="L38" s="52" t="n">
        <x:v>150</x:v>
      </x:c>
      <x:c r="M38" s="65" t="n">
        <x:f>IF(H38&lt;=L38,1,0)</x:f>
        <x:v>1</x:v>
      </x:c>
      <x:c r="N38" s="65" t="n">
        <x:f>IF(I38&lt;=L38,1,0)</x:f>
        <x:v>1</x:v>
      </x:c>
      <x:c r="O38" s="51" t="str">
        <x:f>IF(M38=N38,"不变",IF(N38=1,"由禁变允","由允变禁"))</x:f>
        <x:v>不变</x:v>
      </x:c>
      <x:c r="P38" s="51" t="str">
        <x:v>OSRM driving/car</x:v>
      </x:c>
      <x:c r="Q38" s="51" t="str">
        <x:v>2026-08-15</x:v>
      </x:c>
      <x:c r="R38" s="51" t="str">
        <x:v>C-开放路网计算；不是货车/危运合规路线</x:v>
      </x:c>
      <x:c r="S38" s="51" t="str">
        <x:v>https://routing.openstreetmap.de/routed-car/</x:v>
      </x:c>
    </x:row>
    <x:row r="39">
      <x:c r="A39" s="51" t="str">
        <x:v>A0035</x:v>
      </x:c>
      <x:c r="B39" s="51" t="str">
        <x:v>GD02</x:v>
      </x:c>
      <x:c r="C39" s="51" t="str">
        <x:v>source</x:v>
      </x:c>
      <x:c r="D39" s="51" t="str">
        <x:v>深圳</x:v>
      </x:c>
      <x:c r="E39" s="51" t="str">
        <x:v>C14</x:v>
      </x:c>
      <x:c r="F39" s="51" t="str">
        <x:v>collection</x:v>
      </x:c>
      <x:c r="G39" s="51" t="str">
        <x:v>阳江虚拟回收/检测中心</x:v>
      </x:c>
      <x:c r="H39" s="52" t="n">
        <x:v>286.6932251227238</x:v>
      </x:c>
      <x:c r="I39" s="52" t="n">
        <x:v>293.0269</x:v>
      </x:c>
      <x:c r="J39" s="52" t="n">
        <x:v>207.39166666666668</x:v>
      </x:c>
      <x:c r="K39" s="52" t="n">
        <x:f>IFERROR(I39/H39,"")</x:f>
        <x:v>1.0220921679421096</x:v>
      </x:c>
      <x:c r="L39" s="52" t="n">
        <x:v>150</x:v>
      </x:c>
      <x:c r="M39" s="65" t="n">
        <x:f>IF(H39&lt;=L39,1,0)</x:f>
        <x:v>0</x:v>
      </x:c>
      <x:c r="N39" s="65" t="n">
        <x:f>IF(I39&lt;=L39,1,0)</x:f>
        <x:v>0</x:v>
      </x:c>
      <x:c r="O39" s="51" t="str">
        <x:f>IF(M39=N39,"不变",IF(N39=1,"由禁变允","由允变禁"))</x:f>
        <x:v>不变</x:v>
      </x:c>
      <x:c r="P39" s="51" t="str">
        <x:v>OSRM driving/car</x:v>
      </x:c>
      <x:c r="Q39" s="51" t="str">
        <x:v>2026-08-15</x:v>
      </x:c>
      <x:c r="R39" s="51" t="str">
        <x:v>C-开放路网计算；不是货车/危运合规路线</x:v>
      </x:c>
      <x:c r="S39" s="51" t="str">
        <x:v>https://routing.openstreetmap.de/routed-car/</x:v>
      </x:c>
    </x:row>
    <x:row r="40">
      <x:c r="A40" s="51" t="str">
        <x:v>A0036</x:v>
      </x:c>
      <x:c r="B40" s="51" t="str">
        <x:v>GD02</x:v>
      </x:c>
      <x:c r="C40" s="51" t="str">
        <x:v>source</x:v>
      </x:c>
      <x:c r="D40" s="51" t="str">
        <x:v>深圳</x:v>
      </x:c>
      <x:c r="E40" s="51" t="str">
        <x:v>C15</x:v>
      </x:c>
      <x:c r="F40" s="51" t="str">
        <x:v>collection</x:v>
      </x:c>
      <x:c r="G40" s="51" t="str">
        <x:v>湛江虚拟回收/检测中心</x:v>
      </x:c>
      <x:c r="H40" s="52" t="n">
        <x:v>488.3737657884904</x:v>
      </x:c>
      <x:c r="I40" s="52" t="n">
        <x:v>464.8096</x:v>
      </x:c>
      <x:c r="J40" s="52" t="n">
        <x:v>317.76500000000004</x:v>
      </x:c>
      <x:c r="K40" s="52" t="n">
        <x:f>IFERROR(I40/H40,"")</x:f>
        <x:v>0.9517497305563792</x:v>
      </x:c>
      <x:c r="L40" s="52" t="n">
        <x:v>150</x:v>
      </x:c>
      <x:c r="M40" s="65" t="n">
        <x:f>IF(H40&lt;=L40,1,0)</x:f>
        <x:v>0</x:v>
      </x:c>
      <x:c r="N40" s="65" t="n">
        <x:f>IF(I40&lt;=L40,1,0)</x:f>
        <x:v>0</x:v>
      </x:c>
      <x:c r="O40" s="51" t="str">
        <x:f>IF(M40=N40,"不变",IF(N40=1,"由禁变允","由允变禁"))</x:f>
        <x:v>不变</x:v>
      </x:c>
      <x:c r="P40" s="51" t="str">
        <x:v>OSRM driving/car</x:v>
      </x:c>
      <x:c r="Q40" s="51" t="str">
        <x:v>2026-08-15</x:v>
      </x:c>
      <x:c r="R40" s="51" t="str">
        <x:v>C-开放路网计算；不是货车/危运合规路线</x:v>
      </x:c>
      <x:c r="S40" s="51" t="str">
        <x:v>https://routing.openstreetmap.de/routed-car/</x:v>
      </x:c>
    </x:row>
    <x:row r="41">
      <x:c r="A41" s="51" t="str">
        <x:v>A0037</x:v>
      </x:c>
      <x:c r="B41" s="51" t="str">
        <x:v>GD02</x:v>
      </x:c>
      <x:c r="C41" s="51" t="str">
        <x:v>source</x:v>
      </x:c>
      <x:c r="D41" s="51" t="str">
        <x:v>深圳</x:v>
      </x:c>
      <x:c r="E41" s="51" t="str">
        <x:v>C16</x:v>
      </x:c>
      <x:c r="F41" s="51" t="str">
        <x:v>collection</x:v>
      </x:c>
      <x:c r="G41" s="51" t="str">
        <x:v>茂名虚拟回收/检测中心</x:v>
      </x:c>
      <x:c r="H41" s="52" t="n">
        <x:v>404.74229830480357</x:v>
      </x:c>
      <x:c r="I41" s="52" t="n">
        <x:v>384.0603</x:v>
      </x:c>
      <x:c r="J41" s="52" t="n">
        <x:v>266.68</x:v>
      </x:c>
      <x:c r="K41" s="52" t="n">
        <x:f>IFERROR(I41/H41,"")</x:f>
        <x:v>0.9489008230881064</x:v>
      </x:c>
      <x:c r="L41" s="52" t="n">
        <x:v>150</x:v>
      </x:c>
      <x:c r="M41" s="65" t="n">
        <x:f>IF(H41&lt;=L41,1,0)</x:f>
        <x:v>0</x:v>
      </x:c>
      <x:c r="N41" s="65" t="n">
        <x:f>IF(I41&lt;=L41,1,0)</x:f>
        <x:v>0</x:v>
      </x:c>
      <x:c r="O41" s="51" t="str">
        <x:f>IF(M41=N41,"不变",IF(N41=1,"由禁变允","由允变禁"))</x:f>
        <x:v>不变</x:v>
      </x:c>
      <x:c r="P41" s="51" t="str">
        <x:v>OSRM driving/car</x:v>
      </x:c>
      <x:c r="Q41" s="51" t="str">
        <x:v>2026-08-15</x:v>
      </x:c>
      <x:c r="R41" s="51" t="str">
        <x:v>C-开放路网计算；不是货车/危运合规路线</x:v>
      </x:c>
      <x:c r="S41" s="51" t="str">
        <x:v>https://routing.openstreetmap.de/routed-car/</x:v>
      </x:c>
    </x:row>
    <x:row r="42">
      <x:c r="A42" s="51" t="str">
        <x:v>A0038</x:v>
      </x:c>
      <x:c r="B42" s="51" t="str">
        <x:v>GD02</x:v>
      </x:c>
      <x:c r="C42" s="51" t="str">
        <x:v>source</x:v>
      </x:c>
      <x:c r="D42" s="51" t="str">
        <x:v>深圳</x:v>
      </x:c>
      <x:c r="E42" s="51" t="str">
        <x:v>C17</x:v>
      </x:c>
      <x:c r="F42" s="51" t="str">
        <x:v>collection</x:v>
      </x:c>
      <x:c r="G42" s="51" t="str">
        <x:v>肇庆虚拟回收/检测中心</x:v>
      </x:c>
      <x:c r="H42" s="52" t="n">
        <x:v>207.3785732131572</x:v>
      </x:c>
      <x:c r="I42" s="52" t="n">
        <x:v>216.95839999999998</x:v>
      </x:c>
      <x:c r="J42" s="52" t="n">
        <x:v>159.94</x:v>
      </x:c>
      <x:c r="K42" s="52" t="n">
        <x:f>IFERROR(I42/H42,"")</x:f>
        <x:v>1.0461948726833799</x:v>
      </x:c>
      <x:c r="L42" s="52" t="n">
        <x:v>150</x:v>
      </x:c>
      <x:c r="M42" s="65" t="n">
        <x:f>IF(H42&lt;=L42,1,0)</x:f>
        <x:v>0</x:v>
      </x:c>
      <x:c r="N42" s="65" t="n">
        <x:f>IF(I42&lt;=L42,1,0)</x:f>
        <x:v>0</x:v>
      </x:c>
      <x:c r="O42" s="51" t="str">
        <x:f>IF(M42=N42,"不变",IF(N42=1,"由禁变允","由允变禁"))</x:f>
        <x:v>不变</x:v>
      </x:c>
      <x:c r="P42" s="51" t="str">
        <x:v>OSRM driving/car</x:v>
      </x:c>
      <x:c r="Q42" s="51" t="str">
        <x:v>2026-08-15</x:v>
      </x:c>
      <x:c r="R42" s="51" t="str">
        <x:v>C-开放路网计算；不是货车/危运合规路线</x:v>
      </x:c>
      <x:c r="S42" s="51" t="str">
        <x:v>https://routing.openstreetmap.de/routed-car/</x:v>
      </x:c>
    </x:row>
    <x:row r="43">
      <x:c r="A43" s="51" t="str">
        <x:v>A0039</x:v>
      </x:c>
      <x:c r="B43" s="51" t="str">
        <x:v>GD02</x:v>
      </x:c>
      <x:c r="C43" s="51" t="str">
        <x:v>source</x:v>
      </x:c>
      <x:c r="D43" s="51" t="str">
        <x:v>深圳</x:v>
      </x:c>
      <x:c r="E43" s="51" t="str">
        <x:v>C18</x:v>
      </x:c>
      <x:c r="F43" s="51" t="str">
        <x:v>collection</x:v>
      </x:c>
      <x:c r="G43" s="51" t="str">
        <x:v>清远虚拟回收/检测中心</x:v>
      </x:c>
      <x:c r="H43" s="52" t="n">
        <x:v>195.61734579697602</x:v>
      </x:c>
      <x:c r="I43" s="52" t="n">
        <x:v>200.8077</x:v>
      </x:c>
      <x:c r="J43" s="52" t="n">
        <x:v>143.95166666666668</x:v>
      </x:c>
      <x:c r="K43" s="52" t="n">
        <x:f>IFERROR(I43/H43,"")</x:f>
        <x:v>1.0265332002224938</x:v>
      </x:c>
      <x:c r="L43" s="52" t="n">
        <x:v>150</x:v>
      </x:c>
      <x:c r="M43" s="65" t="n">
        <x:f>IF(H43&lt;=L43,1,0)</x:f>
        <x:v>0</x:v>
      </x:c>
      <x:c r="N43" s="65" t="n">
        <x:f>IF(I43&lt;=L43,1,0)</x:f>
        <x:v>0</x:v>
      </x:c>
      <x:c r="O43" s="51" t="str">
        <x:f>IF(M43=N43,"不变",IF(N43=1,"由禁变允","由允变禁"))</x:f>
        <x:v>不变</x:v>
      </x:c>
      <x:c r="P43" s="51" t="str">
        <x:v>OSRM driving/car</x:v>
      </x:c>
      <x:c r="Q43" s="51" t="str">
        <x:v>2026-08-15</x:v>
      </x:c>
      <x:c r="R43" s="51" t="str">
        <x:v>C-开放路网计算；不是货车/危运合规路线</x:v>
      </x:c>
      <x:c r="S43" s="51" t="str">
        <x:v>https://routing.openstreetmap.de/routed-car/</x:v>
      </x:c>
    </x:row>
    <x:row r="44">
      <x:c r="A44" s="51" t="str">
        <x:v>A0040</x:v>
      </x:c>
      <x:c r="B44" s="51" t="str">
        <x:v>GD02</x:v>
      </x:c>
      <x:c r="C44" s="51" t="str">
        <x:v>source</x:v>
      </x:c>
      <x:c r="D44" s="51" t="str">
        <x:v>深圳</x:v>
      </x:c>
      <x:c r="E44" s="51" t="str">
        <x:v>C19</x:v>
      </x:c>
      <x:c r="F44" s="51" t="str">
        <x:v>collection</x:v>
      </x:c>
      <x:c r="G44" s="51" t="str">
        <x:v>潮州虚拟回收/检测中心</x:v>
      </x:c>
      <x:c r="H44" s="52" t="n">
        <x:v>348.1177194815358</x:v>
      </x:c>
      <x:c r="I44" s="52" t="n">
        <x:v>338.5757</x:v>
      </x:c>
      <x:c r="J44" s="52" t="n">
        <x:v>236.155</x:v>
      </x:c>
      <x:c r="K44" s="52" t="n">
        <x:f>IFERROR(I44/H44,"")</x:f>
        <x:v>0.9725896759988343</x:v>
      </x:c>
      <x:c r="L44" s="52" t="n">
        <x:v>150</x:v>
      </x:c>
      <x:c r="M44" s="65" t="n">
        <x:f>IF(H44&lt;=L44,1,0)</x:f>
        <x:v>0</x:v>
      </x:c>
      <x:c r="N44" s="65" t="n">
        <x:f>IF(I44&lt;=L44,1,0)</x:f>
        <x:v>0</x:v>
      </x:c>
      <x:c r="O44" s="51" t="str">
        <x:f>IF(M44=N44,"不变",IF(N44=1,"由禁变允","由允变禁"))</x:f>
        <x:v>不变</x:v>
      </x:c>
      <x:c r="P44" s="51" t="str">
        <x:v>OSRM driving/car</x:v>
      </x:c>
      <x:c r="Q44" s="51" t="str">
        <x:v>2026-08-15</x:v>
      </x:c>
      <x:c r="R44" s="51" t="str">
        <x:v>C-开放路网计算；不是货车/危运合规路线</x:v>
      </x:c>
      <x:c r="S44" s="51" t="str">
        <x:v>https://routing.openstreetmap.de/routed-car/</x:v>
      </x:c>
    </x:row>
    <x:row r="45">
      <x:c r="A45" s="51" t="str">
        <x:v>A0041</x:v>
      </x:c>
      <x:c r="B45" s="51" t="str">
        <x:v>GD02</x:v>
      </x:c>
      <x:c r="C45" s="51" t="str">
        <x:v>source</x:v>
      </x:c>
      <x:c r="D45" s="51" t="str">
        <x:v>深圳</x:v>
      </x:c>
      <x:c r="E45" s="51" t="str">
        <x:v>C20</x:v>
      </x:c>
      <x:c r="F45" s="51" t="str">
        <x:v>collection</x:v>
      </x:c>
      <x:c r="G45" s="51" t="str">
        <x:v>揭阳虚拟回收/检测中心</x:v>
      </x:c>
      <x:c r="H45" s="52" t="n">
        <x:v>314.31523480563175</x:v>
      </x:c>
      <x:c r="I45" s="52" t="n">
        <x:v>305.6601</x:v>
      </x:c>
      <x:c r="J45" s="52" t="n">
        <x:v>218.13333333333333</x:v>
      </x:c>
      <x:c r="K45" s="52" t="n">
        <x:f>IFERROR(I45/H45,"")</x:f>
        <x:v>0.9724635211812627</x:v>
      </x:c>
      <x:c r="L45" s="52" t="n">
        <x:v>150</x:v>
      </x:c>
      <x:c r="M45" s="65" t="n">
        <x:f>IF(H45&lt;=L45,1,0)</x:f>
        <x:v>0</x:v>
      </x:c>
      <x:c r="N45" s="65" t="n">
        <x:f>IF(I45&lt;=L45,1,0)</x:f>
        <x:v>0</x:v>
      </x:c>
      <x:c r="O45" s="51" t="str">
        <x:f>IF(M45=N45,"不变",IF(N45=1,"由禁变允","由允变禁"))</x:f>
        <x:v>不变</x:v>
      </x:c>
      <x:c r="P45" s="51" t="str">
        <x:v>OSRM driving/car</x:v>
      </x:c>
      <x:c r="Q45" s="51" t="str">
        <x:v>2026-08-15</x:v>
      </x:c>
      <x:c r="R45" s="51" t="str">
        <x:v>C-开放路网计算；不是货车/危运合规路线</x:v>
      </x:c>
      <x:c r="S45" s="51" t="str">
        <x:v>https://routing.openstreetmap.de/routed-car/</x:v>
      </x:c>
    </x:row>
    <x:row r="46">
      <x:c r="A46" s="51" t="str">
        <x:v>A0042</x:v>
      </x:c>
      <x:c r="B46" s="51" t="str">
        <x:v>GD02</x:v>
      </x:c>
      <x:c r="C46" s="51" t="str">
        <x:v>source</x:v>
      </x:c>
      <x:c r="D46" s="51" t="str">
        <x:v>深圳</x:v>
      </x:c>
      <x:c r="E46" s="51" t="str">
        <x:v>C21</x:v>
      </x:c>
      <x:c r="F46" s="51" t="str">
        <x:v>collection</x:v>
      </x:c>
      <x:c r="G46" s="51" t="str">
        <x:v>云浮虚拟回收/检测中心</x:v>
      </x:c>
      <x:c r="H46" s="52" t="n">
        <x:v>279.6377737499675</x:v>
      </x:c>
      <x:c r="I46" s="52" t="n">
        <x:v>285.43109999999996</x:v>
      </x:c>
      <x:c r="J46" s="52" t="n">
        <x:v>207.16833333333335</x:v>
      </x:c>
      <x:c r="K46" s="52" t="n">
        <x:f>IFERROR(I46/H46,"")</x:f>
        <x:v>1.0207172520805878</x:v>
      </x:c>
      <x:c r="L46" s="52" t="n">
        <x:v>150</x:v>
      </x:c>
      <x:c r="M46" s="65" t="n">
        <x:f>IF(H46&lt;=L46,1,0)</x:f>
        <x:v>0</x:v>
      </x:c>
      <x:c r="N46" s="65" t="n">
        <x:f>IF(I46&lt;=L46,1,0)</x:f>
        <x:v>0</x:v>
      </x:c>
      <x:c r="O46" s="51" t="str">
        <x:f>IF(M46=N46,"不变",IF(N46=1,"由禁变允","由允变禁"))</x:f>
        <x:v>不变</x:v>
      </x:c>
      <x:c r="P46" s="51" t="str">
        <x:v>OSRM driving/car</x:v>
      </x:c>
      <x:c r="Q46" s="51" t="str">
        <x:v>2026-08-15</x:v>
      </x:c>
      <x:c r="R46" s="51" t="str">
        <x:v>C-开放路网计算；不是货车/危运合规路线</x:v>
      </x:c>
      <x:c r="S46" s="51" t="str">
        <x:v>https://routing.openstreetmap.de/routed-car/</x:v>
      </x:c>
    </x:row>
    <x:row r="47">
      <x:c r="A47" s="51" t="str">
        <x:v>A0043</x:v>
      </x:c>
      <x:c r="B47" s="51" t="str">
        <x:v>GD03</x:v>
      </x:c>
      <x:c r="C47" s="51" t="str">
        <x:v>source</x:v>
      </x:c>
      <x:c r="D47" s="51" t="str">
        <x:v>珠海</x:v>
      </x:c>
      <x:c r="E47" s="51" t="str">
        <x:v>C01</x:v>
      </x:c>
      <x:c r="F47" s="51" t="str">
        <x:v>collection</x:v>
      </x:c>
      <x:c r="G47" s="51" t="str">
        <x:v>广州虚拟回收/检测中心</x:v>
      </x:c>
      <x:c r="H47" s="52" t="n">
        <x:v>120.43690722365889</x:v>
      </x:c>
      <x:c r="I47" s="52" t="n">
        <x:v>126.5484</x:v>
      </x:c>
      <x:c r="J47" s="52" t="n">
        <x:v>90.98333333333333</x:v>
      </x:c>
      <x:c r="K47" s="52" t="n">
        <x:f>IFERROR(I47/H47,"")</x:f>
        <x:v>1.0507443516877404</x:v>
      </x:c>
      <x:c r="L47" s="52" t="n">
        <x:v>150</x:v>
      </x:c>
      <x:c r="M47" s="65" t="n">
        <x:f>IF(H47&lt;=L47,1,0)</x:f>
        <x:v>1</x:v>
      </x:c>
      <x:c r="N47" s="65" t="n">
        <x:f>IF(I47&lt;=L47,1,0)</x:f>
        <x:v>1</x:v>
      </x:c>
      <x:c r="O47" s="51" t="str">
        <x:f>IF(M47=N47,"不变",IF(N47=1,"由禁变允","由允变禁"))</x:f>
        <x:v>不变</x:v>
      </x:c>
      <x:c r="P47" s="51" t="str">
        <x:v>OSRM driving/car</x:v>
      </x:c>
      <x:c r="Q47" s="51" t="str">
        <x:v>2026-08-15</x:v>
      </x:c>
      <x:c r="R47" s="51" t="str">
        <x:v>C-开放路网计算；不是货车/危运合规路线</x:v>
      </x:c>
      <x:c r="S47" s="51" t="str">
        <x:v>https://routing.openstreetmap.de/routed-car/</x:v>
      </x:c>
    </x:row>
    <x:row r="48">
      <x:c r="A48" s="51" t="str">
        <x:v>A0044</x:v>
      </x:c>
      <x:c r="B48" s="51" t="str">
        <x:v>GD03</x:v>
      </x:c>
      <x:c r="C48" s="51" t="str">
        <x:v>source</x:v>
      </x:c>
      <x:c r="D48" s="51" t="str">
        <x:v>珠海</x:v>
      </x:c>
      <x:c r="E48" s="51" t="str">
        <x:v>C02</x:v>
      </x:c>
      <x:c r="F48" s="51" t="str">
        <x:v>collection</x:v>
      </x:c>
      <x:c r="G48" s="51" t="str">
        <x:v>深圳虚拟回收/检测中心</x:v>
      </x:c>
      <x:c r="H48" s="52" t="n">
        <x:v>69.62293789389439</x:v>
      </x:c>
      <x:c r="I48" s="52" t="n">
        <x:v>102.1378</x:v>
      </x:c>
      <x:c r="J48" s="52" t="n">
        <x:v>86.355</x:v>
      </x:c>
      <x:c r="K48" s="52" t="n">
        <x:f>IFERROR(I48/H48,"")</x:f>
        <x:v>1.4670136465033747</x:v>
      </x:c>
      <x:c r="L48" s="52" t="n">
        <x:v>150</x:v>
      </x:c>
      <x:c r="M48" s="65" t="n">
        <x:f>IF(H48&lt;=L48,1,0)</x:f>
        <x:v>1</x:v>
      </x:c>
      <x:c r="N48" s="65" t="n">
        <x:f>IF(I48&lt;=L48,1,0)</x:f>
        <x:v>1</x:v>
      </x:c>
      <x:c r="O48" s="51" t="str">
        <x:f>IF(M48=N48,"不变",IF(N48=1,"由禁变允","由允变禁"))</x:f>
        <x:v>不变</x:v>
      </x:c>
      <x:c r="P48" s="51" t="str">
        <x:v>OSRM driving/car</x:v>
      </x:c>
      <x:c r="Q48" s="51" t="str">
        <x:v>2026-08-15</x:v>
      </x:c>
      <x:c r="R48" s="51" t="str">
        <x:v>C-开放路网计算；不是货车/危运合规路线</x:v>
      </x:c>
      <x:c r="S48" s="51" t="str">
        <x:v>https://routing.openstreetmap.de/routed-car/</x:v>
      </x:c>
    </x:row>
    <x:row r="49">
      <x:c r="A49" s="51" t="str">
        <x:v>A0045</x:v>
      </x:c>
      <x:c r="B49" s="51" t="str">
        <x:v>GD03</x:v>
      </x:c>
      <x:c r="C49" s="51" t="str">
        <x:v>source</x:v>
      </x:c>
      <x:c r="D49" s="51" t="str">
        <x:v>珠海</x:v>
      </x:c>
      <x:c r="E49" s="51" t="str">
        <x:v>C03</x:v>
      </x:c>
      <x:c r="F49" s="51" t="str">
        <x:v>collection</x:v>
      </x:c>
      <x:c r="G49" s="51" t="str">
        <x:v>珠海虚拟回收/检测中心</x:v>
      </x:c>
      <x:c r="H49" s="52" t="n">
        <x:v>0</x:v>
      </x:c>
      <x:c r="I49" s="52" t="n">
        <x:v>0</x:v>
      </x:c>
      <x:c r="J49" s="52" t="n">
        <x:v>0</x:v>
      </x:c>
      <x:c r="K49" s="52" t="str">
        <x:f>IFERROR(I49/H49,"")</x:f>
      </x:c>
      <x:c r="L49" s="52" t="n">
        <x:v>150</x:v>
      </x:c>
      <x:c r="M49" s="65" t="n">
        <x:f>IF(H49&lt;=L49,1,0)</x:f>
        <x:v>1</x:v>
      </x:c>
      <x:c r="N49" s="65" t="n">
        <x:f>IF(I49&lt;=L49,1,0)</x:f>
        <x:v>1</x:v>
      </x:c>
      <x:c r="O49" s="51" t="str">
        <x:f>IF(M49=N49,"不变",IF(N49=1,"由禁变允","由允变禁"))</x:f>
        <x:v>不变</x:v>
      </x:c>
      <x:c r="P49" s="51" t="str">
        <x:v>OSRM driving/car</x:v>
      </x:c>
      <x:c r="Q49" s="51" t="str">
        <x:v>2026-08-15</x:v>
      </x:c>
      <x:c r="R49" s="51" t="str">
        <x:v>C-开放路网计算；不是货车/危运合规路线</x:v>
      </x:c>
      <x:c r="S49" s="51" t="str">
        <x:v>https://routing.openstreetmap.de/routed-car/</x:v>
      </x:c>
    </x:row>
    <x:row r="50">
      <x:c r="A50" s="51" t="str">
        <x:v>A0046</x:v>
      </x:c>
      <x:c r="B50" s="51" t="str">
        <x:v>GD03</x:v>
      </x:c>
      <x:c r="C50" s="51" t="str">
        <x:v>source</x:v>
      </x:c>
      <x:c r="D50" s="51" t="str">
        <x:v>珠海</x:v>
      </x:c>
      <x:c r="E50" s="51" t="str">
        <x:v>C04</x:v>
      </x:c>
      <x:c r="F50" s="51" t="str">
        <x:v>collection</x:v>
      </x:c>
      <x:c r="G50" s="51" t="str">
        <x:v>汕头虚拟回收/检测中心</x:v>
      </x:c>
      <x:c r="H50" s="52" t="n">
        <x:v>408.34484310771325</x:v>
      </x:c>
      <x:c r="I50" s="52" t="n">
        <x:v>427.5025</x:v>
      </x:c>
      <x:c r="J50" s="52" t="n">
        <x:v>308.2566666666667</x:v>
      </x:c>
      <x:c r="K50" s="52" t="n">
        <x:f>IFERROR(I50/H50,"")</x:f>
        <x:v>1.046915388343066</x:v>
      </x:c>
      <x:c r="L50" s="52" t="n">
        <x:v>150</x:v>
      </x:c>
      <x:c r="M50" s="65" t="n">
        <x:f>IF(H50&lt;=L50,1,0)</x:f>
        <x:v>0</x:v>
      </x:c>
      <x:c r="N50" s="65" t="n">
        <x:f>IF(I50&lt;=L50,1,0)</x:f>
        <x:v>0</x:v>
      </x:c>
      <x:c r="O50" s="51" t="str">
        <x:f>IF(M50=N50,"不变",IF(N50=1,"由禁变允","由允变禁"))</x:f>
        <x:v>不变</x:v>
      </x:c>
      <x:c r="P50" s="51" t="str">
        <x:v>OSRM driving/car</x:v>
      </x:c>
      <x:c r="Q50" s="51" t="str">
        <x:v>2026-08-15</x:v>
      </x:c>
      <x:c r="R50" s="51" t="str">
        <x:v>C-开放路网计算；不是货车/危运合规路线</x:v>
      </x:c>
      <x:c r="S50" s="51" t="str">
        <x:v>https://routing.openstreetmap.de/routed-car/</x:v>
      </x:c>
    </x:row>
    <x:row r="51">
      <x:c r="A51" s="51" t="str">
        <x:v>A0047</x:v>
      </x:c>
      <x:c r="B51" s="51" t="str">
        <x:v>GD03</x:v>
      </x:c>
      <x:c r="C51" s="51" t="str">
        <x:v>source</x:v>
      </x:c>
      <x:c r="D51" s="51" t="str">
        <x:v>珠海</x:v>
      </x:c>
      <x:c r="E51" s="51" t="str">
        <x:v>C05</x:v>
      </x:c>
      <x:c r="F51" s="51" t="str">
        <x:v>collection</x:v>
      </x:c>
      <x:c r="G51" s="51" t="str">
        <x:v>佛山虚拟回收/检测中心</x:v>
      </x:c>
      <x:c r="H51" s="52" t="n">
        <x:v>114.79211666369928</x:v>
      </x:c>
      <x:c r="I51" s="52" t="n">
        <x:v>120.55080000000001</x:v>
      </x:c>
      <x:c r="J51" s="52" t="n">
        <x:v>88.81</x:v>
      </x:c>
      <x:c r="K51" s="52" t="n">
        <x:f>IFERROR(I51/H51,"")</x:f>
        <x:v>1.0501661917531468</x:v>
      </x:c>
      <x:c r="L51" s="52" t="n">
        <x:v>150</x:v>
      </x:c>
      <x:c r="M51" s="65" t="n">
        <x:f>IF(H51&lt;=L51,1,0)</x:f>
        <x:v>1</x:v>
      </x:c>
      <x:c r="N51" s="65" t="n">
        <x:f>IF(I51&lt;=L51,1,0)</x:f>
        <x:v>1</x:v>
      </x:c>
      <x:c r="O51" s="51" t="str">
        <x:f>IF(M51=N51,"不变",IF(N51=1,"由禁变允","由允变禁"))</x:f>
        <x:v>不变</x:v>
      </x:c>
      <x:c r="P51" s="51" t="str">
        <x:v>OSRM driving/car</x:v>
      </x:c>
      <x:c r="Q51" s="51" t="str">
        <x:v>2026-08-15</x:v>
      </x:c>
      <x:c r="R51" s="51" t="str">
        <x:v>C-开放路网计算；不是货车/危运合规路线</x:v>
      </x:c>
      <x:c r="S51" s="51" t="str">
        <x:v>https://routing.openstreetmap.de/routed-car/</x:v>
      </x:c>
    </x:row>
    <x:row r="52">
      <x:c r="A52" s="51" t="str">
        <x:v>A0048</x:v>
      </x:c>
      <x:c r="B52" s="51" t="str">
        <x:v>GD03</x:v>
      </x:c>
      <x:c r="C52" s="51" t="str">
        <x:v>source</x:v>
      </x:c>
      <x:c r="D52" s="51" t="str">
        <x:v>珠海</x:v>
      </x:c>
      <x:c r="E52" s="51" t="str">
        <x:v>C06</x:v>
      </x:c>
      <x:c r="F52" s="51" t="str">
        <x:v>collection</x:v>
      </x:c>
      <x:c r="G52" s="51" t="str">
        <x:v>韶关虚拟回收/检测中心</x:v>
      </x:c>
      <x:c r="H52" s="52" t="n">
        <x:v>342.51517338462924</x:v>
      </x:c>
      <x:c r="I52" s="52" t="n">
        <x:v>356.7178</x:v>
      </x:c>
      <x:c r="J52" s="52" t="n">
        <x:v>249.975</x:v>
      </x:c>
      <x:c r="K52" s="52" t="n">
        <x:f>IFERROR(I52/H52,"")</x:f>
        <x:v>1.0414656859578653</x:v>
      </x:c>
      <x:c r="L52" s="52" t="n">
        <x:v>150</x:v>
      </x:c>
      <x:c r="M52" s="65" t="n">
        <x:f>IF(H52&lt;=L52,1,0)</x:f>
        <x:v>0</x:v>
      </x:c>
      <x:c r="N52" s="65" t="n">
        <x:f>IF(I52&lt;=L52,1,0)</x:f>
        <x:v>0</x:v>
      </x:c>
      <x:c r="O52" s="51" t="str">
        <x:f>IF(M52=N52,"不变",IF(N52=1,"由禁变允","由允变禁"))</x:f>
        <x:v>不变</x:v>
      </x:c>
      <x:c r="P52" s="51" t="str">
        <x:v>OSRM driving/car</x:v>
      </x:c>
      <x:c r="Q52" s="51" t="str">
        <x:v>2026-08-15</x:v>
      </x:c>
      <x:c r="R52" s="51" t="str">
        <x:v>C-开放路网计算；不是货车/危运合规路线</x:v>
      </x:c>
      <x:c r="S52" s="51" t="str">
        <x:v>https://routing.openstreetmap.de/routed-car/</x:v>
      </x:c>
    </x:row>
    <x:row r="53">
      <x:c r="A53" s="51" t="str">
        <x:v>A0049</x:v>
      </x:c>
      <x:c r="B53" s="51" t="str">
        <x:v>GD03</x:v>
      </x:c>
      <x:c r="C53" s="51" t="str">
        <x:v>source</x:v>
      </x:c>
      <x:c r="D53" s="51" t="str">
        <x:v>珠海</x:v>
      </x:c>
      <x:c r="E53" s="51" t="str">
        <x:v>C07</x:v>
      </x:c>
      <x:c r="F53" s="51" t="str">
        <x:v>collection</x:v>
      </x:c>
      <x:c r="G53" s="51" t="str">
        <x:v>河源虚拟回收/检测中心</x:v>
      </x:c>
      <x:c r="H53" s="52" t="n">
        <x:v>304.43065388171823</x:v>
      </x:c>
      <x:c r="I53" s="52" t="n">
        <x:v>348.4738</x:v>
      </x:c>
      <x:c r="J53" s="52" t="n">
        <x:v>262.0133333333333</x:v>
      </x:c>
      <x:c r="K53" s="52" t="n">
        <x:f>IFERROR(I53/H53,"")</x:f>
        <x:v>1.144673821629651</x:v>
      </x:c>
      <x:c r="L53" s="52" t="n">
        <x:v>150</x:v>
      </x:c>
      <x:c r="M53" s="65" t="n">
        <x:f>IF(H53&lt;=L53,1,0)</x:f>
        <x:v>0</x:v>
      </x:c>
      <x:c r="N53" s="65" t="n">
        <x:f>IF(I53&lt;=L53,1,0)</x:f>
        <x:v>0</x:v>
      </x:c>
      <x:c r="O53" s="51" t="str">
        <x:f>IF(M53=N53,"不变",IF(N53=1,"由禁变允","由允变禁"))</x:f>
        <x:v>不变</x:v>
      </x:c>
      <x:c r="P53" s="51" t="str">
        <x:v>OSRM driving/car</x:v>
      </x:c>
      <x:c r="Q53" s="51" t="str">
        <x:v>2026-08-15</x:v>
      </x:c>
      <x:c r="R53" s="51" t="str">
        <x:v>C-开放路网计算；不是货车/危运合规路线</x:v>
      </x:c>
      <x:c r="S53" s="51" t="str">
        <x:v>https://routing.openstreetmap.de/routed-car/</x:v>
      </x:c>
    </x:row>
    <x:row r="54">
      <x:c r="A54" s="51" t="str">
        <x:v>A0050</x:v>
      </x:c>
      <x:c r="B54" s="51" t="str">
        <x:v>GD03</x:v>
      </x:c>
      <x:c r="C54" s="51" t="str">
        <x:v>source</x:v>
      </x:c>
      <x:c r="D54" s="51" t="str">
        <x:v>珠海</x:v>
      </x:c>
      <x:c r="E54" s="51" t="str">
        <x:v>C08</x:v>
      </x:c>
      <x:c r="F54" s="51" t="str">
        <x:v>collection</x:v>
      </x:c>
      <x:c r="G54" s="51" t="str">
        <x:v>梅州虚拟回收/检测中心</x:v>
      </x:c>
      <x:c r="H54" s="52" t="n">
        <x:v>412.0677892611643</x:v>
      </x:c>
      <x:c r="I54" s="52" t="n">
        <x:v>457.3498</x:v>
      </x:c>
      <x:c r="J54" s="52" t="n">
        <x:v>317.87333333333333</x:v>
      </x:c>
      <x:c r="K54" s="52" t="n">
        <x:f>IFERROR(I54/H54,"")</x:f>
        <x:v>1.1098897121272842</x:v>
      </x:c>
      <x:c r="L54" s="52" t="n">
        <x:v>150</x:v>
      </x:c>
      <x:c r="M54" s="65" t="n">
        <x:f>IF(H54&lt;=L54,1,0)</x:f>
        <x:v>0</x:v>
      </x:c>
      <x:c r="N54" s="65" t="n">
        <x:f>IF(I54&lt;=L54,1,0)</x:f>
        <x:v>0</x:v>
      </x:c>
      <x:c r="O54" s="51" t="str">
        <x:f>IF(M54=N54,"不变",IF(N54=1,"由禁变允","由允变禁"))</x:f>
        <x:v>不变</x:v>
      </x:c>
      <x:c r="P54" s="51" t="str">
        <x:v>OSRM driving/car</x:v>
      </x:c>
      <x:c r="Q54" s="51" t="str">
        <x:v>2026-08-15</x:v>
      </x:c>
      <x:c r="R54" s="51" t="str">
        <x:v>C-开放路网计算；不是货车/危运合规路线</x:v>
      </x:c>
      <x:c r="S54" s="51" t="str">
        <x:v>https://routing.openstreetmap.de/routed-car/</x:v>
      </x:c>
    </x:row>
    <x:row r="55">
      <x:c r="A55" s="51" t="str">
        <x:v>A0051</x:v>
      </x:c>
      <x:c r="B55" s="51" t="str">
        <x:v>GD03</x:v>
      </x:c>
      <x:c r="C55" s="51" t="str">
        <x:v>source</x:v>
      </x:c>
      <x:c r="D55" s="51" t="str">
        <x:v>珠海</x:v>
      </x:c>
      <x:c r="E55" s="51" t="str">
        <x:v>C09</x:v>
      </x:c>
      <x:c r="F55" s="51" t="str">
        <x:v>collection</x:v>
      </x:c>
      <x:c r="G55" s="51" t="str">
        <x:v>惠州虚拟回收/检测中心</x:v>
      </x:c>
      <x:c r="H55" s="52" t="n">
        <x:v>152.4261811714796</x:v>
      </x:c>
      <x:c r="I55" s="52" t="n">
        <x:v>189.6078</x:v>
      </x:c>
      <x:c r="J55" s="52" t="n">
        <x:v>139.17333333333332</x:v>
      </x:c>
      <x:c r="K55" s="52" t="n">
        <x:f>IFERROR(I55/H55,"")</x:f>
        <x:v>1.2439319711532433</x:v>
      </x:c>
      <x:c r="L55" s="52" t="n">
        <x:v>150</x:v>
      </x:c>
      <x:c r="M55" s="65" t="n">
        <x:f>IF(H55&lt;=L55,1,0)</x:f>
        <x:v>0</x:v>
      </x:c>
      <x:c r="N55" s="65" t="n">
        <x:f>IF(I55&lt;=L55,1,0)</x:f>
        <x:v>0</x:v>
      </x:c>
      <x:c r="O55" s="51" t="str">
        <x:f>IF(M55=N55,"不变",IF(N55=1,"由禁变允","由允变禁"))</x:f>
        <x:v>不变</x:v>
      </x:c>
      <x:c r="P55" s="51" t="str">
        <x:v>OSRM driving/car</x:v>
      </x:c>
      <x:c r="Q55" s="51" t="str">
        <x:v>2026-08-15</x:v>
      </x:c>
      <x:c r="R55" s="51" t="str">
        <x:v>C-开放路网计算；不是货车/危运合规路线</x:v>
      </x:c>
      <x:c r="S55" s="51" t="str">
        <x:v>https://routing.openstreetmap.de/routed-car/</x:v>
      </x:c>
    </x:row>
    <x:row r="56">
      <x:c r="A56" s="51" t="str">
        <x:v>A0052</x:v>
      </x:c>
      <x:c r="B56" s="51" t="str">
        <x:v>GD03</x:v>
      </x:c>
      <x:c r="C56" s="51" t="str">
        <x:v>source</x:v>
      </x:c>
      <x:c r="D56" s="51" t="str">
        <x:v>珠海</x:v>
      </x:c>
      <x:c r="E56" s="51" t="str">
        <x:v>C10</x:v>
      </x:c>
      <x:c r="F56" s="51" t="str">
        <x:v>collection</x:v>
      </x:c>
      <x:c r="G56" s="51" t="str">
        <x:v>汕尾虚拟回收/检测中心</x:v>
      </x:c>
      <x:c r="H56" s="52" t="n">
        <x:v>258.19268317474746</x:v>
      </x:c>
      <x:c r="I56" s="52" t="n">
        <x:v>283.2169</x:v>
      </x:c>
      <x:c r="J56" s="52" t="n">
        <x:v>227.06666666666666</x:v>
      </x:c>
      <x:c r="K56" s="52" t="n">
        <x:f>IFERROR(I56/H56,"")</x:f>
        <x:v>1.096920704791297</x:v>
      </x:c>
      <x:c r="L56" s="52" t="n">
        <x:v>150</x:v>
      </x:c>
      <x:c r="M56" s="65" t="n">
        <x:f>IF(H56&lt;=L56,1,0)</x:f>
        <x:v>0</x:v>
      </x:c>
      <x:c r="N56" s="65" t="n">
        <x:f>IF(I56&lt;=L56,1,0)</x:f>
        <x:v>0</x:v>
      </x:c>
      <x:c r="O56" s="51" t="str">
        <x:f>IF(M56=N56,"不变",IF(N56=1,"由禁变允","由允变禁"))</x:f>
        <x:v>不变</x:v>
      </x:c>
      <x:c r="P56" s="51" t="str">
        <x:v>OSRM driving/car</x:v>
      </x:c>
      <x:c r="Q56" s="51" t="str">
        <x:v>2026-08-15</x:v>
      </x:c>
      <x:c r="R56" s="51" t="str">
        <x:v>C-开放路网计算；不是货车/危运合规路线</x:v>
      </x:c>
      <x:c r="S56" s="51" t="str">
        <x:v>https://routing.openstreetmap.de/routed-car/</x:v>
      </x:c>
    </x:row>
    <x:row r="57">
      <x:c r="A57" s="51" t="str">
        <x:v>A0053</x:v>
      </x:c>
      <x:c r="B57" s="51" t="str">
        <x:v>GD03</x:v>
      </x:c>
      <x:c r="C57" s="51" t="str">
        <x:v>source</x:v>
      </x:c>
      <x:c r="D57" s="51" t="str">
        <x:v>珠海</x:v>
      </x:c>
      <x:c r="E57" s="51" t="str">
        <x:v>C11</x:v>
      </x:c>
      <x:c r="F57" s="51" t="str">
        <x:v>collection</x:v>
      </x:c>
      <x:c r="G57" s="51" t="str">
        <x:v>东莞虚拟回收/检测中心</x:v>
      </x:c>
      <x:c r="H57" s="52" t="n">
        <x:v>101.6188477233397</x:v>
      </x:c>
      <x:c r="I57" s="52" t="n">
        <x:v>124.11760000000001</x:v>
      </x:c>
      <x:c r="J57" s="52" t="n">
        <x:v>95.23666666666666</x:v>
      </x:c>
      <x:c r="K57" s="52" t="n">
        <x:f>IFERROR(I57/H57,"")</x:f>
        <x:v>1.221403339840202</x:v>
      </x:c>
      <x:c r="L57" s="52" t="n">
        <x:v>150</x:v>
      </x:c>
      <x:c r="M57" s="65" t="n">
        <x:f>IF(H57&lt;=L57,1,0)</x:f>
        <x:v>1</x:v>
      </x:c>
      <x:c r="N57" s="65" t="n">
        <x:f>IF(I57&lt;=L57,1,0)</x:f>
        <x:v>1</x:v>
      </x:c>
      <x:c r="O57" s="51" t="str">
        <x:f>IF(M57=N57,"不变",IF(N57=1,"由禁变允","由允变禁"))</x:f>
        <x:v>不变</x:v>
      </x:c>
      <x:c r="P57" s="51" t="str">
        <x:v>OSRM driving/car</x:v>
      </x:c>
      <x:c r="Q57" s="51" t="str">
        <x:v>2026-08-15</x:v>
      </x:c>
      <x:c r="R57" s="51" t="str">
        <x:v>C-开放路网计算；不是货车/危运合规路线</x:v>
      </x:c>
      <x:c r="S57" s="51" t="str">
        <x:v>https://routing.openstreetmap.de/routed-car/</x:v>
      </x:c>
    </x:row>
    <x:row r="58">
      <x:c r="A58" s="51" t="str">
        <x:v>A0054</x:v>
      </x:c>
      <x:c r="B58" s="51" t="str">
        <x:v>GD03</x:v>
      </x:c>
      <x:c r="C58" s="51" t="str">
        <x:v>source</x:v>
      </x:c>
      <x:c r="D58" s="51" t="str">
        <x:v>珠海</x:v>
      </x:c>
      <x:c r="E58" s="51" t="str">
        <x:v>C12</x:v>
      </x:c>
      <x:c r="F58" s="51" t="str">
        <x:v>collection</x:v>
      </x:c>
      <x:c r="G58" s="51" t="str">
        <x:v>中山虚拟回收/检测中心</x:v>
      </x:c>
      <x:c r="H58" s="52" t="n">
        <x:v>39.969720769320794</x:v>
      </x:c>
      <x:c r="I58" s="52" t="n">
        <x:v>43.255</x:v>
      </x:c>
      <x:c r="J58" s="52" t="n">
        <x:v>41.19833333333334</x:v>
      </x:c>
      <x:c r="K58" s="52" t="n">
        <x:f>IFERROR(I58/H58,"")</x:f>
        <x:v>1.0821942001956857</x:v>
      </x:c>
      <x:c r="L58" s="52" t="n">
        <x:v>150</x:v>
      </x:c>
      <x:c r="M58" s="65" t="n">
        <x:f>IF(H58&lt;=L58,1,0)</x:f>
        <x:v>1</x:v>
      </x:c>
      <x:c r="N58" s="65" t="n">
        <x:f>IF(I58&lt;=L58,1,0)</x:f>
        <x:v>1</x:v>
      </x:c>
      <x:c r="O58" s="51" t="str">
        <x:f>IF(M58=N58,"不变",IF(N58=1,"由禁变允","由允变禁"))</x:f>
        <x:v>不变</x:v>
      </x:c>
      <x:c r="P58" s="51" t="str">
        <x:v>OSRM driving/car</x:v>
      </x:c>
      <x:c r="Q58" s="51" t="str">
        <x:v>2026-08-15</x:v>
      </x:c>
      <x:c r="R58" s="51" t="str">
        <x:v>C-开放路网计算；不是货车/危运合规路线</x:v>
      </x:c>
      <x:c r="S58" s="51" t="str">
        <x:v>https://routing.openstreetmap.de/routed-car/</x:v>
      </x:c>
    </x:row>
    <x:row r="59">
      <x:c r="A59" s="51" t="str">
        <x:v>A0055</x:v>
      </x:c>
      <x:c r="B59" s="51" t="str">
        <x:v>GD03</x:v>
      </x:c>
      <x:c r="C59" s="51" t="str">
        <x:v>source</x:v>
      </x:c>
      <x:c r="D59" s="51" t="str">
        <x:v>珠海</x:v>
      </x:c>
      <x:c r="E59" s="51" t="str">
        <x:v>C13</x:v>
      </x:c>
      <x:c r="F59" s="51" t="str">
        <x:v>collection</x:v>
      </x:c>
      <x:c r="G59" s="51" t="str">
        <x:v>江门虚拟回收/检测中心</x:v>
      </x:c>
      <x:c r="H59" s="52" t="n">
        <x:v>73.6969883389518</x:v>
      </x:c>
      <x:c r="I59" s="52" t="n">
        <x:v>81.7238</x:v>
      </x:c>
      <x:c r="J59" s="52" t="n">
        <x:v>63.93833333333334</x:v>
      </x:c>
      <x:c r="K59" s="52" t="n">
        <x:f>IFERROR(I59/H59,"")</x:f>
        <x:v>1.1089164135735206</x:v>
      </x:c>
      <x:c r="L59" s="52" t="n">
        <x:v>150</x:v>
      </x:c>
      <x:c r="M59" s="65" t="n">
        <x:f>IF(H59&lt;=L59,1,0)</x:f>
        <x:v>1</x:v>
      </x:c>
      <x:c r="N59" s="65" t="n">
        <x:f>IF(I59&lt;=L59,1,0)</x:f>
        <x:v>1</x:v>
      </x:c>
      <x:c r="O59" s="51" t="str">
        <x:f>IF(M59=N59,"不变",IF(N59=1,"由禁变允","由允变禁"))</x:f>
        <x:v>不变</x:v>
      </x:c>
      <x:c r="P59" s="51" t="str">
        <x:v>OSRM driving/car</x:v>
      </x:c>
      <x:c r="Q59" s="51" t="str">
        <x:v>2026-08-15</x:v>
      </x:c>
      <x:c r="R59" s="51" t="str">
        <x:v>C-开放路网计算；不是货车/危运合规路线</x:v>
      </x:c>
      <x:c r="S59" s="51" t="str">
        <x:v>https://routing.openstreetmap.de/routed-car/</x:v>
      </x:c>
    </x:row>
    <x:row r="60">
      <x:c r="A60" s="51" t="str">
        <x:v>A0056</x:v>
      </x:c>
      <x:c r="B60" s="51" t="str">
        <x:v>GD03</x:v>
      </x:c>
      <x:c r="C60" s="51" t="str">
        <x:v>source</x:v>
      </x:c>
      <x:c r="D60" s="51" t="str">
        <x:v>珠海</x:v>
      </x:c>
      <x:c r="E60" s="51" t="str">
        <x:v>C14</x:v>
      </x:c>
      <x:c r="F60" s="51" t="str">
        <x:v>collection</x:v>
      </x:c>
      <x:c r="G60" s="51" t="str">
        <x:v>阳江虚拟回收/检测中心</x:v>
      </x:c>
      <x:c r="H60" s="52" t="n">
        <x:v>222.31046381687938</x:v>
      </x:c>
      <x:c r="I60" s="52" t="n">
        <x:v>242.6795</x:v>
      </x:c>
      <x:c r="J60" s="52" t="n">
        <x:v>168.225</x:v>
      </x:c>
      <x:c r="K60" s="52" t="n">
        <x:f>IFERROR(I60/H60,"")</x:f>
        <x:v>1.0916242799974494</x:v>
      </x:c>
      <x:c r="L60" s="52" t="n">
        <x:v>150</x:v>
      </x:c>
      <x:c r="M60" s="65" t="n">
        <x:f>IF(H60&lt;=L60,1,0)</x:f>
        <x:v>0</x:v>
      </x:c>
      <x:c r="N60" s="65" t="n">
        <x:f>IF(I60&lt;=L60,1,0)</x:f>
        <x:v>0</x:v>
      </x:c>
      <x:c r="O60" s="51" t="str">
        <x:f>IF(M60=N60,"不变",IF(N60=1,"由禁变允","由允变禁"))</x:f>
        <x:v>不变</x:v>
      </x:c>
      <x:c r="P60" s="51" t="str">
        <x:v>OSRM driving/car</x:v>
      </x:c>
      <x:c r="Q60" s="51" t="str">
        <x:v>2026-08-15</x:v>
      </x:c>
      <x:c r="R60" s="51" t="str">
        <x:v>C-开放路网计算；不是货车/危运合规路线</x:v>
      </x:c>
      <x:c r="S60" s="51" t="str">
        <x:v>https://routing.openstreetmap.de/routed-car/</x:v>
      </x:c>
    </x:row>
    <x:row r="61">
      <x:c r="A61" s="51" t="str">
        <x:v>A0057</x:v>
      </x:c>
      <x:c r="B61" s="51" t="str">
        <x:v>GD03</x:v>
      </x:c>
      <x:c r="C61" s="51" t="str">
        <x:v>source</x:v>
      </x:c>
      <x:c r="D61" s="51" t="str">
        <x:v>珠海</x:v>
      </x:c>
      <x:c r="E61" s="51" t="str">
        <x:v>C15</x:v>
      </x:c>
      <x:c r="F61" s="51" t="str">
        <x:v>collection</x:v>
      </x:c>
      <x:c r="G61" s="51" t="str">
        <x:v>湛江虚拟回收/检测中心</x:v>
      </x:c>
      <x:c r="H61" s="52" t="n">
        <x:v>420.3939061655412</x:v>
      </x:c>
      <x:c r="I61" s="52" t="n">
        <x:v>407.07090000000005</x:v>
      </x:c>
      <x:c r="J61" s="52" t="n">
        <x:v>277.9066666666667</x:v>
      </x:c>
      <x:c r="K61" s="52" t="n">
        <x:f>IFERROR(I61/H61,"")</x:f>
        <x:v>0.9683082795203629</x:v>
      </x:c>
      <x:c r="L61" s="52" t="n">
        <x:v>150</x:v>
      </x:c>
      <x:c r="M61" s="65" t="n">
        <x:f>IF(H61&lt;=L61,1,0)</x:f>
        <x:v>0</x:v>
      </x:c>
      <x:c r="N61" s="65" t="n">
        <x:f>IF(I61&lt;=L61,1,0)</x:f>
        <x:v>0</x:v>
      </x:c>
      <x:c r="O61" s="51" t="str">
        <x:f>IF(M61=N61,"不变",IF(N61=1,"由禁变允","由允变禁"))</x:f>
        <x:v>不变</x:v>
      </x:c>
      <x:c r="P61" s="51" t="str">
        <x:v>OSRM driving/car</x:v>
      </x:c>
      <x:c r="Q61" s="51" t="str">
        <x:v>2026-08-15</x:v>
      </x:c>
      <x:c r="R61" s="51" t="str">
        <x:v>C-开放路网计算；不是货车/危运合规路线</x:v>
      </x:c>
      <x:c r="S61" s="51" t="str">
        <x:v>https://routing.openstreetmap.de/routed-car/</x:v>
      </x:c>
    </x:row>
    <x:row r="62">
      <x:c r="A62" s="51" t="str">
        <x:v>A0058</x:v>
      </x:c>
      <x:c r="B62" s="51" t="str">
        <x:v>GD03</x:v>
      </x:c>
      <x:c r="C62" s="51" t="str">
        <x:v>source</x:v>
      </x:c>
      <x:c r="D62" s="51" t="str">
        <x:v>珠海</x:v>
      </x:c>
      <x:c r="E62" s="51" t="str">
        <x:v>C16</x:v>
      </x:c>
      <x:c r="F62" s="51" t="str">
        <x:v>collection</x:v>
      </x:c>
      <x:c r="G62" s="51" t="str">
        <x:v>茂名虚拟回收/检测中心</x:v>
      </x:c>
      <x:c r="H62" s="52" t="n">
        <x:v>337.94547424500036</x:v>
      </x:c>
      <x:c r="I62" s="52" t="n">
        <x:v>326.3216</x:v>
      </x:c>
      <x:c r="J62" s="52" t="n">
        <x:v>226.82166666666666</x:v>
      </x:c>
      <x:c r="K62" s="52" t="n">
        <x:f>IFERROR(I62/H62,"")</x:f>
        <x:v>0.965604290837245</x:v>
      </x:c>
      <x:c r="L62" s="52" t="n">
        <x:v>150</x:v>
      </x:c>
      <x:c r="M62" s="65" t="n">
        <x:f>IF(H62&lt;=L62,1,0)</x:f>
        <x:v>0</x:v>
      </x:c>
      <x:c r="N62" s="65" t="n">
        <x:f>IF(I62&lt;=L62,1,0)</x:f>
        <x:v>0</x:v>
      </x:c>
      <x:c r="O62" s="51" t="str">
        <x:f>IF(M62=N62,"不变",IF(N62=1,"由禁变允","由允变禁"))</x:f>
        <x:v>不变</x:v>
      </x:c>
      <x:c r="P62" s="51" t="str">
        <x:v>OSRM driving/car</x:v>
      </x:c>
      <x:c r="Q62" s="51" t="str">
        <x:v>2026-08-15</x:v>
      </x:c>
      <x:c r="R62" s="51" t="str">
        <x:v>C-开放路网计算；不是货车/危运合规路线</x:v>
      </x:c>
      <x:c r="S62" s="51" t="str">
        <x:v>https://routing.openstreetmap.de/routed-car/</x:v>
      </x:c>
    </x:row>
    <x:row r="63">
      <x:c r="A63" s="51" t="str">
        <x:v>A0059</x:v>
      </x:c>
      <x:c r="B63" s="51" t="str">
        <x:v>GD03</x:v>
      </x:c>
      <x:c r="C63" s="51" t="str">
        <x:v>source</x:v>
      </x:c>
      <x:c r="D63" s="51" t="str">
        <x:v>珠海</x:v>
      </x:c>
      <x:c r="E63" s="51" t="str">
        <x:v>C17</x:v>
      </x:c>
      <x:c r="F63" s="51" t="str">
        <x:v>collection</x:v>
      </x:c>
      <x:c r="G63" s="51" t="str">
        <x:v>肇庆虚拟回收/检测中心</x:v>
      </x:c>
      <x:c r="H63" s="52" t="n">
        <x:v>171.67709725824648</x:v>
      </x:c>
      <x:c r="I63" s="52" t="n">
        <x:v>183.1347</x:v>
      </x:c>
      <x:c r="J63" s="52" t="n">
        <x:v>135.76166666666666</x:v>
      </x:c>
      <x:c r="K63" s="52" t="n">
        <x:f>IFERROR(I63/H63,"")</x:f>
        <x:v>1.0667392618161429</x:v>
      </x:c>
      <x:c r="L63" s="52" t="n">
        <x:v>150</x:v>
      </x:c>
      <x:c r="M63" s="65" t="n">
        <x:f>IF(H63&lt;=L63,1,0)</x:f>
        <x:v>0</x:v>
      </x:c>
      <x:c r="N63" s="65" t="n">
        <x:f>IF(I63&lt;=L63,1,0)</x:f>
        <x:v>0</x:v>
      </x:c>
      <x:c r="O63" s="51" t="str">
        <x:f>IF(M63=N63,"不变",IF(N63=1,"由禁变允","由允变禁"))</x:f>
        <x:v>不变</x:v>
      </x:c>
      <x:c r="P63" s="51" t="str">
        <x:v>OSRM driving/car</x:v>
      </x:c>
      <x:c r="Q63" s="51" t="str">
        <x:v>2026-08-15</x:v>
      </x:c>
      <x:c r="R63" s="51" t="str">
        <x:v>C-开放路网计算；不是货车/危运合规路线</x:v>
      </x:c>
      <x:c r="S63" s="51" t="str">
        <x:v>https://routing.openstreetmap.de/routed-car/</x:v>
      </x:c>
    </x:row>
    <x:row r="64">
      <x:c r="A64" s="51" t="str">
        <x:v>A0060</x:v>
      </x:c>
      <x:c r="B64" s="51" t="str">
        <x:v>GD03</x:v>
      </x:c>
      <x:c r="C64" s="51" t="str">
        <x:v>source</x:v>
      </x:c>
      <x:c r="D64" s="51" t="str">
        <x:v>珠海</x:v>
      </x:c>
      <x:c r="E64" s="51" t="str">
        <x:v>C18</x:v>
      </x:c>
      <x:c r="F64" s="51" t="str">
        <x:v>collection</x:v>
      </x:c>
      <x:c r="G64" s="51" t="str">
        <x:v>清远虚拟回收/检测中心</x:v>
      </x:c>
      <x:c r="H64" s="52" t="n">
        <x:v>198.69550482506634</x:v>
      </x:c>
      <x:c r="I64" s="52" t="n">
        <x:v>200.6153</x:v>
      </x:c>
      <x:c r="J64" s="52" t="n">
        <x:v>145.05333333333334</x:v>
      </x:c>
      <x:c r="K64" s="52" t="n">
        <x:f>IFERROR(I64/H64,"")</x:f>
        <x:v>1.0096619960105482</x:v>
      </x:c>
      <x:c r="L64" s="52" t="n">
        <x:v>150</x:v>
      </x:c>
      <x:c r="M64" s="65" t="n">
        <x:f>IF(H64&lt;=L64,1,0)</x:f>
        <x:v>0</x:v>
      </x:c>
      <x:c r="N64" s="65" t="n">
        <x:f>IF(I64&lt;=L64,1,0)</x:f>
        <x:v>0</x:v>
      </x:c>
      <x:c r="O64" s="51" t="str">
        <x:f>IF(M64=N64,"不变",IF(N64=1,"由禁变允","由允变禁"))</x:f>
        <x:v>不变</x:v>
      </x:c>
      <x:c r="P64" s="51" t="str">
        <x:v>OSRM driving/car</x:v>
      </x:c>
      <x:c r="Q64" s="51" t="str">
        <x:v>2026-08-15</x:v>
      </x:c>
      <x:c r="R64" s="51" t="str">
        <x:v>C-开放路网计算；不是货车/危运合规路线</x:v>
      </x:c>
      <x:c r="S64" s="51" t="str">
        <x:v>https://routing.openstreetmap.de/routed-car/</x:v>
      </x:c>
    </x:row>
    <x:row r="65">
      <x:c r="A65" s="51" t="str">
        <x:v>A0061</x:v>
      </x:c>
      <x:c r="B65" s="51" t="str">
        <x:v>GD03</x:v>
      </x:c>
      <x:c r="C65" s="51" t="str">
        <x:v>source</x:v>
      </x:c>
      <x:c r="D65" s="51" t="str">
        <x:v>珠海</x:v>
      </x:c>
      <x:c r="E65" s="51" t="str">
        <x:v>C19</x:v>
      </x:c>
      <x:c r="F65" s="51" t="str">
        <x:v>collection</x:v>
      </x:c>
      <x:c r="G65" s="51" t="str">
        <x:v>潮州虚拟回收/检测中心</x:v>
      </x:c>
      <x:c r="H65" s="52" t="n">
        <x:v>417.4782471021128</x:v>
      </x:c>
      <x:c r="I65" s="52" t="n">
        <x:v>456.11629999999997</x:v>
      </x:c>
      <x:c r="J65" s="52" t="n">
        <x:v>310.40999999999997</x:v>
      </x:c>
      <x:c r="K65" s="52" t="n">
        <x:f>IFERROR(I65/H65,"")</x:f>
        <x:v>1.0925510566504715</x:v>
      </x:c>
      <x:c r="L65" s="52" t="n">
        <x:v>150</x:v>
      </x:c>
      <x:c r="M65" s="65" t="n">
        <x:f>IF(H65&lt;=L65,1,0)</x:f>
        <x:v>0</x:v>
      </x:c>
      <x:c r="N65" s="65" t="n">
        <x:f>IF(I65&lt;=L65,1,0)</x:f>
        <x:v>0</x:v>
      </x:c>
      <x:c r="O65" s="51" t="str">
        <x:f>IF(M65=N65,"不变",IF(N65=1,"由禁变允","由允变禁"))</x:f>
        <x:v>不变</x:v>
      </x:c>
      <x:c r="P65" s="51" t="str">
        <x:v>OSRM driving/car</x:v>
      </x:c>
      <x:c r="Q65" s="51" t="str">
        <x:v>2026-08-15</x:v>
      </x:c>
      <x:c r="R65" s="51" t="str">
        <x:v>C-开放路网计算；不是货车/危运合规路线</x:v>
      </x:c>
      <x:c r="S65" s="51" t="str">
        <x:v>https://routing.openstreetmap.de/routed-car/</x:v>
      </x:c>
    </x:row>
    <x:row r="66">
      <x:c r="A66" s="51" t="str">
        <x:v>A0062</x:v>
      </x:c>
      <x:c r="B66" s="51" t="str">
        <x:v>GD03</x:v>
      </x:c>
      <x:c r="C66" s="51" t="str">
        <x:v>source</x:v>
      </x:c>
      <x:c r="D66" s="51" t="str">
        <x:v>珠海</x:v>
      </x:c>
      <x:c r="E66" s="51" t="str">
        <x:v>C20</x:v>
      </x:c>
      <x:c r="F66" s="51" t="str">
        <x:v>collection</x:v>
      </x:c>
      <x:c r="G66" s="51" t="str">
        <x:v>揭阳虚拟回收/检测中心</x:v>
      </x:c>
      <x:c r="H66" s="52" t="n">
        <x:v>383.6871953974436</x:v>
      </x:c>
      <x:c r="I66" s="52" t="n">
        <x:v>423.20059999999995</x:v>
      </x:c>
      <x:c r="J66" s="52" t="n">
        <x:v>292.3883333333333</x:v>
      </x:c>
      <x:c r="K66" s="52" t="n">
        <x:f>IFERROR(I66/H66,"")</x:f>
        <x:v>1.102983380932549</x:v>
      </x:c>
      <x:c r="L66" s="52" t="n">
        <x:v>150</x:v>
      </x:c>
      <x:c r="M66" s="65" t="n">
        <x:f>IF(H66&lt;=L66,1,0)</x:f>
        <x:v>0</x:v>
      </x:c>
      <x:c r="N66" s="65" t="n">
        <x:f>IF(I66&lt;=L66,1,0)</x:f>
        <x:v>0</x:v>
      </x:c>
      <x:c r="O66" s="51" t="str">
        <x:f>IF(M66=N66,"不变",IF(N66=1,"由禁变允","由允变禁"))</x:f>
        <x:v>不变</x:v>
      </x:c>
      <x:c r="P66" s="51" t="str">
        <x:v>OSRM driving/car</x:v>
      </x:c>
      <x:c r="Q66" s="51" t="str">
        <x:v>2026-08-15</x:v>
      </x:c>
      <x:c r="R66" s="51" t="str">
        <x:v>C-开放路网计算；不是货车/危运合规路线</x:v>
      </x:c>
      <x:c r="S66" s="51" t="str">
        <x:v>https://routing.openstreetmap.de/routed-car/</x:v>
      </x:c>
    </x:row>
    <x:row r="67">
      <x:c r="A67" s="51" t="str">
        <x:v>A0063</x:v>
      </x:c>
      <x:c r="B67" s="51" t="str">
        <x:v>GD03</x:v>
      </x:c>
      <x:c r="C67" s="51" t="str">
        <x:v>source</x:v>
      </x:c>
      <x:c r="D67" s="51" t="str">
        <x:v>珠海</x:v>
      </x:c>
      <x:c r="E67" s="51" t="str">
        <x:v>C21</x:v>
      </x:c>
      <x:c r="F67" s="51" t="str">
        <x:v>collection</x:v>
      </x:c>
      <x:c r="G67" s="51" t="str">
        <x:v>云浮虚拟回收/检测中心</x:v>
      </x:c>
      <x:c r="H67" s="52" t="n">
        <x:v>230.79716660051145</x:v>
      </x:c>
      <x:c r="I67" s="52" t="n">
        <x:v>246.7611</x:v>
      </x:c>
      <x:c r="J67" s="52" t="n">
        <x:v>178.23666666666668</x:v>
      </x:c>
      <x:c r="K67" s="52" t="n">
        <x:f>IFERROR(I67/H67,"")</x:f>
        <x:v>1.0691686714989905</x:v>
      </x:c>
      <x:c r="L67" s="52" t="n">
        <x:v>150</x:v>
      </x:c>
      <x:c r="M67" s="65" t="n">
        <x:f>IF(H67&lt;=L67,1,0)</x:f>
        <x:v>0</x:v>
      </x:c>
      <x:c r="N67" s="65" t="n">
        <x:f>IF(I67&lt;=L67,1,0)</x:f>
        <x:v>0</x:v>
      </x:c>
      <x:c r="O67" s="51" t="str">
        <x:f>IF(M67=N67,"不变",IF(N67=1,"由禁变允","由允变禁"))</x:f>
        <x:v>不变</x:v>
      </x:c>
      <x:c r="P67" s="51" t="str">
        <x:v>OSRM driving/car</x:v>
      </x:c>
      <x:c r="Q67" s="51" t="str">
        <x:v>2026-08-15</x:v>
      </x:c>
      <x:c r="R67" s="51" t="str">
        <x:v>C-开放路网计算；不是货车/危运合规路线</x:v>
      </x:c>
      <x:c r="S67" s="51" t="str">
        <x:v>https://routing.openstreetmap.de/routed-car/</x:v>
      </x:c>
    </x:row>
    <x:row r="68">
      <x:c r="A68" s="51" t="str">
        <x:v>A0064</x:v>
      </x:c>
      <x:c r="B68" s="51" t="str">
        <x:v>GD04</x:v>
      </x:c>
      <x:c r="C68" s="51" t="str">
        <x:v>source</x:v>
      </x:c>
      <x:c r="D68" s="51" t="str">
        <x:v>汕头</x:v>
      </x:c>
      <x:c r="E68" s="51" t="str">
        <x:v>C01</x:v>
      </x:c>
      <x:c r="F68" s="51" t="str">
        <x:v>collection</x:v>
      </x:c>
      <x:c r="G68" s="51" t="str">
        <x:v>广州虚拟回收/检测中心</x:v>
      </x:c>
      <x:c r="H68" s="52" t="n">
        <x:v>420.22799394481007</x:v>
      </x:c>
      <x:c r="I68" s="52" t="n">
        <x:v>415.0856</x:v>
      </x:c>
      <x:c r="J68" s="52" t="n">
        <x:v>288.615</x:v>
      </x:c>
      <x:c r="K68" s="52" t="n">
        <x:f>IFERROR(I68/H68,"")</x:f>
        <x:v>0.9877628477423962</x:v>
      </x:c>
      <x:c r="L68" s="52" t="n">
        <x:v>150</x:v>
      </x:c>
      <x:c r="M68" s="65" t="n">
        <x:f>IF(H68&lt;=L68,1,0)</x:f>
        <x:v>0</x:v>
      </x:c>
      <x:c r="N68" s="65" t="n">
        <x:f>IF(I68&lt;=L68,1,0)</x:f>
        <x:v>0</x:v>
      </x:c>
      <x:c r="O68" s="51" t="str">
        <x:f>IF(M68=N68,"不变",IF(N68=1,"由禁变允","由允变禁"))</x:f>
        <x:v>不变</x:v>
      </x:c>
      <x:c r="P68" s="51" t="str">
        <x:v>OSRM driving/car</x:v>
      </x:c>
      <x:c r="Q68" s="51" t="str">
        <x:v>2026-08-15</x:v>
      </x:c>
      <x:c r="R68" s="51" t="str">
        <x:v>C-开放路网计算；不是货车/危运合规路线</x:v>
      </x:c>
      <x:c r="S68" s="51" t="str">
        <x:v>https://routing.openstreetmap.de/routed-car/</x:v>
      </x:c>
    </x:row>
    <x:row r="69">
      <x:c r="A69" s="51" t="str">
        <x:v>A0065</x:v>
      </x:c>
      <x:c r="B69" s="51" t="str">
        <x:v>GD04</x:v>
      </x:c>
      <x:c r="C69" s="51" t="str">
        <x:v>source</x:v>
      </x:c>
      <x:c r="D69" s="51" t="str">
        <x:v>汕头</x:v>
      </x:c>
      <x:c r="E69" s="51" t="str">
        <x:v>C02</x:v>
      </x:c>
      <x:c r="F69" s="51" t="str">
        <x:v>collection</x:v>
      </x:c>
      <x:c r="G69" s="51" t="str">
        <x:v>深圳虚拟回收/检测中心</x:v>
      </x:c>
      <x:c r="H69" s="52" t="n">
        <x:v>340.00628858069996</x:v>
      </x:c>
      <x:c r="I69" s="52" t="n">
        <x:v>332.09520000000003</x:v>
      </x:c>
      <x:c r="J69" s="52" t="n">
        <x:v>230.66666666666666</x:v>
      </x:c>
      <x:c r="K69" s="52" t="n">
        <x:f>IFERROR(I69/H69,"")</x:f>
        <x:v>0.9767325227609069</x:v>
      </x:c>
      <x:c r="L69" s="52" t="n">
        <x:v>150</x:v>
      </x:c>
      <x:c r="M69" s="65" t="n">
        <x:f>IF(H69&lt;=L69,1,0)</x:f>
        <x:v>0</x:v>
      </x:c>
      <x:c r="N69" s="65" t="n">
        <x:f>IF(I69&lt;=L69,1,0)</x:f>
        <x:v>0</x:v>
      </x:c>
      <x:c r="O69" s="51" t="str">
        <x:f>IF(M69=N69,"不变",IF(N69=1,"由禁变允","由允变禁"))</x:f>
        <x:v>不变</x:v>
      </x:c>
      <x:c r="P69" s="51" t="str">
        <x:v>OSRM driving/car</x:v>
      </x:c>
      <x:c r="Q69" s="51" t="str">
        <x:v>2026-08-15</x:v>
      </x:c>
      <x:c r="R69" s="51" t="str">
        <x:v>C-开放路网计算；不是货车/危运合规路线</x:v>
      </x:c>
      <x:c r="S69" s="51" t="str">
        <x:v>https://routing.openstreetmap.de/routed-car/</x:v>
      </x:c>
    </x:row>
    <x:row r="70">
      <x:c r="A70" s="51" t="str">
        <x:v>A0066</x:v>
      </x:c>
      <x:c r="B70" s="51" t="str">
        <x:v>GD04</x:v>
      </x:c>
      <x:c r="C70" s="51" t="str">
        <x:v>source</x:v>
      </x:c>
      <x:c r="D70" s="51" t="str">
        <x:v>汕头</x:v>
      </x:c>
      <x:c r="E70" s="51" t="str">
        <x:v>C03</x:v>
      </x:c>
      <x:c r="F70" s="51" t="str">
        <x:v>collection</x:v>
      </x:c>
      <x:c r="G70" s="51" t="str">
        <x:v>珠海虚拟回收/检测中心</x:v>
      </x:c>
      <x:c r="H70" s="52" t="n">
        <x:v>408.34484310771325</x:v>
      </x:c>
      <x:c r="I70" s="52" t="n">
        <x:v>429.8842</x:v>
      </x:c>
      <x:c r="J70" s="52" t="n">
        <x:v>312.43</x:v>
      </x:c>
      <x:c r="K70" s="52" t="n">
        <x:f>IFERROR(I70/H70,"")</x:f>
        <x:v>1.0527479586331034</x:v>
      </x:c>
      <x:c r="L70" s="52" t="n">
        <x:v>150</x:v>
      </x:c>
      <x:c r="M70" s="65" t="n">
        <x:f>IF(H70&lt;=L70,1,0)</x:f>
        <x:v>0</x:v>
      </x:c>
      <x:c r="N70" s="65" t="n">
        <x:f>IF(I70&lt;=L70,1,0)</x:f>
        <x:v>0</x:v>
      </x:c>
      <x:c r="O70" s="51" t="str">
        <x:f>IF(M70=N70,"不变",IF(N70=1,"由禁变允","由允变禁"))</x:f>
        <x:v>不变</x:v>
      </x:c>
      <x:c r="P70" s="51" t="str">
        <x:v>OSRM driving/car</x:v>
      </x:c>
      <x:c r="Q70" s="51" t="str">
        <x:v>2026-08-15</x:v>
      </x:c>
      <x:c r="R70" s="51" t="str">
        <x:v>C-开放路网计算；不是货车/危运合规路线</x:v>
      </x:c>
      <x:c r="S70" s="51" t="str">
        <x:v>https://routing.openstreetmap.de/routed-car/</x:v>
      </x:c>
    </x:row>
    <x:row r="71">
      <x:c r="A71" s="51" t="str">
        <x:v>A0067</x:v>
      </x:c>
      <x:c r="B71" s="51" t="str">
        <x:v>GD04</x:v>
      </x:c>
      <x:c r="C71" s="51" t="str">
        <x:v>source</x:v>
      </x:c>
      <x:c r="D71" s="51" t="str">
        <x:v>汕头</x:v>
      </x:c>
      <x:c r="E71" s="51" t="str">
        <x:v>C04</x:v>
      </x:c>
      <x:c r="F71" s="51" t="str">
        <x:v>collection</x:v>
      </x:c>
      <x:c r="G71" s="51" t="str">
        <x:v>汕头虚拟回收/检测中心</x:v>
      </x:c>
      <x:c r="H71" s="52" t="n">
        <x:v>0</x:v>
      </x:c>
      <x:c r="I71" s="52" t="n">
        <x:v>0</x:v>
      </x:c>
      <x:c r="J71" s="52" t="n">
        <x:v>0</x:v>
      </x:c>
      <x:c r="K71" s="52" t="str">
        <x:f>IFERROR(I71/H71,"")</x:f>
      </x:c>
      <x:c r="L71" s="52" t="n">
        <x:v>150</x:v>
      </x:c>
      <x:c r="M71" s="65" t="n">
        <x:f>IF(H71&lt;=L71,1,0)</x:f>
        <x:v>1</x:v>
      </x:c>
      <x:c r="N71" s="65" t="n">
        <x:f>IF(I71&lt;=L71,1,0)</x:f>
        <x:v>1</x:v>
      </x:c>
      <x:c r="O71" s="51" t="str">
        <x:f>IF(M71=N71,"不变",IF(N71=1,"由禁变允","由允变禁"))</x:f>
        <x:v>不变</x:v>
      </x:c>
      <x:c r="P71" s="51" t="str">
        <x:v>OSRM driving/car</x:v>
      </x:c>
      <x:c r="Q71" s="51" t="str">
        <x:v>2026-08-15</x:v>
      </x:c>
      <x:c r="R71" s="51" t="str">
        <x:v>C-开放路网计算；不是货车/危运合规路线</x:v>
      </x:c>
      <x:c r="S71" s="51" t="str">
        <x:v>https://routing.openstreetmap.de/routed-car/</x:v>
      </x:c>
    </x:row>
    <x:row r="72">
      <x:c r="A72" s="51" t="str">
        <x:v>A0068</x:v>
      </x:c>
      <x:c r="B72" s="51" t="str">
        <x:v>GD04</x:v>
      </x:c>
      <x:c r="C72" s="51" t="str">
        <x:v>source</x:v>
      </x:c>
      <x:c r="D72" s="51" t="str">
        <x:v>汕头</x:v>
      </x:c>
      <x:c r="E72" s="51" t="str">
        <x:v>C05</x:v>
      </x:c>
      <x:c r="F72" s="51" t="str">
        <x:v>collection</x:v>
      </x:c>
      <x:c r="G72" s="51" t="str">
        <x:v>佛山虚拟回收/检测中心</x:v>
      </x:c>
      <x:c r="H72" s="52" t="n">
        <x:v>439.0782039792669</x:v>
      </x:c>
      <x:c r="I72" s="52" t="n">
        <x:v>440.9499</x:v>
      </x:c>
      <x:c r="J72" s="52" t="n">
        <x:v>306.9616666666667</x:v>
      </x:c>
      <x:c r="K72" s="52" t="n">
        <x:f>IFERROR(I72/H72,"")</x:f>
        <x:v>1.0042627850887846</x:v>
      </x:c>
      <x:c r="L72" s="52" t="n">
        <x:v>150</x:v>
      </x:c>
      <x:c r="M72" s="65" t="n">
        <x:f>IF(H72&lt;=L72,1,0)</x:f>
        <x:v>0</x:v>
      </x:c>
      <x:c r="N72" s="65" t="n">
        <x:f>IF(I72&lt;=L72,1,0)</x:f>
        <x:v>0</x:v>
      </x:c>
      <x:c r="O72" s="51" t="str">
        <x:f>IF(M72=N72,"不变",IF(N72=1,"由禁变允","由允变禁"))</x:f>
        <x:v>不变</x:v>
      </x:c>
      <x:c r="P72" s="51" t="str">
        <x:v>OSRM driving/car</x:v>
      </x:c>
      <x:c r="Q72" s="51" t="str">
        <x:v>2026-08-15</x:v>
      </x:c>
      <x:c r="R72" s="51" t="str">
        <x:v>C-开放路网计算；不是货车/危运合规路线</x:v>
      </x:c>
      <x:c r="S72" s="51" t="str">
        <x:v>https://routing.openstreetmap.de/routed-car/</x:v>
      </x:c>
    </x:row>
    <x:row r="73">
      <x:c r="A73" s="51" t="str">
        <x:v>A0069</x:v>
      </x:c>
      <x:c r="B73" s="51" t="str">
        <x:v>GD04</x:v>
      </x:c>
      <x:c r="C73" s="51" t="str">
        <x:v>source</x:v>
      </x:c>
      <x:c r="D73" s="51" t="str">
        <x:v>汕头</x:v>
      </x:c>
      <x:c r="E73" s="51" t="str">
        <x:v>C06</x:v>
      </x:c>
      <x:c r="F73" s="51" t="str">
        <x:v>collection</x:v>
      </x:c>
      <x:c r="G73" s="51" t="str">
        <x:v>韶关虚拟回收/检测中心</x:v>
      </x:c>
      <x:c r="H73" s="52" t="n">
        <x:v>400.29631081436423</x:v>
      </x:c>
      <x:c r="I73" s="52" t="n">
        <x:v>434.0546</x:v>
      </x:c>
      <x:c r="J73" s="52" t="n">
        <x:v>322.81666666666666</x:v>
      </x:c>
      <x:c r="K73" s="52" t="n">
        <x:f>IFERROR(I73/H73,"")</x:f>
        <x:v>1.084333250828512</x:v>
      </x:c>
      <x:c r="L73" s="52" t="n">
        <x:v>150</x:v>
      </x:c>
      <x:c r="M73" s="65" t="n">
        <x:f>IF(H73&lt;=L73,1,0)</x:f>
        <x:v>0</x:v>
      </x:c>
      <x:c r="N73" s="65" t="n">
        <x:f>IF(I73&lt;=L73,1,0)</x:f>
        <x:v>0</x:v>
      </x:c>
      <x:c r="O73" s="51" t="str">
        <x:f>IF(M73=N73,"不变",IF(N73=1,"由禁变允","由允变禁"))</x:f>
        <x:v>不变</x:v>
      </x:c>
      <x:c r="P73" s="51" t="str">
        <x:v>OSRM driving/car</x:v>
      </x:c>
      <x:c r="Q73" s="51" t="str">
        <x:v>2026-08-15</x:v>
      </x:c>
      <x:c r="R73" s="51" t="str">
        <x:v>C-开放路网计算；不是货车/危运合规路线</x:v>
      </x:c>
      <x:c r="S73" s="51" t="str">
        <x:v>https://routing.openstreetmap.de/routed-car/</x:v>
      </x:c>
    </x:row>
    <x:row r="74">
      <x:c r="A74" s="51" t="str">
        <x:v>A0070</x:v>
      </x:c>
      <x:c r="B74" s="51" t="str">
        <x:v>GD04</x:v>
      </x:c>
      <x:c r="C74" s="51" t="str">
        <x:v>source</x:v>
      </x:c>
      <x:c r="D74" s="51" t="str">
        <x:v>汕头</x:v>
      </x:c>
      <x:c r="E74" s="51" t="str">
        <x:v>C07</x:v>
      </x:c>
      <x:c r="F74" s="51" t="str">
        <x:v>collection</x:v>
      </x:c>
      <x:c r="G74" s="51" t="str">
        <x:v>河源虚拟回收/检测中心</x:v>
      </x:c>
      <x:c r="H74" s="52" t="n">
        <x:v>221.4376923116871</x:v>
      </x:c>
      <x:c r="I74" s="52" t="n">
        <x:v>235.459</x:v>
      </x:c>
      <x:c r="J74" s="52" t="n">
        <x:v>186.12166666666664</x:v>
      </x:c>
      <x:c r="K74" s="52" t="n">
        <x:f>IFERROR(I74/H74,"")</x:f>
        <x:v>1.0633194265255306</x:v>
      </x:c>
      <x:c r="L74" s="52" t="n">
        <x:v>150</x:v>
      </x:c>
      <x:c r="M74" s="65" t="n">
        <x:f>IF(H74&lt;=L74,1,0)</x:f>
        <x:v>0</x:v>
      </x:c>
      <x:c r="N74" s="65" t="n">
        <x:f>IF(I74&lt;=L74,1,0)</x:f>
        <x:v>0</x:v>
      </x:c>
      <x:c r="O74" s="51" t="str">
        <x:f>IF(M74=N74,"不变",IF(N74=1,"由禁变允","由允变禁"))</x:f>
        <x:v>不变</x:v>
      </x:c>
      <x:c r="P74" s="51" t="str">
        <x:v>OSRM driving/car</x:v>
      </x:c>
      <x:c r="Q74" s="51" t="str">
        <x:v>2026-08-15</x:v>
      </x:c>
      <x:c r="R74" s="51" t="str">
        <x:v>C-开放路网计算；不是货车/危运合规路线</x:v>
      </x:c>
      <x:c r="S74" s="51" t="str">
        <x:v>https://routing.openstreetmap.de/routed-car/</x:v>
      </x:c>
    </x:row>
    <x:row r="75">
      <x:c r="A75" s="51" t="str">
        <x:v>A0071</x:v>
      </x:c>
      <x:c r="B75" s="51" t="str">
        <x:v>GD04</x:v>
      </x:c>
      <x:c r="C75" s="51" t="str">
        <x:v>source</x:v>
      </x:c>
      <x:c r="D75" s="51" t="str">
        <x:v>汕头</x:v>
      </x:c>
      <x:c r="E75" s="51" t="str">
        <x:v>C08</x:v>
      </x:c>
      <x:c r="F75" s="51" t="str">
        <x:v>collection</x:v>
      </x:c>
      <x:c r="G75" s="51" t="str">
        <x:v>梅州虚拟回收/检测中心</x:v>
      </x:c>
      <x:c r="H75" s="52" t="n">
        <x:v>142.3374058165527</x:v>
      </x:c>
      <x:c r="I75" s="52" t="n">
        <x:v>155.25039999999998</x:v>
      </x:c>
      <x:c r="J75" s="52" t="n">
        <x:v>113.04666666666667</x:v>
      </x:c>
      <x:c r="K75" s="52" t="n">
        <x:f>IFERROR(I75/H75,"")</x:f>
        <x:v>1.0907210167936447</x:v>
      </x:c>
      <x:c r="L75" s="52" t="n">
        <x:v>150</x:v>
      </x:c>
      <x:c r="M75" s="65" t="n">
        <x:f>IF(H75&lt;=L75,1,0)</x:f>
        <x:v>1</x:v>
      </x:c>
      <x:c r="N75" s="65" t="n">
        <x:f>IF(I75&lt;=L75,1,0)</x:f>
        <x:v>0</x:v>
      </x:c>
      <x:c r="O75" s="51" t="str">
        <x:f>IF(M75=N75,"不变",IF(N75=1,"由禁变允","由允变禁"))</x:f>
        <x:v>由允变禁</x:v>
      </x:c>
      <x:c r="P75" s="51" t="str">
        <x:v>OSRM driving/car</x:v>
      </x:c>
      <x:c r="Q75" s="51" t="str">
        <x:v>2026-08-15</x:v>
      </x:c>
      <x:c r="R75" s="51" t="str">
        <x:v>C-开放路网计算；不是货车/危运合规路线</x:v>
      </x:c>
      <x:c r="S75" s="51" t="str">
        <x:v>https://routing.openstreetmap.de/routed-car/</x:v>
      </x:c>
    </x:row>
    <x:row r="76">
      <x:c r="A76" s="51" t="str">
        <x:v>A0072</x:v>
      </x:c>
      <x:c r="B76" s="51" t="str">
        <x:v>GD04</x:v>
      </x:c>
      <x:c r="C76" s="51" t="str">
        <x:v>source</x:v>
      </x:c>
      <x:c r="D76" s="51" t="str">
        <x:v>汕头</x:v>
      </x:c>
      <x:c r="E76" s="51" t="str">
        <x:v>C09</x:v>
      </x:c>
      <x:c r="F76" s="51" t="str">
        <x:v>collection</x:v>
      </x:c>
      <x:c r="G76" s="51" t="str">
        <x:v>惠州虚拟回收/检测中心</x:v>
      </x:c>
      <x:c r="H76" s="52" t="n">
        <x:v>279.59950256039025</x:v>
      </x:c>
      <x:c r="I76" s="52" t="n">
        <x:v>287.5241</x:v>
      </x:c>
      <x:c r="J76" s="52" t="n">
        <x:v>208.64</x:v>
      </x:c>
      <x:c r="K76" s="52" t="n">
        <x:f>IFERROR(I76/H76,"")</x:f>
        <x:v>1.02834267359935</x:v>
      </x:c>
      <x:c r="L76" s="52" t="n">
        <x:v>150</x:v>
      </x:c>
      <x:c r="M76" s="65" t="n">
        <x:f>IF(H76&lt;=L76,1,0)</x:f>
        <x:v>0</x:v>
      </x:c>
      <x:c r="N76" s="65" t="n">
        <x:f>IF(I76&lt;=L76,1,0)</x:f>
        <x:v>0</x:v>
      </x:c>
      <x:c r="O76" s="51" t="str">
        <x:f>IF(M76=N76,"不变",IF(N76=1,"由禁变允","由允变禁"))</x:f>
        <x:v>不变</x:v>
      </x:c>
      <x:c r="P76" s="51" t="str">
        <x:v>OSRM driving/car</x:v>
      </x:c>
      <x:c r="Q76" s="51" t="str">
        <x:v>2026-08-15</x:v>
      </x:c>
      <x:c r="R76" s="51" t="str">
        <x:v>C-开放路网计算；不是货车/危运合规路线</x:v>
      </x:c>
      <x:c r="S76" s="51" t="str">
        <x:v>https://routing.openstreetmap.de/routed-car/</x:v>
      </x:c>
    </x:row>
    <x:row r="77">
      <x:c r="A77" s="51" t="str">
        <x:v>A0073</x:v>
      </x:c>
      <x:c r="B77" s="51" t="str">
        <x:v>GD04</x:v>
      </x:c>
      <x:c r="C77" s="51" t="str">
        <x:v>source</x:v>
      </x:c>
      <x:c r="D77" s="51" t="str">
        <x:v>汕头</x:v>
      </x:c>
      <x:c r="E77" s="51" t="str">
        <x:v>C10</x:v>
      </x:c>
      <x:c r="F77" s="51" t="str">
        <x:v>collection</x:v>
      </x:c>
      <x:c r="G77" s="51" t="str">
        <x:v>汕尾虚拟回收/检测中心</x:v>
      </x:c>
      <x:c r="H77" s="52" t="n">
        <x:v>150.39117711768017</x:v>
      </x:c>
      <x:c r="I77" s="52" t="n">
        <x:v>164.7196</x:v>
      </x:c>
      <x:c r="J77" s="52" t="n">
        <x:v>132.48166666666665</x:v>
      </x:c>
      <x:c r="K77" s="52" t="n">
        <x:f>IFERROR(I77/H77,"")</x:f>
        <x:v>1.0952743582232083</x:v>
      </x:c>
      <x:c r="L77" s="52" t="n">
        <x:v>150</x:v>
      </x:c>
      <x:c r="M77" s="65" t="n">
        <x:f>IF(H77&lt;=L77,1,0)</x:f>
        <x:v>0</x:v>
      </x:c>
      <x:c r="N77" s="65" t="n">
        <x:f>IF(I77&lt;=L77,1,0)</x:f>
        <x:v>0</x:v>
      </x:c>
      <x:c r="O77" s="51" t="str">
        <x:f>IF(M77=N77,"不变",IF(N77=1,"由禁变允","由允变禁"))</x:f>
        <x:v>不变</x:v>
      </x:c>
      <x:c r="P77" s="51" t="str">
        <x:v>OSRM driving/car</x:v>
      </x:c>
      <x:c r="Q77" s="51" t="str">
        <x:v>2026-08-15</x:v>
      </x:c>
      <x:c r="R77" s="51" t="str">
        <x:v>C-开放路网计算；不是货车/危运合规路线</x:v>
      </x:c>
      <x:c r="S77" s="51" t="str">
        <x:v>https://routing.openstreetmap.de/routed-car/</x:v>
      </x:c>
    </x:row>
    <x:row r="78">
      <x:c r="A78" s="51" t="str">
        <x:v>A0074</x:v>
      </x:c>
      <x:c r="B78" s="51" t="str">
        <x:v>GD04</x:v>
      </x:c>
      <x:c r="C78" s="51" t="str">
        <x:v>source</x:v>
      </x:c>
      <x:c r="D78" s="51" t="str">
        <x:v>汕头</x:v>
      </x:c>
      <x:c r="E78" s="51" t="str">
        <x:v>C11</x:v>
      </x:c>
      <x:c r="F78" s="51" t="str">
        <x:v>collection</x:v>
      </x:c>
      <x:c r="G78" s="51" t="str">
        <x:v>东莞虚拟回收/检测中心</x:v>
      </x:c>
      <x:c r="H78" s="52" t="n">
        <x:v>362.4792813676039</x:v>
      </x:c>
      <x:c r="I78" s="52" t="n">
        <x:v>363.1892</x:v>
      </x:c>
      <x:c r="J78" s="52" t="n">
        <x:v>251.29666666666665</x:v>
      </x:c>
      <x:c r="K78" s="52" t="n">
        <x:f>IFERROR(I78/H78,"")</x:f>
        <x:v>1.0019585081655362</x:v>
      </x:c>
      <x:c r="L78" s="52" t="n">
        <x:v>150</x:v>
      </x:c>
      <x:c r="M78" s="65" t="n">
        <x:f>IF(H78&lt;=L78,1,0)</x:f>
        <x:v>0</x:v>
      </x:c>
      <x:c r="N78" s="65" t="n">
        <x:f>IF(I78&lt;=L78,1,0)</x:f>
        <x:v>0</x:v>
      </x:c>
      <x:c r="O78" s="51" t="str">
        <x:f>IF(M78=N78,"不变",IF(N78=1,"由禁变允","由允变禁"))</x:f>
        <x:v>不变</x:v>
      </x:c>
      <x:c r="P78" s="51" t="str">
        <x:v>OSRM driving/car</x:v>
      </x:c>
      <x:c r="Q78" s="51" t="str">
        <x:v>2026-08-15</x:v>
      </x:c>
      <x:c r="R78" s="51" t="str">
        <x:v>C-开放路网计算；不是货车/危运合规路线</x:v>
      </x:c>
      <x:c r="S78" s="51" t="str">
        <x:v>https://routing.openstreetmap.de/routed-car/</x:v>
      </x:c>
    </x:row>
    <x:row r="79">
      <x:c r="A79" s="51" t="str">
        <x:v>A0075</x:v>
      </x:c>
      <x:c r="B79" s="51" t="str">
        <x:v>GD04</x:v>
      </x:c>
      <x:c r="C79" s="51" t="str">
        <x:v>source</x:v>
      </x:c>
      <x:c r="D79" s="51" t="str">
        <x:v>汕头</x:v>
      </x:c>
      <x:c r="E79" s="51" t="str">
        <x:v>C12</x:v>
      </x:c>
      <x:c r="F79" s="51" t="str">
        <x:v>collection</x:v>
      </x:c>
      <x:c r="G79" s="51" t="str">
        <x:v>中山虚拟回收/检测中心</x:v>
      </x:c>
      <x:c r="H79" s="52" t="n">
        <x:v>419.44492112015877</x:v>
      </x:c>
      <x:c r="I79" s="52" t="n">
        <x:v>413.5565</x:v>
      </x:c>
      <x:c r="J79" s="52" t="n">
        <x:v>293.5783333333333</x:v>
      </x:c>
      <x:c r="K79" s="52" t="n">
        <x:f>IFERROR(I79/H79,"")</x:f>
        <x:v>0.9859613960649869</x:v>
      </x:c>
      <x:c r="L79" s="52" t="n">
        <x:v>150</x:v>
      </x:c>
      <x:c r="M79" s="65" t="n">
        <x:f>IF(H79&lt;=L79,1,0)</x:f>
        <x:v>0</x:v>
      </x:c>
      <x:c r="N79" s="65" t="n">
        <x:f>IF(I79&lt;=L79,1,0)</x:f>
        <x:v>0</x:v>
      </x:c>
      <x:c r="O79" s="51" t="str">
        <x:f>IF(M79=N79,"不变",IF(N79=1,"由禁变允","由允变禁"))</x:f>
        <x:v>不变</x:v>
      </x:c>
      <x:c r="P79" s="51" t="str">
        <x:v>OSRM driving/car</x:v>
      </x:c>
      <x:c r="Q79" s="51" t="str">
        <x:v>2026-08-15</x:v>
      </x:c>
      <x:c r="R79" s="51" t="str">
        <x:v>C-开放路网计算；不是货车/危运合规路线</x:v>
      </x:c>
      <x:c r="S79" s="51" t="str">
        <x:v>https://routing.openstreetmap.de/routed-car/</x:v>
      </x:c>
    </x:row>
    <x:row r="80">
      <x:c r="A80" s="51" t="str">
        <x:v>A0076</x:v>
      </x:c>
      <x:c r="B80" s="51" t="str">
        <x:v>GD04</x:v>
      </x:c>
      <x:c r="C80" s="51" t="str">
        <x:v>source</x:v>
      </x:c>
      <x:c r="D80" s="51" t="str">
        <x:v>汕头</x:v>
      </x:c>
      <x:c r="E80" s="51" t="str">
        <x:v>C13</x:v>
      </x:c>
      <x:c r="F80" s="51" t="str">
        <x:v>collection</x:v>
      </x:c>
      <x:c r="G80" s="51" t="str">
        <x:v>江门虚拟回收/检测中心</x:v>
      </x:c>
      <x:c r="H80" s="52" t="n">
        <x:v>454.35854812853415</x:v>
      </x:c>
      <x:c r="I80" s="52" t="n">
        <x:v>447.9312</x:v>
      </x:c>
      <x:c r="J80" s="52" t="n">
        <x:v>317.76500000000004</x:v>
      </x:c>
      <x:c r="K80" s="52" t="n">
        <x:f>IFERROR(I80/H80,"")</x:f>
        <x:v>0.985854017372386</x:v>
      </x:c>
      <x:c r="L80" s="52" t="n">
        <x:v>150</x:v>
      </x:c>
      <x:c r="M80" s="65" t="n">
        <x:f>IF(H80&lt;=L80,1,0)</x:f>
        <x:v>0</x:v>
      </x:c>
      <x:c r="N80" s="65" t="n">
        <x:f>IF(I80&lt;=L80,1,0)</x:f>
        <x:v>0</x:v>
      </x:c>
      <x:c r="O80" s="51" t="str">
        <x:f>IF(M80=N80,"不变",IF(N80=1,"由禁变允","由允变禁"))</x:f>
        <x:v>不变</x:v>
      </x:c>
      <x:c r="P80" s="51" t="str">
        <x:v>OSRM driving/car</x:v>
      </x:c>
      <x:c r="Q80" s="51" t="str">
        <x:v>2026-08-15</x:v>
      </x:c>
      <x:c r="R80" s="51" t="str">
        <x:v>C-开放路网计算；不是货车/危运合规路线</x:v>
      </x:c>
      <x:c r="S80" s="51" t="str">
        <x:v>https://routing.openstreetmap.de/routed-car/</x:v>
      </x:c>
    </x:row>
    <x:row r="81">
      <x:c r="A81" s="51" t="str">
        <x:v>A0077</x:v>
      </x:c>
      <x:c r="B81" s="51" t="str">
        <x:v>GD04</x:v>
      </x:c>
      <x:c r="C81" s="51" t="str">
        <x:v>source</x:v>
      </x:c>
      <x:c r="D81" s="51" t="str">
        <x:v>汕头</x:v>
      </x:c>
      <x:c r="E81" s="51" t="str">
        <x:v>C14</x:v>
      </x:c>
      <x:c r="F81" s="51" t="str">
        <x:v>collection</x:v>
      </x:c>
      <x:c r="G81" s="51" t="str">
        <x:v>阳江虚拟回收/检测中心</x:v>
      </x:c>
      <x:c r="H81" s="52" t="n">
        <x:v>625.3796721915959</x:v>
      </x:c>
      <x:c r="I81" s="52" t="n">
        <x:v>620.4372</x:v>
      </x:c>
      <x:c r="J81" s="52" t="n">
        <x:v>432.1166666666667</x:v>
      </x:c>
      <x:c r="K81" s="52" t="n">
        <x:f>IFERROR(I81/H81,"")</x:f>
        <x:v>0.9920968454662503</x:v>
      </x:c>
      <x:c r="L81" s="52" t="n">
        <x:v>150</x:v>
      </x:c>
      <x:c r="M81" s="65" t="n">
        <x:f>IF(H81&lt;=L81,1,0)</x:f>
        <x:v>0</x:v>
      </x:c>
      <x:c r="N81" s="65" t="n">
        <x:f>IF(I81&lt;=L81,1,0)</x:f>
        <x:v>0</x:v>
      </x:c>
      <x:c r="O81" s="51" t="str">
        <x:f>IF(M81=N81,"不变",IF(N81=1,"由禁变允","由允变禁"))</x:f>
        <x:v>不变</x:v>
      </x:c>
      <x:c r="P81" s="51" t="str">
        <x:v>OSRM driving/car</x:v>
      </x:c>
      <x:c r="Q81" s="51" t="str">
        <x:v>2026-08-15</x:v>
      </x:c>
      <x:c r="R81" s="51" t="str">
        <x:v>C-开放路网计算；不是货车/危运合规路线</x:v>
      </x:c>
      <x:c r="S81" s="51" t="str">
        <x:v>https://routing.openstreetmap.de/routed-car/</x:v>
      </x:c>
    </x:row>
    <x:row r="82">
      <x:c r="A82" s="51" t="str">
        <x:v>A0078</x:v>
      </x:c>
      <x:c r="B82" s="51" t="str">
        <x:v>GD04</x:v>
      </x:c>
      <x:c r="C82" s="51" t="str">
        <x:v>source</x:v>
      </x:c>
      <x:c r="D82" s="51" t="str">
        <x:v>汕头</x:v>
      </x:c>
      <x:c r="E82" s="51" t="str">
        <x:v>C15</x:v>
      </x:c>
      <x:c r="F82" s="51" t="str">
        <x:v>collection</x:v>
      </x:c>
      <x:c r="G82" s="51" t="str">
        <x:v>湛江虚拟回收/检测中心</x:v>
      </x:c>
      <x:c r="H82" s="52" t="n">
        <x:v>828.3713526049856</x:v>
      </x:c>
      <x:c r="I82" s="52" t="n">
        <x:v>792.22</x:v>
      </x:c>
      <x:c r="J82" s="52" t="n">
        <x:v>542.49</x:v>
      </x:c>
      <x:c r="K82" s="52" t="n">
        <x:f>IFERROR(I82/H82,"")</x:f>
        <x:v>0.9563585190490953</x:v>
      </x:c>
      <x:c r="L82" s="52" t="n">
        <x:v>150</x:v>
      </x:c>
      <x:c r="M82" s="65" t="n">
        <x:f>IF(H82&lt;=L82,1,0)</x:f>
        <x:v>0</x:v>
      </x:c>
      <x:c r="N82" s="65" t="n">
        <x:f>IF(I82&lt;=L82,1,0)</x:f>
        <x:v>0</x:v>
      </x:c>
      <x:c r="O82" s="51" t="str">
        <x:f>IF(M82=N82,"不变",IF(N82=1,"由禁变允","由允变禁"))</x:f>
        <x:v>不变</x:v>
      </x:c>
      <x:c r="P82" s="51" t="str">
        <x:v>OSRM driving/car</x:v>
      </x:c>
      <x:c r="Q82" s="51" t="str">
        <x:v>2026-08-15</x:v>
      </x:c>
      <x:c r="R82" s="51" t="str">
        <x:v>C-开放路网计算；不是货车/危运合规路线</x:v>
      </x:c>
      <x:c r="S82" s="51" t="str">
        <x:v>https://routing.openstreetmap.de/routed-car/</x:v>
      </x:c>
    </x:row>
    <x:row r="83">
      <x:c r="A83" s="51" t="str">
        <x:v>A0079</x:v>
      </x:c>
      <x:c r="B83" s="51" t="str">
        <x:v>GD04</x:v>
      </x:c>
      <x:c r="C83" s="51" t="str">
        <x:v>source</x:v>
      </x:c>
      <x:c r="D83" s="51" t="str">
        <x:v>汕头</x:v>
      </x:c>
      <x:c r="E83" s="51" t="str">
        <x:v>C16</x:v>
      </x:c>
      <x:c r="F83" s="51" t="str">
        <x:v>collection</x:v>
      </x:c>
      <x:c r="G83" s="51" t="str">
        <x:v>茂名虚拟回收/检测中心</x:v>
      </x:c>
      <x:c r="H83" s="52" t="n">
        <x:v>744.5218279389317</x:v>
      </x:c>
      <x:c r="I83" s="52" t="n">
        <x:v>711.4706</x:v>
      </x:c>
      <x:c r="J83" s="52" t="n">
        <x:v>491.405</x:v>
      </x:c>
      <x:c r="K83" s="52" t="n">
        <x:f>IFERROR(I83/H83,"")</x:f>
        <x:v>0.9556074426582928</x:v>
      </x:c>
      <x:c r="L83" s="52" t="n">
        <x:v>150</x:v>
      </x:c>
      <x:c r="M83" s="65" t="n">
        <x:f>IF(H83&lt;=L83,1,0)</x:f>
        <x:v>0</x:v>
      </x:c>
      <x:c r="N83" s="65" t="n">
        <x:f>IF(I83&lt;=L83,1,0)</x:f>
        <x:v>0</x:v>
      </x:c>
      <x:c r="O83" s="51" t="str">
        <x:f>IF(M83=N83,"不变",IF(N83=1,"由禁变允","由允变禁"))</x:f>
        <x:v>不变</x:v>
      </x:c>
      <x:c r="P83" s="51" t="str">
        <x:v>OSRM driving/car</x:v>
      </x:c>
      <x:c r="Q83" s="51" t="str">
        <x:v>2026-08-15</x:v>
      </x:c>
      <x:c r="R83" s="51" t="str">
        <x:v>C-开放路网计算；不是货车/危运合规路线</x:v>
      </x:c>
      <x:c r="S83" s="51" t="str">
        <x:v>https://routing.openstreetmap.de/routed-car/</x:v>
      </x:c>
    </x:row>
    <x:row r="84">
      <x:c r="A84" s="51" t="str">
        <x:v>A0080</x:v>
      </x:c>
      <x:c r="B84" s="51" t="str">
        <x:v>GD04</x:v>
      </x:c>
      <x:c r="C84" s="51" t="str">
        <x:v>source</x:v>
      </x:c>
      <x:c r="D84" s="51" t="str">
        <x:v>汕头</x:v>
      </x:c>
      <x:c r="E84" s="51" t="str">
        <x:v>C17</x:v>
      </x:c>
      <x:c r="F84" s="51" t="str">
        <x:v>collection</x:v>
      </x:c>
      <x:c r="G84" s="51" t="str">
        <x:v>肇庆虚拟回收/检测中心</x:v>
      </x:c>
      <x:c r="H84" s="52" t="n">
        <x:v>518.7961723587362</x:v>
      </x:c>
      <x:c r="I84" s="52" t="n">
        <x:v>510.3195</x:v>
      </x:c>
      <x:c r="J84" s="52" t="n">
        <x:v>357.37833333333333</x:v>
      </x:c>
      <x:c r="K84" s="52" t="n">
        <x:f>IFERROR(I84/H84,"")</x:f>
        <x:v>0.9836608810735891</x:v>
      </x:c>
      <x:c r="L84" s="52" t="n">
        <x:v>150</x:v>
      </x:c>
      <x:c r="M84" s="65" t="n">
        <x:f>IF(H84&lt;=L84,1,0)</x:f>
        <x:v>0</x:v>
      </x:c>
      <x:c r="N84" s="65" t="n">
        <x:f>IF(I84&lt;=L84,1,0)</x:f>
        <x:v>0</x:v>
      </x:c>
      <x:c r="O84" s="51" t="str">
        <x:f>IF(M84=N84,"不变",IF(N84=1,"由禁变允","由允变禁"))</x:f>
        <x:v>不变</x:v>
      </x:c>
      <x:c r="P84" s="51" t="str">
        <x:v>OSRM driving/car</x:v>
      </x:c>
      <x:c r="Q84" s="51" t="str">
        <x:v>2026-08-15</x:v>
      </x:c>
      <x:c r="R84" s="51" t="str">
        <x:v>C-开放路网计算；不是货车/危运合规路线</x:v>
      </x:c>
      <x:c r="S84" s="51" t="str">
        <x:v>https://routing.openstreetmap.de/routed-car/</x:v>
      </x:c>
    </x:row>
    <x:row r="85">
      <x:c r="A85" s="51" t="str">
        <x:v>A0081</x:v>
      </x:c>
      <x:c r="B85" s="51" t="str">
        <x:v>GD04</x:v>
      </x:c>
      <x:c r="C85" s="51" t="str">
        <x:v>source</x:v>
      </x:c>
      <x:c r="D85" s="51" t="str">
        <x:v>汕头</x:v>
      </x:c>
      <x:c r="E85" s="51" t="str">
        <x:v>C18</x:v>
      </x:c>
      <x:c r="F85" s="51" t="str">
        <x:v>collection</x:v>
      </x:c>
      <x:c r="G85" s="51" t="str">
        <x:v>清远虚拟回收/检测中心</x:v>
      </x:c>
      <x:c r="H85" s="52" t="n">
        <x:v>445.8822972488896</x:v>
      </x:c>
      <x:c r="I85" s="52" t="n">
        <x:v>427.49379999999996</x:v>
      </x:c>
      <x:c r="J85" s="52" t="n">
        <x:v>304.60999999999996</x:v>
      </x:c>
      <x:c r="K85" s="52" t="n">
        <x:f>IFERROR(I85/H85,"")</x:f>
        <x:v>0.9587593018104837</x:v>
      </x:c>
      <x:c r="L85" s="52" t="n">
        <x:v>150</x:v>
      </x:c>
      <x:c r="M85" s="65" t="n">
        <x:f>IF(H85&lt;=L85,1,0)</x:f>
        <x:v>0</x:v>
      </x:c>
      <x:c r="N85" s="65" t="n">
        <x:f>IF(I85&lt;=L85,1,0)</x:f>
        <x:v>0</x:v>
      </x:c>
      <x:c r="O85" s="51" t="str">
        <x:f>IF(M85=N85,"不变",IF(N85=1,"由禁变允","由允变禁"))</x:f>
        <x:v>不变</x:v>
      </x:c>
      <x:c r="P85" s="51" t="str">
        <x:v>OSRM driving/car</x:v>
      </x:c>
      <x:c r="Q85" s="51" t="str">
        <x:v>2026-08-15</x:v>
      </x:c>
      <x:c r="R85" s="51" t="str">
        <x:v>C-开放路网计算；不是货车/危运合规路线</x:v>
      </x:c>
      <x:c r="S85" s="51" t="str">
        <x:v>https://routing.openstreetmap.de/routed-car/</x:v>
      </x:c>
    </x:row>
    <x:row r="86">
      <x:c r="A86" s="51" t="str">
        <x:v>A0082</x:v>
      </x:c>
      <x:c r="B86" s="51" t="str">
        <x:v>GD04</x:v>
      </x:c>
      <x:c r="C86" s="51" t="str">
        <x:v>source</x:v>
      </x:c>
      <x:c r="D86" s="51" t="str">
        <x:v>汕头</x:v>
      </x:c>
      <x:c r="E86" s="51" t="str">
        <x:v>C19</x:v>
      </x:c>
      <x:c r="F86" s="51" t="str">
        <x:v>collection</x:v>
      </x:c>
      <x:c r="G86" s="51" t="str">
        <x:v>潮州虚拟回收/检测中心</x:v>
      </x:c>
      <x:c r="H86" s="52" t="n">
        <x:v>40.66307002511119</x:v>
      </x:c>
      <x:c r="I86" s="52" t="n">
        <x:v>41.325</x:v>
      </x:c>
      <x:c r="J86" s="52" t="n">
        <x:v>40.00666666666667</x:v>
      </x:c>
      <x:c r="K86" s="52" t="n">
        <x:f>IFERROR(I86/H86,"")</x:f>
        <x:v>1.0162784062905246</x:v>
      </x:c>
      <x:c r="L86" s="52" t="n">
        <x:v>150</x:v>
      </x:c>
      <x:c r="M86" s="65" t="n">
        <x:f>IF(H86&lt;=L86,1,0)</x:f>
        <x:v>1</x:v>
      </x:c>
      <x:c r="N86" s="65" t="n">
        <x:f>IF(I86&lt;=L86,1,0)</x:f>
        <x:v>1</x:v>
      </x:c>
      <x:c r="O86" s="51" t="str">
        <x:f>IF(M86=N86,"不变",IF(N86=1,"由禁变允","由允变禁"))</x:f>
        <x:v>不变</x:v>
      </x:c>
      <x:c r="P86" s="51" t="str">
        <x:v>OSRM driving/car</x:v>
      </x:c>
      <x:c r="Q86" s="51" t="str">
        <x:v>2026-08-15</x:v>
      </x:c>
      <x:c r="R86" s="51" t="str">
        <x:v>C-开放路网计算；不是货车/危运合规路线</x:v>
      </x:c>
      <x:c r="S86" s="51" t="str">
        <x:v>https://routing.openstreetmap.de/routed-car/</x:v>
      </x:c>
    </x:row>
    <x:row r="87">
      <x:c r="A87" s="51" t="str">
        <x:v>A0083</x:v>
      </x:c>
      <x:c r="B87" s="51" t="str">
        <x:v>GD04</x:v>
      </x:c>
      <x:c r="C87" s="51" t="str">
        <x:v>source</x:v>
      </x:c>
      <x:c r="D87" s="51" t="str">
        <x:v>汕头</x:v>
      </x:c>
      <x:c r="E87" s="51" t="str">
        <x:v>C20</x:v>
      </x:c>
      <x:c r="F87" s="51" t="str">
        <x:v>collection</x:v>
      </x:c>
      <x:c r="G87" s="51" t="str">
        <x:v>揭阳虚拟回收/检测中心</x:v>
      </x:c>
      <x:c r="H87" s="52" t="n">
        <x:v>46.098821191901905</x:v>
      </x:c>
      <x:c r="I87" s="52" t="n">
        <x:v>46.2723</x:v>
      </x:c>
      <x:c r="J87" s="52" t="n">
        <x:v>36.885</x:v>
      </x:c>
      <x:c r="K87" s="52" t="n">
        <x:f>IFERROR(I87/H87,"")</x:f>
        <x:v>1.0037631940169562</x:v>
      </x:c>
      <x:c r="L87" s="52" t="n">
        <x:v>150</x:v>
      </x:c>
      <x:c r="M87" s="65" t="n">
        <x:f>IF(H87&lt;=L87,1,0)</x:f>
        <x:v>1</x:v>
      </x:c>
      <x:c r="N87" s="65" t="n">
        <x:f>IF(I87&lt;=L87,1,0)</x:f>
        <x:v>1</x:v>
      </x:c>
      <x:c r="O87" s="51" t="str">
        <x:f>IF(M87=N87,"不变",IF(N87=1,"由禁变允","由允变禁"))</x:f>
        <x:v>不变</x:v>
      </x:c>
      <x:c r="P87" s="51" t="str">
        <x:v>OSRM driving/car</x:v>
      </x:c>
      <x:c r="Q87" s="51" t="str">
        <x:v>2026-08-15</x:v>
      </x:c>
      <x:c r="R87" s="51" t="str">
        <x:v>C-开放路网计算；不是货车/危运合规路线</x:v>
      </x:c>
      <x:c r="S87" s="51" t="str">
        <x:v>https://routing.openstreetmap.de/routed-car/</x:v>
      </x:c>
    </x:row>
    <x:row r="88">
      <x:c r="A88" s="51" t="str">
        <x:v>A0084</x:v>
      </x:c>
      <x:c r="B88" s="51" t="str">
        <x:v>GD04</x:v>
      </x:c>
      <x:c r="C88" s="51" t="str">
        <x:v>source</x:v>
      </x:c>
      <x:c r="D88" s="51" t="str">
        <x:v>汕头</x:v>
      </x:c>
      <x:c r="E88" s="51" t="str">
        <x:v>C21</x:v>
      </x:c>
      <x:c r="F88" s="51" t="str">
        <x:v>collection</x:v>
      </x:c>
      <x:c r="G88" s="51" t="str">
        <x:v>云浮虚拟回收/检测中心</x:v>
      </x:c>
      <x:c r="H88" s="52" t="n">
        <x:v>601.3705692723286</x:v>
      </x:c>
      <x:c r="I88" s="52" t="n">
        <x:v>597.1908000000001</x:v>
      </x:c>
      <x:c r="J88" s="52" t="n">
        <x:v>411.555</x:v>
      </x:c>
      <x:c r="K88" s="52" t="n">
        <x:f>IFERROR(I88/H88,"")</x:f>
        <x:v>0.9930495945663153</x:v>
      </x:c>
      <x:c r="L88" s="52" t="n">
        <x:v>150</x:v>
      </x:c>
      <x:c r="M88" s="65" t="n">
        <x:f>IF(H88&lt;=L88,1,0)</x:f>
        <x:v>0</x:v>
      </x:c>
      <x:c r="N88" s="65" t="n">
        <x:f>IF(I88&lt;=L88,1,0)</x:f>
        <x:v>0</x:v>
      </x:c>
      <x:c r="O88" s="51" t="str">
        <x:f>IF(M88=N88,"不变",IF(N88=1,"由禁变允","由允变禁"))</x:f>
        <x:v>不变</x:v>
      </x:c>
      <x:c r="P88" s="51" t="str">
        <x:v>OSRM driving/car</x:v>
      </x:c>
      <x:c r="Q88" s="51" t="str">
        <x:v>2026-08-15</x:v>
      </x:c>
      <x:c r="R88" s="51" t="str">
        <x:v>C-开放路网计算；不是货车/危运合规路线</x:v>
      </x:c>
      <x:c r="S88" s="51" t="str">
        <x:v>https://routing.openstreetmap.de/routed-car/</x:v>
      </x:c>
    </x:row>
    <x:row r="89">
      <x:c r="A89" s="51" t="str">
        <x:v>A0085</x:v>
      </x:c>
      <x:c r="B89" s="51" t="str">
        <x:v>GD05</x:v>
      </x:c>
      <x:c r="C89" s="51" t="str">
        <x:v>source</x:v>
      </x:c>
      <x:c r="D89" s="51" t="str">
        <x:v>佛山</x:v>
      </x:c>
      <x:c r="E89" s="51" t="str">
        <x:v>C01</x:v>
      </x:c>
      <x:c r="F89" s="51" t="str">
        <x:v>collection</x:v>
      </x:c>
      <x:c r="G89" s="51" t="str">
        <x:v>广州虚拟回收/检测中心</x:v>
      </x:c>
      <x:c r="H89" s="52" t="n">
        <x:v>22.448811015599897</x:v>
      </x:c>
      <x:c r="I89" s="52" t="n">
        <x:v>24.544700000000002</x:v>
      </x:c>
      <x:c r="J89" s="52" t="n">
        <x:v>21.89333333333333</x:v>
      </x:c>
      <x:c r="K89" s="52" t="n">
        <x:f>IFERROR(I89/H89,"")</x:f>
        <x:v>1.09336302857838</x:v>
      </x:c>
      <x:c r="L89" s="52" t="n">
        <x:v>150</x:v>
      </x:c>
      <x:c r="M89" s="65" t="n">
        <x:f>IF(H89&lt;=L89,1,0)</x:f>
        <x:v>1</x:v>
      </x:c>
      <x:c r="N89" s="65" t="n">
        <x:f>IF(I89&lt;=L89,1,0)</x:f>
        <x:v>1</x:v>
      </x:c>
      <x:c r="O89" s="51" t="str">
        <x:f>IF(M89=N89,"不变",IF(N89=1,"由禁变允","由允变禁"))</x:f>
        <x:v>不变</x:v>
      </x:c>
      <x:c r="P89" s="51" t="str">
        <x:v>OSRM driving/car</x:v>
      </x:c>
      <x:c r="Q89" s="51" t="str">
        <x:v>2026-08-15</x:v>
      </x:c>
      <x:c r="R89" s="51" t="str">
        <x:v>C-开放路网计算；不是货车/危运合规路线</x:v>
      </x:c>
      <x:c r="S89" s="51" t="str">
        <x:v>https://routing.openstreetmap.de/routed-car/</x:v>
      </x:c>
    </x:row>
    <x:row r="90">
      <x:c r="A90" s="51" t="str">
        <x:v>A0086</x:v>
      </x:c>
      <x:c r="B90" s="51" t="str">
        <x:v>GD05</x:v>
      </x:c>
      <x:c r="C90" s="51" t="str">
        <x:v>source</x:v>
      </x:c>
      <x:c r="D90" s="51" t="str">
        <x:v>佛山</x:v>
      </x:c>
      <x:c r="E90" s="51" t="str">
        <x:v>C02</x:v>
      </x:c>
      <x:c r="F90" s="51" t="str">
        <x:v>collection</x:v>
      </x:c>
      <x:c r="G90" s="51" t="str">
        <x:v>深圳虚拟回收/检测中心</x:v>
      </x:c>
      <x:c r="H90" s="52" t="n">
        <x:v>132.00168158093638</x:v>
      </x:c>
      <x:c r="I90" s="52" t="n">
        <x:v>142.9087</x:v>
      </x:c>
      <x:c r="J90" s="52" t="n">
        <x:v>101.89</x:v>
      </x:c>
      <x:c r="K90" s="52" t="n">
        <x:f>IFERROR(I90/H90,"")</x:f>
        <x:v>1.0826278748000344</x:v>
      </x:c>
      <x:c r="L90" s="52" t="n">
        <x:v>150</x:v>
      </x:c>
      <x:c r="M90" s="65" t="n">
        <x:f>IF(H90&lt;=L90,1,0)</x:f>
        <x:v>1</x:v>
      </x:c>
      <x:c r="N90" s="65" t="n">
        <x:f>IF(I90&lt;=L90,1,0)</x:f>
        <x:v>1</x:v>
      </x:c>
      <x:c r="O90" s="51" t="str">
        <x:f>IF(M90=N90,"不变",IF(N90=1,"由禁变允","由允变禁"))</x:f>
        <x:v>不变</x:v>
      </x:c>
      <x:c r="P90" s="51" t="str">
        <x:v>OSRM driving/car</x:v>
      </x:c>
      <x:c r="Q90" s="51" t="str">
        <x:v>2026-08-15</x:v>
      </x:c>
      <x:c r="R90" s="51" t="str">
        <x:v>C-开放路网计算；不是货车/危运合规路线</x:v>
      </x:c>
      <x:c r="S90" s="51" t="str">
        <x:v>https://routing.openstreetmap.de/routed-car/</x:v>
      </x:c>
    </x:row>
    <x:row r="91">
      <x:c r="A91" s="51" t="str">
        <x:v>A0087</x:v>
      </x:c>
      <x:c r="B91" s="51" t="str">
        <x:v>GD05</x:v>
      </x:c>
      <x:c r="C91" s="51" t="str">
        <x:v>source</x:v>
      </x:c>
      <x:c r="D91" s="51" t="str">
        <x:v>佛山</x:v>
      </x:c>
      <x:c r="E91" s="51" t="str">
        <x:v>C03</x:v>
      </x:c>
      <x:c r="F91" s="51" t="str">
        <x:v>collection</x:v>
      </x:c>
      <x:c r="G91" s="51" t="str">
        <x:v>珠海虚拟回收/检测中心</x:v>
      </x:c>
      <x:c r="H91" s="52" t="n">
        <x:v>114.79211666369928</x:v>
      </x:c>
      <x:c r="I91" s="52" t="n">
        <x:v>120.1601</x:v>
      </x:c>
      <x:c r="J91" s="52" t="n">
        <x:v>90.02</x:v>
      </x:c>
      <x:c r="K91" s="52" t="n">
        <x:f>IFERROR(I91/H91,"")</x:f>
        <x:v>1.0467626479266607</x:v>
      </x:c>
      <x:c r="L91" s="52" t="n">
        <x:v>150</x:v>
      </x:c>
      <x:c r="M91" s="65" t="n">
        <x:f>IF(H91&lt;=L91,1,0)</x:f>
        <x:v>1</x:v>
      </x:c>
      <x:c r="N91" s="65" t="n">
        <x:f>IF(I91&lt;=L91,1,0)</x:f>
        <x:v>1</x:v>
      </x:c>
      <x:c r="O91" s="51" t="str">
        <x:f>IF(M91=N91,"不变",IF(N91=1,"由禁变允","由允变禁"))</x:f>
        <x:v>不变</x:v>
      </x:c>
      <x:c r="P91" s="51" t="str">
        <x:v>OSRM driving/car</x:v>
      </x:c>
      <x:c r="Q91" s="51" t="str">
        <x:v>2026-08-15</x:v>
      </x:c>
      <x:c r="R91" s="51" t="str">
        <x:v>C-开放路网计算；不是货车/危运合规路线</x:v>
      </x:c>
      <x:c r="S91" s="51" t="str">
        <x:v>https://routing.openstreetmap.de/routed-car/</x:v>
      </x:c>
    </x:row>
    <x:row r="92">
      <x:c r="A92" s="51" t="str">
        <x:v>A0088</x:v>
      </x:c>
      <x:c r="B92" s="51" t="str">
        <x:v>GD05</x:v>
      </x:c>
      <x:c r="C92" s="51" t="str">
        <x:v>source</x:v>
      </x:c>
      <x:c r="D92" s="51" t="str">
        <x:v>佛山</x:v>
      </x:c>
      <x:c r="E92" s="51" t="str">
        <x:v>C04</x:v>
      </x:c>
      <x:c r="F92" s="51" t="str">
        <x:v>collection</x:v>
      </x:c>
      <x:c r="G92" s="51" t="str">
        <x:v>汕头虚拟回收/检测中心</x:v>
      </x:c>
      <x:c r="H92" s="52" t="n">
        <x:v>439.0782039792669</x:v>
      </x:c>
      <x:c r="I92" s="52" t="n">
        <x:v>439.7362</x:v>
      </x:c>
      <x:c r="J92" s="52" t="n">
        <x:v>305.28499999999997</x:v>
      </x:c>
      <x:c r="K92" s="52" t="n">
        <x:f>IFERROR(I92/H92,"")</x:f>
        <x:v>1.001498585023738</x:v>
      </x:c>
      <x:c r="L92" s="52" t="n">
        <x:v>150</x:v>
      </x:c>
      <x:c r="M92" s="65" t="n">
        <x:f>IF(H92&lt;=L92,1,0)</x:f>
        <x:v>0</x:v>
      </x:c>
      <x:c r="N92" s="65" t="n">
        <x:f>IF(I92&lt;=L92,1,0)</x:f>
        <x:v>0</x:v>
      </x:c>
      <x:c r="O92" s="51" t="str">
        <x:f>IF(M92=N92,"不变",IF(N92=1,"由禁变允","由允变禁"))</x:f>
        <x:v>不变</x:v>
      </x:c>
      <x:c r="P92" s="51" t="str">
        <x:v>OSRM driving/car</x:v>
      </x:c>
      <x:c r="Q92" s="51" t="str">
        <x:v>2026-08-15</x:v>
      </x:c>
      <x:c r="R92" s="51" t="str">
        <x:v>C-开放路网计算；不是货车/危运合规路线</x:v>
      </x:c>
      <x:c r="S92" s="51" t="str">
        <x:v>https://routing.openstreetmap.de/routed-car/</x:v>
      </x:c>
    </x:row>
    <x:row r="93">
      <x:c r="A93" s="51" t="str">
        <x:v>A0089</x:v>
      </x:c>
      <x:c r="B93" s="51" t="str">
        <x:v>GD05</x:v>
      </x:c>
      <x:c r="C93" s="51" t="str">
        <x:v>source</x:v>
      </x:c>
      <x:c r="D93" s="51" t="str">
        <x:v>佛山</x:v>
      </x:c>
      <x:c r="E93" s="51" t="str">
        <x:v>C05</x:v>
      </x:c>
      <x:c r="F93" s="51" t="str">
        <x:v>collection</x:v>
      </x:c>
      <x:c r="G93" s="51" t="str">
        <x:v>佛山虚拟回收/检测中心</x:v>
      </x:c>
      <x:c r="H93" s="52" t="n">
        <x:v>0</x:v>
      </x:c>
      <x:c r="I93" s="52" t="n">
        <x:v>0</x:v>
      </x:c>
      <x:c r="J93" s="52" t="n">
        <x:v>0</x:v>
      </x:c>
      <x:c r="K93" s="52" t="str">
        <x:f>IFERROR(I93/H93,"")</x:f>
      </x:c>
      <x:c r="L93" s="52" t="n">
        <x:v>150</x:v>
      </x:c>
      <x:c r="M93" s="65" t="n">
        <x:f>IF(H93&lt;=L93,1,0)</x:f>
        <x:v>1</x:v>
      </x:c>
      <x:c r="N93" s="65" t="n">
        <x:f>IF(I93&lt;=L93,1,0)</x:f>
        <x:v>1</x:v>
      </x:c>
      <x:c r="O93" s="51" t="str">
        <x:f>IF(M93=N93,"不变",IF(N93=1,"由禁变允","由允变禁"))</x:f>
        <x:v>不变</x:v>
      </x:c>
      <x:c r="P93" s="51" t="str">
        <x:v>OSRM driving/car</x:v>
      </x:c>
      <x:c r="Q93" s="51" t="str">
        <x:v>2026-08-15</x:v>
      </x:c>
      <x:c r="R93" s="51" t="str">
        <x:v>C-开放路网计算；不是货车/危运合规路线</x:v>
      </x:c>
      <x:c r="S93" s="51" t="str">
        <x:v>https://routing.openstreetmap.de/routed-car/</x:v>
      </x:c>
    </x:row>
    <x:row r="94">
      <x:c r="A94" s="51" t="str">
        <x:v>A0090</x:v>
      </x:c>
      <x:c r="B94" s="51" t="str">
        <x:v>GD05</x:v>
      </x:c>
      <x:c r="C94" s="51" t="str">
        <x:v>source</x:v>
      </x:c>
      <x:c r="D94" s="51" t="str">
        <x:v>佛山</x:v>
      </x:c>
      <x:c r="E94" s="51" t="str">
        <x:v>C06</x:v>
      </x:c>
      <x:c r="F94" s="51" t="str">
        <x:v>collection</x:v>
      </x:c>
      <x:c r="G94" s="51" t="str">
        <x:v>韶关虚拟回收/检测中心</x:v>
      </x:c>
      <x:c r="H94" s="52" t="n">
        <x:v>255.76122145140755</x:v>
      </x:c>
      <x:c r="I94" s="52" t="n">
        <x:v>255.2269</x:v>
      </x:c>
      <x:c r="J94" s="52" t="n">
        <x:v>186.15666666666667</x:v>
      </x:c>
      <x:c r="K94" s="52" t="n">
        <x:f>IFERROR(I94/H94,"")</x:f>
        <x:v>0.9979108582279387</x:v>
      </x:c>
      <x:c r="L94" s="52" t="n">
        <x:v>150</x:v>
      </x:c>
      <x:c r="M94" s="65" t="n">
        <x:f>IF(H94&lt;=L94,1,0)</x:f>
        <x:v>0</x:v>
      </x:c>
      <x:c r="N94" s="65" t="n">
        <x:f>IF(I94&lt;=L94,1,0)</x:f>
        <x:v>0</x:v>
      </x:c>
      <x:c r="O94" s="51" t="str">
        <x:f>IF(M94=N94,"不变",IF(N94=1,"由禁变允","由允变禁"))</x:f>
        <x:v>不变</x:v>
      </x:c>
      <x:c r="P94" s="51" t="str">
        <x:v>OSRM driving/car</x:v>
      </x:c>
      <x:c r="Q94" s="51" t="str">
        <x:v>2026-08-15</x:v>
      </x:c>
      <x:c r="R94" s="51" t="str">
        <x:v>C-开放路网计算；不是货车/危运合规路线</x:v>
      </x:c>
      <x:c r="S94" s="51" t="str">
        <x:v>https://routing.openstreetmap.de/routed-car/</x:v>
      </x:c>
    </x:row>
    <x:row r="95">
      <x:c r="A95" s="51" t="str">
        <x:v>A0091</x:v>
      </x:c>
      <x:c r="B95" s="51" t="str">
        <x:v>GD05</x:v>
      </x:c>
      <x:c r="C95" s="51" t="str">
        <x:v>source</x:v>
      </x:c>
      <x:c r="D95" s="51" t="str">
        <x:v>佛山</x:v>
      </x:c>
      <x:c r="E95" s="51" t="str">
        <x:v>C07</x:v>
      </x:c>
      <x:c r="F95" s="51" t="str">
        <x:v>collection</x:v>
      </x:c>
      <x:c r="G95" s="51" t="str">
        <x:v>河源虚拟回收/检测中心</x:v>
      </x:c>
      <x:c r="H95" s="52" t="n">
        <x:v>277.62076243937133</x:v>
      </x:c>
      <x:c r="I95" s="52" t="n">
        <x:v>290.6221</x:v>
      </x:c>
      <x:c r="J95" s="52" t="n">
        <x:v>232.76333333333332</x:v>
      </x:c>
      <x:c r="K95" s="52" t="n">
        <x:f>IFERROR(I95/H95,"")</x:f>
        <x:v>1.0468312868475318</x:v>
      </x:c>
      <x:c r="L95" s="52" t="n">
        <x:v>150</x:v>
      </x:c>
      <x:c r="M95" s="65" t="n">
        <x:f>IF(H95&lt;=L95,1,0)</x:f>
        <x:v>0</x:v>
      </x:c>
      <x:c r="N95" s="65" t="n">
        <x:f>IF(I95&lt;=L95,1,0)</x:f>
        <x:v>0</x:v>
      </x:c>
      <x:c r="O95" s="51" t="str">
        <x:f>IF(M95=N95,"不变",IF(N95=1,"由禁变允","由允变禁"))</x:f>
        <x:v>不变</x:v>
      </x:c>
      <x:c r="P95" s="51" t="str">
        <x:v>OSRM driving/car</x:v>
      </x:c>
      <x:c r="Q95" s="51" t="str">
        <x:v>2026-08-15</x:v>
      </x:c>
      <x:c r="R95" s="51" t="str">
        <x:v>C-开放路网计算；不是货车/危运合规路线</x:v>
      </x:c>
      <x:c r="S95" s="51" t="str">
        <x:v>https://routing.openstreetmap.de/routed-car/</x:v>
      </x:c>
    </x:row>
    <x:row r="96">
      <x:c r="A96" s="51" t="str">
        <x:v>A0092</x:v>
      </x:c>
      <x:c r="B96" s="51" t="str">
        <x:v>GD05</x:v>
      </x:c>
      <x:c r="C96" s="51" t="str">
        <x:v>source</x:v>
      </x:c>
      <x:c r="D96" s="51" t="str">
        <x:v>佛山</x:v>
      </x:c>
      <x:c r="E96" s="51" t="str">
        <x:v>C08</x:v>
      </x:c>
      <x:c r="F96" s="51" t="str">
        <x:v>collection</x:v>
      </x:c>
      <x:c r="G96" s="51" t="str">
        <x:v>梅州虚拟回收/检测中心</x:v>
      </x:c>
      <x:c r="H96" s="52" t="n">
        <x:v>403.9212901773776</x:v>
      </x:c>
      <x:c r="I96" s="52" t="n">
        <x:v>399.4982</x:v>
      </x:c>
      <x:c r="J96" s="52" t="n">
        <x:v>288.62333333333333</x:v>
      </x:c>
      <x:c r="K96" s="52" t="n">
        <x:f>IFERROR(I96/H96,"")</x:f>
        <x:v>0.9890496235654346</x:v>
      </x:c>
      <x:c r="L96" s="52" t="n">
        <x:v>150</x:v>
      </x:c>
      <x:c r="M96" s="65" t="n">
        <x:f>IF(H96&lt;=L96,1,0)</x:f>
        <x:v>0</x:v>
      </x:c>
      <x:c r="N96" s="65" t="n">
        <x:f>IF(I96&lt;=L96,1,0)</x:f>
        <x:v>0</x:v>
      </x:c>
      <x:c r="O96" s="51" t="str">
        <x:f>IF(M96=N96,"不变",IF(N96=1,"由禁变允","由允变禁"))</x:f>
        <x:v>不变</x:v>
      </x:c>
      <x:c r="P96" s="51" t="str">
        <x:v>OSRM driving/car</x:v>
      </x:c>
      <x:c r="Q96" s="51" t="str">
        <x:v>2026-08-15</x:v>
      </x:c>
      <x:c r="R96" s="51" t="str">
        <x:v>C-开放路网计算；不是货车/危运合规路线</x:v>
      </x:c>
      <x:c r="S96" s="51" t="str">
        <x:v>https://routing.openstreetmap.de/routed-car/</x:v>
      </x:c>
    </x:row>
    <x:row r="97">
      <x:c r="A97" s="51" t="str">
        <x:v>A0093</x:v>
      </x:c>
      <x:c r="B97" s="51" t="str">
        <x:v>GD05</x:v>
      </x:c>
      <x:c r="C97" s="51" t="str">
        <x:v>source</x:v>
      </x:c>
      <x:c r="D97" s="51" t="str">
        <x:v>佛山</x:v>
      </x:c>
      <x:c r="E97" s="51" t="str">
        <x:v>C09</x:v>
      </x:c>
      <x:c r="F97" s="51" t="str">
        <x:v>collection</x:v>
      </x:c>
      <x:c r="G97" s="51" t="str">
        <x:v>惠州虚拟回收/检测中心</x:v>
      </x:c>
      <x:c r="H97" s="52" t="n">
        <x:v>159.63127925962104</x:v>
      </x:c>
      <x:c r="I97" s="52" t="n">
        <x:v>157.8114</x:v>
      </x:c>
      <x:c r="J97" s="52" t="n">
        <x:v>117.81333333333333</x:v>
      </x:c>
      <x:c r="K97" s="52" t="n">
        <x:f>IFERROR(I97/H97,"")</x:f>
        <x:v>0.9885994820810698</x:v>
      </x:c>
      <x:c r="L97" s="52" t="n">
        <x:v>150</x:v>
      </x:c>
      <x:c r="M97" s="65" t="n">
        <x:f>IF(H97&lt;=L97,1,0)</x:f>
        <x:v>0</x:v>
      </x:c>
      <x:c r="N97" s="65" t="n">
        <x:f>IF(I97&lt;=L97,1,0)</x:f>
        <x:v>0</x:v>
      </x:c>
      <x:c r="O97" s="51" t="str">
        <x:f>IF(M97=N97,"不变",IF(N97=1,"由禁变允","由允变禁"))</x:f>
        <x:v>不变</x:v>
      </x:c>
      <x:c r="P97" s="51" t="str">
        <x:v>OSRM driving/car</x:v>
      </x:c>
      <x:c r="Q97" s="51" t="str">
        <x:v>2026-08-15</x:v>
      </x:c>
      <x:c r="R97" s="51" t="str">
        <x:v>C-开放路网计算；不是货车/危运合规路线</x:v>
      </x:c>
      <x:c r="S97" s="51" t="str">
        <x:v>https://routing.openstreetmap.de/routed-car/</x:v>
      </x:c>
    </x:row>
    <x:row r="98">
      <x:c r="A98" s="51" t="str">
        <x:v>A0094</x:v>
      </x:c>
      <x:c r="B98" s="51" t="str">
        <x:v>GD05</x:v>
      </x:c>
      <x:c r="C98" s="51" t="str">
        <x:v>source</x:v>
      </x:c>
      <x:c r="D98" s="51" t="str">
        <x:v>佛山</x:v>
      </x:c>
      <x:c r="E98" s="51" t="str">
        <x:v>C10</x:v>
      </x:c>
      <x:c r="F98" s="51" t="str">
        <x:v>collection</x:v>
      </x:c>
      <x:c r="G98" s="51" t="str">
        <x:v>汕尾虚拟回收/检测中心</x:v>
      </x:c>
      <x:c r="H98" s="52" t="n">
        <x:v>294.0126610717624</x:v>
      </x:c>
      <x:c r="I98" s="52" t="n">
        <x:v>289.87640000000005</x:v>
      </x:c>
      <x:c r="J98" s="52" t="n">
        <x:v>219.34666666666666</x:v>
      </x:c>
      <x:c r="K98" s="52" t="n">
        <x:f>IFERROR(I98/H98,"")</x:f>
        <x:v>0.9859316906398368</x:v>
      </x:c>
      <x:c r="L98" s="52" t="n">
        <x:v>150</x:v>
      </x:c>
      <x:c r="M98" s="65" t="n">
        <x:f>IF(H98&lt;=L98,1,0)</x:f>
        <x:v>0</x:v>
      </x:c>
      <x:c r="N98" s="65" t="n">
        <x:f>IF(I98&lt;=L98,1,0)</x:f>
        <x:v>0</x:v>
      </x:c>
      <x:c r="O98" s="51" t="str">
        <x:f>IF(M98=N98,"不变",IF(N98=1,"由禁变允","由允变禁"))</x:f>
        <x:v>不变</x:v>
      </x:c>
      <x:c r="P98" s="51" t="str">
        <x:v>OSRM driving/car</x:v>
      </x:c>
      <x:c r="Q98" s="51" t="str">
        <x:v>2026-08-15</x:v>
      </x:c>
      <x:c r="R98" s="51" t="str">
        <x:v>C-开放路网计算；不是货车/危运合规路线</x:v>
      </x:c>
      <x:c r="S98" s="51" t="str">
        <x:v>https://routing.openstreetmap.de/routed-car/</x:v>
      </x:c>
    </x:row>
    <x:row r="99">
      <x:c r="A99" s="51" t="str">
        <x:v>A0095</x:v>
      </x:c>
      <x:c r="B99" s="51" t="str">
        <x:v>GD05</x:v>
      </x:c>
      <x:c r="C99" s="51" t="str">
        <x:v>source</x:v>
      </x:c>
      <x:c r="D99" s="51" t="str">
        <x:v>佛山</x:v>
      </x:c>
      <x:c r="E99" s="51" t="str">
        <x:v>C11</x:v>
      </x:c>
      <x:c r="F99" s="51" t="str">
        <x:v>collection</x:v>
      </x:c>
      <x:c r="G99" s="51" t="str">
        <x:v>东莞虚拟回收/检测中心</x:v>
      </x:c>
      <x:c r="H99" s="52" t="n">
        <x:v>77.28343572424338</x:v>
      </x:c>
      <x:c r="I99" s="52" t="n">
        <x:v>81.8258</x:v>
      </x:c>
      <x:c r="J99" s="52" t="n">
        <x:v>64.91</x:v>
      </x:c>
      <x:c r="K99" s="52" t="n">
        <x:f>IFERROR(I99/H99,"")</x:f>
        <x:v>1.0587753925946606</x:v>
      </x:c>
      <x:c r="L99" s="52" t="n">
        <x:v>150</x:v>
      </x:c>
      <x:c r="M99" s="65" t="n">
        <x:f>IF(H99&lt;=L99,1,0)</x:f>
        <x:v>1</x:v>
      </x:c>
      <x:c r="N99" s="65" t="n">
        <x:f>IF(I99&lt;=L99,1,0)</x:f>
        <x:v>1</x:v>
      </x:c>
      <x:c r="O99" s="51" t="str">
        <x:f>IF(M99=N99,"不变",IF(N99=1,"由禁变允","由允变禁"))</x:f>
        <x:v>不变</x:v>
      </x:c>
      <x:c r="P99" s="51" t="str">
        <x:v>OSRM driving/car</x:v>
      </x:c>
      <x:c r="Q99" s="51" t="str">
        <x:v>2026-08-15</x:v>
      </x:c>
      <x:c r="R99" s="51" t="str">
        <x:v>C-开放路网计算；不是货车/危运合规路线</x:v>
      </x:c>
      <x:c r="S99" s="51" t="str">
        <x:v>https://routing.openstreetmap.de/routed-car/</x:v>
      </x:c>
    </x:row>
    <x:row r="100">
      <x:c r="A100" s="51" t="str">
        <x:v>A0096</x:v>
      </x:c>
      <x:c r="B100" s="51" t="str">
        <x:v>GD05</x:v>
      </x:c>
      <x:c r="C100" s="51" t="str">
        <x:v>source</x:v>
      </x:c>
      <x:c r="D100" s="51" t="str">
        <x:v>佛山</x:v>
      </x:c>
      <x:c r="E100" s="51" t="str">
        <x:v>C12</x:v>
      </x:c>
      <x:c r="F100" s="51" t="str">
        <x:v>collection</x:v>
      </x:c>
      <x:c r="G100" s="51" t="str">
        <x:v>中山虚拟回收/检测中心</x:v>
      </x:c>
      <x:c r="H100" s="52" t="n">
        <x:v>75.10964913262345</x:v>
      </x:c>
      <x:c r="I100" s="52" t="n">
        <x:v>78.16260000000001</x:v>
      </x:c>
      <x:c r="J100" s="52" t="n">
        <x:v>59.61333333333334</x:v>
      </x:c>
      <x:c r="K100" s="52" t="n">
        <x:f>IFERROR(I100/H100,"")</x:f>
        <x:v>1.0406465867253072</x:v>
      </x:c>
      <x:c r="L100" s="52" t="n">
        <x:v>150</x:v>
      </x:c>
      <x:c r="M100" s="65" t="n">
        <x:f>IF(H100&lt;=L100,1,0)</x:f>
        <x:v>1</x:v>
      </x:c>
      <x:c r="N100" s="65" t="n">
        <x:f>IF(I100&lt;=L100,1,0)</x:f>
        <x:v>1</x:v>
      </x:c>
      <x:c r="O100" s="51" t="str">
        <x:f>IF(M100=N100,"不变",IF(N100=1,"由禁变允","由允变禁"))</x:f>
        <x:v>不变</x:v>
      </x:c>
      <x:c r="P100" s="51" t="str">
        <x:v>OSRM driving/car</x:v>
      </x:c>
      <x:c r="Q100" s="51" t="str">
        <x:v>2026-08-15</x:v>
      </x:c>
      <x:c r="R100" s="51" t="str">
        <x:v>C-开放路网计算；不是货车/危运合规路线</x:v>
      </x:c>
      <x:c r="S100" s="51" t="str">
        <x:v>https://routing.openstreetmap.de/routed-car/</x:v>
      </x:c>
    </x:row>
    <x:row r="101">
      <x:c r="A101" s="51" t="str">
        <x:v>A0097</x:v>
      </x:c>
      <x:c r="B101" s="51" t="str">
        <x:v>GD05</x:v>
      </x:c>
      <x:c r="C101" s="51" t="str">
        <x:v>source</x:v>
      </x:c>
      <x:c r="D101" s="51" t="str">
        <x:v>佛山</x:v>
      </x:c>
      <x:c r="E101" s="51" t="str">
        <x:v>C13</x:v>
      </x:c>
      <x:c r="F101" s="51" t="str">
        <x:v>collection</x:v>
      </x:c>
      <x:c r="G101" s="51" t="str">
        <x:v>江门虚拟回收/检测中心</x:v>
      </x:c>
      <x:c r="H101" s="52" t="n">
        <x:v>59.22325916789457</x:v>
      </x:c>
      <x:c r="I101" s="52" t="n">
        <x:v>66.31339999999999</x:v>
      </x:c>
      <x:c r="J101" s="52" t="n">
        <x:v>52.69833333333334</x:v>
      </x:c>
      <x:c r="K101" s="52" t="n">
        <x:f>IFERROR(I101/H101,"")</x:f>
        <x:v>1.1197188559313374</x:v>
      </x:c>
      <x:c r="L101" s="52" t="n">
        <x:v>150</x:v>
      </x:c>
      <x:c r="M101" s="65" t="n">
        <x:f>IF(H101&lt;=L101,1,0)</x:f>
        <x:v>1</x:v>
      </x:c>
      <x:c r="N101" s="65" t="n">
        <x:f>IF(I101&lt;=L101,1,0)</x:f>
        <x:v>1</x:v>
      </x:c>
      <x:c r="O101" s="51" t="str">
        <x:f>IF(M101=N101,"不变",IF(N101=1,"由禁变允","由允变禁"))</x:f>
        <x:v>不变</x:v>
      </x:c>
      <x:c r="P101" s="51" t="str">
        <x:v>OSRM driving/car</x:v>
      </x:c>
      <x:c r="Q101" s="51" t="str">
        <x:v>2026-08-15</x:v>
      </x:c>
      <x:c r="R101" s="51" t="str">
        <x:v>C-开放路网计算；不是货车/危运合规路线</x:v>
      </x:c>
      <x:c r="S101" s="51" t="str">
        <x:v>https://routing.openstreetmap.de/routed-car/</x:v>
      </x:c>
    </x:row>
    <x:row r="102">
      <x:c r="A102" s="51" t="str">
        <x:v>A0098</x:v>
      </x:c>
      <x:c r="B102" s="51" t="str">
        <x:v>GD05</x:v>
      </x:c>
      <x:c r="C102" s="51" t="str">
        <x:v>source</x:v>
      </x:c>
      <x:c r="D102" s="51" t="str">
        <x:v>佛山</x:v>
      </x:c>
      <x:c r="E102" s="51" t="str">
        <x:v>C14</x:v>
      </x:c>
      <x:c r="F102" s="51" t="str">
        <x:v>collection</x:v>
      </x:c>
      <x:c r="G102" s="51" t="str">
        <x:v>阳江虚拟回收/检测中心</x:v>
      </x:c>
      <x:c r="H102" s="52" t="n">
        <x:v>205.69397617582445</x:v>
      </x:c>
      <x:c r="I102" s="52" t="n">
        <x:v>219.49929999999998</x:v>
      </x:c>
      <x:c r="J102" s="52" t="n">
        <x:v>152.47166666666666</x:v>
      </x:c>
      <x:c r="K102" s="52" t="n">
        <x:f>IFERROR(I102/H102,"")</x:f>
        <x:v>1.067115839174478</x:v>
      </x:c>
      <x:c r="L102" s="52" t="n">
        <x:v>150</x:v>
      </x:c>
      <x:c r="M102" s="65" t="n">
        <x:f>IF(H102&lt;=L102,1,0)</x:f>
        <x:v>0</x:v>
      </x:c>
      <x:c r="N102" s="65" t="n">
        <x:f>IF(I102&lt;=L102,1,0)</x:f>
        <x:v>0</x:v>
      </x:c>
      <x:c r="O102" s="51" t="str">
        <x:f>IF(M102=N102,"不变",IF(N102=1,"由禁变允","由允变禁"))</x:f>
        <x:v>不变</x:v>
      </x:c>
      <x:c r="P102" s="51" t="str">
        <x:v>OSRM driving/car</x:v>
      </x:c>
      <x:c r="Q102" s="51" t="str">
        <x:v>2026-08-15</x:v>
      </x:c>
      <x:c r="R102" s="51" t="str">
        <x:v>C-开放路网计算；不是货车/危运合规路线</x:v>
      </x:c>
      <x:c r="S102" s="51" t="str">
        <x:v>https://routing.openstreetmap.de/routed-car/</x:v>
      </x:c>
    </x:row>
    <x:row r="103">
      <x:c r="A103" s="51" t="str">
        <x:v>A0099</x:v>
      </x:c>
      <x:c r="B103" s="51" t="str">
        <x:v>GD05</x:v>
      </x:c>
      <x:c r="C103" s="51" t="str">
        <x:v>source</x:v>
      </x:c>
      <x:c r="D103" s="51" t="str">
        <x:v>佛山</x:v>
      </x:c>
      <x:c r="E103" s="51" t="str">
        <x:v>C15</x:v>
      </x:c>
      <x:c r="F103" s="51" t="str">
        <x:v>collection</x:v>
      </x:c>
      <x:c r="G103" s="51" t="str">
        <x:v>湛江虚拟回收/检测中心</x:v>
      </x:c>
      <x:c r="H103" s="52" t="n">
        <x:v>413.4873083569706</x:v>
      </x:c>
      <x:c r="I103" s="52" t="n">
        <x:v>396.0123</x:v>
      </x:c>
      <x:c r="J103" s="52" t="n">
        <x:v>265.175</x:v>
      </x:c>
      <x:c r="K103" s="52" t="n">
        <x:f>IFERROR(I103/H103,"")</x:f>
        <x:v>0.9577374976116942</x:v>
      </x:c>
      <x:c r="L103" s="52" t="n">
        <x:v>150</x:v>
      </x:c>
      <x:c r="M103" s="65" t="n">
        <x:f>IF(H103&lt;=L103,1,0)</x:f>
        <x:v>0</x:v>
      </x:c>
      <x:c r="N103" s="65" t="n">
        <x:f>IF(I103&lt;=L103,1,0)</x:f>
        <x:v>0</x:v>
      </x:c>
      <x:c r="O103" s="51" t="str">
        <x:f>IF(M103=N103,"不变",IF(N103=1,"由禁变允","由允变禁"))</x:f>
        <x:v>不变</x:v>
      </x:c>
      <x:c r="P103" s="51" t="str">
        <x:v>OSRM driving/car</x:v>
      </x:c>
      <x:c r="Q103" s="51" t="str">
        <x:v>2026-08-15</x:v>
      </x:c>
      <x:c r="R103" s="51" t="str">
        <x:v>C-开放路网计算；不是货车/危运合规路线</x:v>
      </x:c>
      <x:c r="S103" s="51" t="str">
        <x:v>https://routing.openstreetmap.de/routed-car/</x:v>
      </x:c>
    </x:row>
    <x:row r="104">
      <x:c r="A104" s="51" t="str">
        <x:v>A0100</x:v>
      </x:c>
      <x:c r="B104" s="51" t="str">
        <x:v>GD05</x:v>
      </x:c>
      <x:c r="C104" s="51" t="str">
        <x:v>source</x:v>
      </x:c>
      <x:c r="D104" s="51" t="str">
        <x:v>佛山</x:v>
      </x:c>
      <x:c r="E104" s="51" t="str">
        <x:v>C16</x:v>
      </x:c>
      <x:c r="F104" s="51" t="str">
        <x:v>collection</x:v>
      </x:c>
      <x:c r="G104" s="51" t="str">
        <x:v>茂名虚拟回收/检测中心</x:v>
      </x:c>
      <x:c r="H104" s="52" t="n">
        <x:v>325.92386177012366</x:v>
      </x:c>
      <x:c r="I104" s="52" t="n">
        <x:v>315.263</x:v>
      </x:c>
      <x:c r="J104" s="52" t="n">
        <x:v>214.09</x:v>
      </x:c>
      <x:c r="K104" s="52" t="n">
        <x:f>IFERROR(I104/H104,"")</x:f>
        <x:v>0.9672903305937052</x:v>
      </x:c>
      <x:c r="L104" s="52" t="n">
        <x:v>150</x:v>
      </x:c>
      <x:c r="M104" s="65" t="n">
        <x:f>IF(H104&lt;=L104,1,0)</x:f>
        <x:v>0</x:v>
      </x:c>
      <x:c r="N104" s="65" t="n">
        <x:f>IF(I104&lt;=L104,1,0)</x:f>
        <x:v>0</x:v>
      </x:c>
      <x:c r="O104" s="51" t="str">
        <x:f>IF(M104=N104,"不变",IF(N104=1,"由禁变允","由允变禁"))</x:f>
        <x:v>不变</x:v>
      </x:c>
      <x:c r="P104" s="51" t="str">
        <x:v>OSRM driving/car</x:v>
      </x:c>
      <x:c r="Q104" s="51" t="str">
        <x:v>2026-08-15</x:v>
      </x:c>
      <x:c r="R104" s="51" t="str">
        <x:v>C-开放路网计算；不是货车/危运合规路线</x:v>
      </x:c>
      <x:c r="S104" s="51" t="str">
        <x:v>https://routing.openstreetmap.de/routed-car/</x:v>
      </x:c>
    </x:row>
    <x:row r="105">
      <x:c r="A105" s="51" t="str">
        <x:v>A0101</x:v>
      </x:c>
      <x:c r="B105" s="51" t="str">
        <x:v>GD05</x:v>
      </x:c>
      <x:c r="C105" s="51" t="str">
        <x:v>source</x:v>
      </x:c>
      <x:c r="D105" s="51" t="str">
        <x:v>佛山</x:v>
      </x:c>
      <x:c r="E105" s="51" t="str">
        <x:v>C17</x:v>
      </x:c>
      <x:c r="F105" s="51" t="str">
        <x:v>collection</x:v>
      </x:c>
      <x:c r="G105" s="51" t="str">
        <x:v>肇庆虚拟回收/检测中心</x:v>
      </x:c>
      <x:c r="H105" s="52" t="n">
        <x:v>80.57782241114403</x:v>
      </x:c>
      <x:c r="I105" s="52" t="n">
        <x:v>85.2239</x:v>
      </x:c>
      <x:c r="J105" s="52" t="n">
        <x:v>70.57333333333332</x:v>
      </x:c>
      <x:c r="K105" s="52" t="n">
        <x:f>IFERROR(I105/H105,"")</x:f>
        <x:v>1.0576595079121103</x:v>
      </x:c>
      <x:c r="L105" s="52" t="n">
        <x:v>150</x:v>
      </x:c>
      <x:c r="M105" s="65" t="n">
        <x:f>IF(H105&lt;=L105,1,0)</x:f>
        <x:v>1</x:v>
      </x:c>
      <x:c r="N105" s="65" t="n">
        <x:f>IF(I105&lt;=L105,1,0)</x:f>
        <x:v>1</x:v>
      </x:c>
      <x:c r="O105" s="51" t="str">
        <x:f>IF(M105=N105,"不变",IF(N105=1,"由禁变允","由允变禁"))</x:f>
        <x:v>不变</x:v>
      </x:c>
      <x:c r="P105" s="51" t="str">
        <x:v>OSRM driving/car</x:v>
      </x:c>
      <x:c r="Q105" s="51" t="str">
        <x:v>2026-08-15</x:v>
      </x:c>
      <x:c r="R105" s="51" t="str">
        <x:v>C-开放路网计算；不是货车/危运合规路线</x:v>
      </x:c>
      <x:c r="S105" s="51" t="str">
        <x:v>https://routing.openstreetmap.de/routed-car/</x:v>
      </x:c>
    </x:row>
    <x:row r="106">
      <x:c r="A106" s="51" t="str">
        <x:v>A0102</x:v>
      </x:c>
      <x:c r="B106" s="51" t="str">
        <x:v>GD05</x:v>
      </x:c>
      <x:c r="C106" s="51" t="str">
        <x:v>source</x:v>
      </x:c>
      <x:c r="D106" s="51" t="str">
        <x:v>佛山</x:v>
      </x:c>
      <x:c r="E106" s="51" t="str">
        <x:v>C18</x:v>
      </x:c>
      <x:c r="F106" s="51" t="str">
        <x:v>collection</x:v>
      </x:c>
      <x:c r="G106" s="51" t="str">
        <x:v>清远虚拟回收/检测中心</x:v>
      </x:c>
      <x:c r="H106" s="52" t="n">
        <x:v>88.3391479847887</x:v>
      </x:c>
      <x:c r="I106" s="52" t="n">
        <x:v>94.4498</x:v>
      </x:c>
      <x:c r="J106" s="52" t="n">
        <x:v>73.91333333333334</x:v>
      </x:c>
      <x:c r="K106" s="52" t="n">
        <x:f>IFERROR(I106/H106,"")</x:f>
        <x:v>1.0691726392500809</x:v>
      </x:c>
      <x:c r="L106" s="52" t="n">
        <x:v>150</x:v>
      </x:c>
      <x:c r="M106" s="65" t="n">
        <x:f>IF(H106&lt;=L106,1,0)</x:f>
        <x:v>1</x:v>
      </x:c>
      <x:c r="N106" s="65" t="n">
        <x:f>IF(I106&lt;=L106,1,0)</x:f>
        <x:v>1</x:v>
      </x:c>
      <x:c r="O106" s="51" t="str">
        <x:f>IF(M106=N106,"不变",IF(N106=1,"由禁变允","由允变禁"))</x:f>
        <x:v>不变</x:v>
      </x:c>
      <x:c r="P106" s="51" t="str">
        <x:v>OSRM driving/car</x:v>
      </x:c>
      <x:c r="Q106" s="51" t="str">
        <x:v>2026-08-15</x:v>
      </x:c>
      <x:c r="R106" s="51" t="str">
        <x:v>C-开放路网计算；不是货车/危运合规路线</x:v>
      </x:c>
      <x:c r="S106" s="51" t="str">
        <x:v>https://routing.openstreetmap.de/routed-car/</x:v>
      </x:c>
    </x:row>
    <x:row r="107">
      <x:c r="A107" s="51" t="str">
        <x:v>A0103</x:v>
      </x:c>
      <x:c r="B107" s="51" t="str">
        <x:v>GD05</x:v>
      </x:c>
      <x:c r="C107" s="51" t="str">
        <x:v>source</x:v>
      </x:c>
      <x:c r="D107" s="51" t="str">
        <x:v>佛山</x:v>
      </x:c>
      <x:c r="E107" s="51" t="str">
        <x:v>C19</x:v>
      </x:c>
      <x:c r="F107" s="51" t="str">
        <x:v>collection</x:v>
      </x:c>
      <x:c r="G107" s="51" t="str">
        <x:v>潮州虚拟回收/检测中心</x:v>
      </x:c>
      <x:c r="H107" s="52" t="n">
        <x:v>437.5544631248995</x:v>
      </x:c>
      <x:c r="I107" s="52" t="n">
        <x:v>434.42490000000004</x:v>
      </x:c>
      <x:c r="J107" s="52" t="n">
        <x:v>297.6716666666667</x:v>
      </x:c>
      <x:c r="K107" s="52" t="n">
        <x:f>IFERROR(I107/H107,"")</x:f>
        <x:v>0.9928476032388084</x:v>
      </x:c>
      <x:c r="L107" s="52" t="n">
        <x:v>150</x:v>
      </x:c>
      <x:c r="M107" s="65" t="n">
        <x:f>IF(H107&lt;=L107,1,0)</x:f>
        <x:v>0</x:v>
      </x:c>
      <x:c r="N107" s="65" t="n">
        <x:f>IF(I107&lt;=L107,1,0)</x:f>
        <x:v>0</x:v>
      </x:c>
      <x:c r="O107" s="51" t="str">
        <x:f>IF(M107=N107,"不变",IF(N107=1,"由禁变允","由允变禁"))</x:f>
        <x:v>不变</x:v>
      </x:c>
      <x:c r="P107" s="51" t="str">
        <x:v>OSRM driving/car</x:v>
      </x:c>
      <x:c r="Q107" s="51" t="str">
        <x:v>2026-08-15</x:v>
      </x:c>
      <x:c r="R107" s="51" t="str">
        <x:v>C-开放路网计算；不是货车/危运合规路线</x:v>
      </x:c>
      <x:c r="S107" s="51" t="str">
        <x:v>https://routing.openstreetmap.de/routed-car/</x:v>
      </x:c>
    </x:row>
    <x:row r="108">
      <x:c r="A108" s="51" t="str">
        <x:v>A0104</x:v>
      </x:c>
      <x:c r="B108" s="51" t="str">
        <x:v>GD05</x:v>
      </x:c>
      <x:c r="C108" s="51" t="str">
        <x:v>source</x:v>
      </x:c>
      <x:c r="D108" s="51" t="str">
        <x:v>佛山</x:v>
      </x:c>
      <x:c r="E108" s="51" t="str">
        <x:v>C20</x:v>
      </x:c>
      <x:c r="F108" s="51" t="str">
        <x:v>collection</x:v>
      </x:c>
      <x:c r="G108" s="51" t="str">
        <x:v>揭阳虚拟回收/检测中心</x:v>
      </x:c>
      <x:c r="H108" s="52" t="n">
        <x:v>404.77843839887186</x:v>
      </x:c>
      <x:c r="I108" s="52" t="n">
        <x:v>401.5093</x:v>
      </x:c>
      <x:c r="J108" s="52" t="n">
        <x:v>279.65</x:v>
      </x:c>
      <x:c r="K108" s="52" t="n">
        <x:f>IFERROR(I108/H108,"")</x:f>
        <x:v>0.9919236350340123</x:v>
      </x:c>
      <x:c r="L108" s="52" t="n">
        <x:v>150</x:v>
      </x:c>
      <x:c r="M108" s="65" t="n">
        <x:f>IF(H108&lt;=L108,1,0)</x:f>
        <x:v>0</x:v>
      </x:c>
      <x:c r="N108" s="65" t="n">
        <x:f>IF(I108&lt;=L108,1,0)</x:f>
        <x:v>0</x:v>
      </x:c>
      <x:c r="O108" s="51" t="str">
        <x:f>IF(M108=N108,"不变",IF(N108=1,"由禁变允","由允变禁"))</x:f>
        <x:v>不变</x:v>
      </x:c>
      <x:c r="P108" s="51" t="str">
        <x:v>OSRM driving/car</x:v>
      </x:c>
      <x:c r="Q108" s="51" t="str">
        <x:v>2026-08-15</x:v>
      </x:c>
      <x:c r="R108" s="51" t="str">
        <x:v>C-开放路网计算；不是货车/危运合规路线</x:v>
      </x:c>
      <x:c r="S108" s="51" t="str">
        <x:v>https://routing.openstreetmap.de/routed-car/</x:v>
      </x:c>
    </x:row>
    <x:row r="109">
      <x:c r="A109" s="51" t="str">
        <x:v>A0105</x:v>
      </x:c>
      <x:c r="B109" s="51" t="str">
        <x:v>GD05</x:v>
      </x:c>
      <x:c r="C109" s="51" t="str">
        <x:v>source</x:v>
      </x:c>
      <x:c r="D109" s="51" t="str">
        <x:v>佛山</x:v>
      </x:c>
      <x:c r="E109" s="51" t="str">
        <x:v>C21</x:v>
      </x:c>
      <x:c r="F109" s="51" t="str">
        <x:v>collection</x:v>
      </x:c>
      <x:c r="G109" s="51" t="str">
        <x:v>云浮虚拟回收/检测中心</x:v>
      </x:c>
      <x:c r="H109" s="52" t="n">
        <x:v>162.32048508893257</x:v>
      </x:c>
      <x:c r="I109" s="52" t="n">
        <x:v>172.0952</x:v>
      </x:c>
      <x:c r="J109" s="52" t="n">
        <x:v>124.75</x:v>
      </x:c>
      <x:c r="K109" s="52" t="n">
        <x:f>IFERROR(I109/H109,"")</x:f>
        <x:v>1.0602186156954376</x:v>
      </x:c>
      <x:c r="L109" s="52" t="n">
        <x:v>150</x:v>
      </x:c>
      <x:c r="M109" s="65" t="n">
        <x:f>IF(H109&lt;=L109,1,0)</x:f>
        <x:v>0</x:v>
      </x:c>
      <x:c r="N109" s="65" t="n">
        <x:f>IF(I109&lt;=L109,1,0)</x:f>
        <x:v>0</x:v>
      </x:c>
      <x:c r="O109" s="51" t="str">
        <x:f>IF(M109=N109,"不变",IF(N109=1,"由禁变允","由允变禁"))</x:f>
        <x:v>不变</x:v>
      </x:c>
      <x:c r="P109" s="51" t="str">
        <x:v>OSRM driving/car</x:v>
      </x:c>
      <x:c r="Q109" s="51" t="str">
        <x:v>2026-08-15</x:v>
      </x:c>
      <x:c r="R109" s="51" t="str">
        <x:v>C-开放路网计算；不是货车/危运合规路线</x:v>
      </x:c>
      <x:c r="S109" s="51" t="str">
        <x:v>https://routing.openstreetmap.de/routed-car/</x:v>
      </x:c>
    </x:row>
    <x:row r="110">
      <x:c r="A110" s="51" t="str">
        <x:v>A0106</x:v>
      </x:c>
      <x:c r="B110" s="51" t="str">
        <x:v>GD06</x:v>
      </x:c>
      <x:c r="C110" s="51" t="str">
        <x:v>source</x:v>
      </x:c>
      <x:c r="D110" s="51" t="str">
        <x:v>韶关</x:v>
      </x:c>
      <x:c r="E110" s="51" t="str">
        <x:v>C01</x:v>
      </x:c>
      <x:c r="F110" s="51" t="str">
        <x:v>collection</x:v>
      </x:c>
      <x:c r="G110" s="51" t="str">
        <x:v>广州虚拟回收/检测中心</x:v>
      </x:c>
      <x:c r="H110" s="52" t="n">
        <x:v>237.03724939624288</x:v>
      </x:c>
      <x:c r="I110" s="52" t="n">
        <x:v>236.2303</x:v>
      </x:c>
      <x:c r="J110" s="52" t="n">
        <x:v>169.85</x:v>
      </x:c>
      <x:c r="K110" s="52" t="n">
        <x:f>IFERROR(I110/H110,"")</x:f>
        <x:v>0.9965956852844932</x:v>
      </x:c>
      <x:c r="L110" s="52" t="n">
        <x:v>150</x:v>
      </x:c>
      <x:c r="M110" s="65" t="n">
        <x:f>IF(H110&lt;=L110,1,0)</x:f>
        <x:v>0</x:v>
      </x:c>
      <x:c r="N110" s="65" t="n">
        <x:f>IF(I110&lt;=L110,1,0)</x:f>
        <x:v>0</x:v>
      </x:c>
      <x:c r="O110" s="51" t="str">
        <x:f>IF(M110=N110,"不变",IF(N110=1,"由禁变允","由允变禁"))</x:f>
        <x:v>不变</x:v>
      </x:c>
      <x:c r="P110" s="51" t="str">
        <x:v>OSRM driving/car</x:v>
      </x:c>
      <x:c r="Q110" s="51" t="str">
        <x:v>2026-08-15</x:v>
      </x:c>
      <x:c r="R110" s="51" t="str">
        <x:v>C-开放路网计算；不是货车/危运合规路线</x:v>
      </x:c>
      <x:c r="S110" s="51" t="str">
        <x:v>https://routing.openstreetmap.de/routed-car/</x:v>
      </x:c>
    </x:row>
    <x:row r="111">
      <x:c r="A111" s="51" t="str">
        <x:v>A0107</x:v>
      </x:c>
      <x:c r="B111" s="51" t="str">
        <x:v>GD06</x:v>
      </x:c>
      <x:c r="C111" s="51" t="str">
        <x:v>source</x:v>
      </x:c>
      <x:c r="D111" s="51" t="str">
        <x:v>韶关</x:v>
      </x:c>
      <x:c r="E111" s="51" t="str">
        <x:v>C02</x:v>
      </x:c>
      <x:c r="F111" s="51" t="str">
        <x:v>collection</x:v>
      </x:c>
      <x:c r="G111" s="51" t="str">
        <x:v>深圳虚拟回收/检测中心</x:v>
      </x:c>
      <x:c r="H111" s="52" t="n">
        <x:v>306.47442199910176</x:v>
      </x:c>
      <x:c r="I111" s="52" t="n">
        <x:v>338.1469</x:v>
      </x:c>
      <x:c r="J111" s="52" t="n">
        <x:v>236.02833333333334</x:v>
      </x:c>
      <x:c r="K111" s="52" t="n">
        <x:f>IFERROR(I111/H111,"")</x:f>
        <x:v>1.1033446047285183</x:v>
      </x:c>
      <x:c r="L111" s="52" t="n">
        <x:v>150</x:v>
      </x:c>
      <x:c r="M111" s="65" t="n">
        <x:f>IF(H111&lt;=L111,1,0)</x:f>
        <x:v>0</x:v>
      </x:c>
      <x:c r="N111" s="65" t="n">
        <x:f>IF(I111&lt;=L111,1,0)</x:f>
        <x:v>0</x:v>
      </x:c>
      <x:c r="O111" s="51" t="str">
        <x:f>IF(M111=N111,"不变",IF(N111=1,"由禁变允","由允变禁"))</x:f>
        <x:v>不变</x:v>
      </x:c>
      <x:c r="P111" s="51" t="str">
        <x:v>OSRM driving/car</x:v>
      </x:c>
      <x:c r="Q111" s="51" t="str">
        <x:v>2026-08-15</x:v>
      </x:c>
      <x:c r="R111" s="51" t="str">
        <x:v>C-开放路网计算；不是货车/危运合规路线</x:v>
      </x:c>
      <x:c r="S111" s="51" t="str">
        <x:v>https://routing.openstreetmap.de/routed-car/</x:v>
      </x:c>
    </x:row>
    <x:row r="112">
      <x:c r="A112" s="51" t="str">
        <x:v>A0108</x:v>
      </x:c>
      <x:c r="B112" s="51" t="str">
        <x:v>GD06</x:v>
      </x:c>
      <x:c r="C112" s="51" t="str">
        <x:v>source</x:v>
      </x:c>
      <x:c r="D112" s="51" t="str">
        <x:v>韶关</x:v>
      </x:c>
      <x:c r="E112" s="51" t="str">
        <x:v>C03</x:v>
      </x:c>
      <x:c r="F112" s="51" t="str">
        <x:v>collection</x:v>
      </x:c>
      <x:c r="G112" s="51" t="str">
        <x:v>珠海虚拟回收/检测中心</x:v>
      </x:c>
      <x:c r="H112" s="52" t="n">
        <x:v>342.51517338462924</x:v>
      </x:c>
      <x:c r="I112" s="52" t="n">
        <x:v>357.90540000000004</x:v>
      </x:c>
      <x:c r="J112" s="52" t="n">
        <x:v>254.56</x:v>
      </x:c>
      <x:c r="K112" s="52" t="n">
        <x:f>IFERROR(I112/H112,"")</x:f>
        <x:v>1.044932977605895</x:v>
      </x:c>
      <x:c r="L112" s="52" t="n">
        <x:v>150</x:v>
      </x:c>
      <x:c r="M112" s="65" t="n">
        <x:f>IF(H112&lt;=L112,1,0)</x:f>
        <x:v>0</x:v>
      </x:c>
      <x:c r="N112" s="65" t="n">
        <x:f>IF(I112&lt;=L112,1,0)</x:f>
        <x:v>0</x:v>
      </x:c>
      <x:c r="O112" s="51" t="str">
        <x:f>IF(M112=N112,"不变",IF(N112=1,"由禁变允","由允变禁"))</x:f>
        <x:v>不变</x:v>
      </x:c>
      <x:c r="P112" s="51" t="str">
        <x:v>OSRM driving/car</x:v>
      </x:c>
      <x:c r="Q112" s="51" t="str">
        <x:v>2026-08-15</x:v>
      </x:c>
      <x:c r="R112" s="51" t="str">
        <x:v>C-开放路网计算；不是货车/危运合规路线</x:v>
      </x:c>
      <x:c r="S112" s="51" t="str">
        <x:v>https://routing.openstreetmap.de/routed-car/</x:v>
      </x:c>
    </x:row>
    <x:row r="113">
      <x:c r="A113" s="51" t="str">
        <x:v>A0109</x:v>
      </x:c>
      <x:c r="B113" s="51" t="str">
        <x:v>GD06</x:v>
      </x:c>
      <x:c r="C113" s="51" t="str">
        <x:v>source</x:v>
      </x:c>
      <x:c r="D113" s="51" t="str">
        <x:v>韶关</x:v>
      </x:c>
      <x:c r="E113" s="51" t="str">
        <x:v>C04</x:v>
      </x:c>
      <x:c r="F113" s="51" t="str">
        <x:v>collection</x:v>
      </x:c>
      <x:c r="G113" s="51" t="str">
        <x:v>汕头虚拟回收/检测中心</x:v>
      </x:c>
      <x:c r="H113" s="52" t="n">
        <x:v>400.29631081436423</x:v>
      </x:c>
      <x:c r="I113" s="52" t="n">
        <x:v>433.9995</x:v>
      </x:c>
      <x:c r="J113" s="52" t="n">
        <x:v>324.35</x:v>
      </x:c>
      <x:c r="K113" s="52" t="n">
        <x:f>IFERROR(I113/H113,"")</x:f>
        <x:v>1.0841956027950141</x:v>
      </x:c>
      <x:c r="L113" s="52" t="n">
        <x:v>150</x:v>
      </x:c>
      <x:c r="M113" s="65" t="n">
        <x:f>IF(H113&lt;=L113,1,0)</x:f>
        <x:v>0</x:v>
      </x:c>
      <x:c r="N113" s="65" t="n">
        <x:f>IF(I113&lt;=L113,1,0)</x:f>
        <x:v>0</x:v>
      </x:c>
      <x:c r="O113" s="51" t="str">
        <x:f>IF(M113=N113,"不变",IF(N113=1,"由禁变允","由允变禁"))</x:f>
        <x:v>不变</x:v>
      </x:c>
      <x:c r="P113" s="51" t="str">
        <x:v>OSRM driving/car</x:v>
      </x:c>
      <x:c r="Q113" s="51" t="str">
        <x:v>2026-08-15</x:v>
      </x:c>
      <x:c r="R113" s="51" t="str">
        <x:v>C-开放路网计算；不是货车/危运合规路线</x:v>
      </x:c>
      <x:c r="S113" s="51" t="str">
        <x:v>https://routing.openstreetmap.de/routed-car/</x:v>
      </x:c>
    </x:row>
    <x:row r="114">
      <x:c r="A114" s="51" t="str">
        <x:v>A0110</x:v>
      </x:c>
      <x:c r="B114" s="51" t="str">
        <x:v>GD06</x:v>
      </x:c>
      <x:c r="C114" s="51" t="str">
        <x:v>source</x:v>
      </x:c>
      <x:c r="D114" s="51" t="str">
        <x:v>韶关</x:v>
      </x:c>
      <x:c r="E114" s="51" t="str">
        <x:v>C05</x:v>
      </x:c>
      <x:c r="F114" s="51" t="str">
        <x:v>collection</x:v>
      </x:c>
      <x:c r="G114" s="51" t="str">
        <x:v>佛山虚拟回收/检测中心</x:v>
      </x:c>
      <x:c r="H114" s="52" t="n">
        <x:v>255.76122145140755</x:v>
      </x:c>
      <x:c r="I114" s="52" t="n">
        <x:v>257.7153</x:v>
      </x:c>
      <x:c r="J114" s="52" t="n">
        <x:v>189.54833333333332</x:v>
      </x:c>
      <x:c r="K114" s="52" t="n">
        <x:f>IFERROR(I114/H114,"")</x:f>
        <x:v>1.0076402456068334</x:v>
      </x:c>
      <x:c r="L114" s="52" t="n">
        <x:v>150</x:v>
      </x:c>
      <x:c r="M114" s="65" t="n">
        <x:f>IF(H114&lt;=L114,1,0)</x:f>
        <x:v>0</x:v>
      </x:c>
      <x:c r="N114" s="65" t="n">
        <x:f>IF(I114&lt;=L114,1,0)</x:f>
        <x:v>0</x:v>
      </x:c>
      <x:c r="O114" s="51" t="str">
        <x:f>IF(M114=N114,"不变",IF(N114=1,"由禁变允","由允变禁"))</x:f>
        <x:v>不变</x:v>
      </x:c>
      <x:c r="P114" s="51" t="str">
        <x:v>OSRM driving/car</x:v>
      </x:c>
      <x:c r="Q114" s="51" t="str">
        <x:v>2026-08-15</x:v>
      </x:c>
      <x:c r="R114" s="51" t="str">
        <x:v>C-开放路网计算；不是货车/危运合规路线</x:v>
      </x:c>
      <x:c r="S114" s="51" t="str">
        <x:v>https://routing.openstreetmap.de/routed-car/</x:v>
      </x:c>
    </x:row>
    <x:row r="115">
      <x:c r="A115" s="51" t="str">
        <x:v>A0111</x:v>
      </x:c>
      <x:c r="B115" s="51" t="str">
        <x:v>GD06</x:v>
      </x:c>
      <x:c r="C115" s="51" t="str">
        <x:v>source</x:v>
      </x:c>
      <x:c r="D115" s="51" t="str">
        <x:v>韶关</x:v>
      </x:c>
      <x:c r="E115" s="51" t="str">
        <x:v>C06</x:v>
      </x:c>
      <x:c r="F115" s="51" t="str">
        <x:v>collection</x:v>
      </x:c>
      <x:c r="G115" s="51" t="str">
        <x:v>韶关虚拟回收/检测中心</x:v>
      </x:c>
      <x:c r="H115" s="52" t="n">
        <x:v>0</x:v>
      </x:c>
      <x:c r="I115" s="52" t="n">
        <x:v>0</x:v>
      </x:c>
      <x:c r="J115" s="52" t="n">
        <x:v>0</x:v>
      </x:c>
      <x:c r="K115" s="52" t="str">
        <x:f>IFERROR(I115/H115,"")</x:f>
      </x:c>
      <x:c r="L115" s="52" t="n">
        <x:v>150</x:v>
      </x:c>
      <x:c r="M115" s="65" t="n">
        <x:f>IF(H115&lt;=L115,1,0)</x:f>
        <x:v>1</x:v>
      </x:c>
      <x:c r="N115" s="65" t="n">
        <x:f>IF(I115&lt;=L115,1,0)</x:f>
        <x:v>1</x:v>
      </x:c>
      <x:c r="O115" s="51" t="str">
        <x:f>IF(M115=N115,"不变",IF(N115=1,"由禁变允","由允变禁"))</x:f>
        <x:v>不变</x:v>
      </x:c>
      <x:c r="P115" s="51" t="str">
        <x:v>OSRM driving/car</x:v>
      </x:c>
      <x:c r="Q115" s="51" t="str">
        <x:v>2026-08-15</x:v>
      </x:c>
      <x:c r="R115" s="51" t="str">
        <x:v>C-开放路网计算；不是货车/危运合规路线</x:v>
      </x:c>
      <x:c r="S115" s="51" t="str">
        <x:v>https://routing.openstreetmap.de/routed-car/</x:v>
      </x:c>
    </x:row>
    <x:row r="116">
      <x:c r="A116" s="51" t="str">
        <x:v>A0112</x:v>
      </x:c>
      <x:c r="B116" s="51" t="str">
        <x:v>GD06</x:v>
      </x:c>
      <x:c r="C116" s="51" t="str">
        <x:v>source</x:v>
      </x:c>
      <x:c r="D116" s="51" t="str">
        <x:v>韶关</x:v>
      </x:c>
      <x:c r="E116" s="51" t="str">
        <x:v>C07</x:v>
      </x:c>
      <x:c r="F116" s="51" t="str">
        <x:v>collection</x:v>
      </x:c>
      <x:c r="G116" s="51" t="str">
        <x:v>河源虚拟回收/检测中心</x:v>
      </x:c>
      <x:c r="H116" s="52" t="n">
        <x:v>179.54353323515195</x:v>
      </x:c>
      <x:c r="I116" s="52" t="n">
        <x:v>250.9004</x:v>
      </x:c>
      <x:c r="J116" s="52" t="n">
        <x:v>218.32666666666668</x:v>
      </x:c>
      <x:c r="K116" s="52" t="n">
        <x:f>IFERROR(I116/H116,"")</x:f>
        <x:v>1.397434903274352</x:v>
      </x:c>
      <x:c r="L116" s="52" t="n">
        <x:v>150</x:v>
      </x:c>
      <x:c r="M116" s="65" t="n">
        <x:f>IF(H116&lt;=L116,1,0)</x:f>
        <x:v>0</x:v>
      </x:c>
      <x:c r="N116" s="65" t="n">
        <x:f>IF(I116&lt;=L116,1,0)</x:f>
        <x:v>0</x:v>
      </x:c>
      <x:c r="O116" s="51" t="str">
        <x:f>IF(M116=N116,"不变",IF(N116=1,"由禁变允","由允变禁"))</x:f>
        <x:v>不变</x:v>
      </x:c>
      <x:c r="P116" s="51" t="str">
        <x:v>OSRM driving/car</x:v>
      </x:c>
      <x:c r="Q116" s="51" t="str">
        <x:v>2026-08-15</x:v>
      </x:c>
      <x:c r="R116" s="51" t="str">
        <x:v>C-开放路网计算；不是货车/危运合规路线</x:v>
      </x:c>
      <x:c r="S116" s="51" t="str">
        <x:v>https://routing.openstreetmap.de/routed-car/</x:v>
      </x:c>
    </x:row>
    <x:row r="117">
      <x:c r="A117" s="51" t="str">
        <x:v>A0113</x:v>
      </x:c>
      <x:c r="B117" s="51" t="str">
        <x:v>GD06</x:v>
      </x:c>
      <x:c r="C117" s="51" t="str">
        <x:v>source</x:v>
      </x:c>
      <x:c r="D117" s="51" t="str">
        <x:v>韶关</x:v>
      </x:c>
      <x:c r="E117" s="51" t="str">
        <x:v>C08</x:v>
      </x:c>
      <x:c r="F117" s="51" t="str">
        <x:v>collection</x:v>
      </x:c>
      <x:c r="G117" s="51" t="str">
        <x:v>梅州虚拟回收/检测中心</x:v>
      </x:c>
      <x:c r="H117" s="52" t="n">
        <x:v>288.4343025608088</x:v>
      </x:c>
      <x:c r="I117" s="52" t="n">
        <x:v>339.5375</x:v>
      </x:c>
      <x:c r="J117" s="52" t="n">
        <x:v>259.57166666666666</x:v>
      </x:c>
      <x:c r="K117" s="52" t="n">
        <x:f>IFERROR(I117/H117,"")</x:f>
        <x:v>1.1771744795451902</x:v>
      </x:c>
      <x:c r="L117" s="52" t="n">
        <x:v>150</x:v>
      </x:c>
      <x:c r="M117" s="65" t="n">
        <x:f>IF(H117&lt;=L117,1,0)</x:f>
        <x:v>0</x:v>
      </x:c>
      <x:c r="N117" s="65" t="n">
        <x:f>IF(I117&lt;=L117,1,0)</x:f>
        <x:v>0</x:v>
      </x:c>
      <x:c r="O117" s="51" t="str">
        <x:f>IF(M117=N117,"不变",IF(N117=1,"由禁变允","由允变禁"))</x:f>
        <x:v>不变</x:v>
      </x:c>
      <x:c r="P117" s="51" t="str">
        <x:v>OSRM driving/car</x:v>
      </x:c>
      <x:c r="Q117" s="51" t="str">
        <x:v>2026-08-15</x:v>
      </x:c>
      <x:c r="R117" s="51" t="str">
        <x:v>C-开放路网计算；不是货车/危运合规路线</x:v>
      </x:c>
      <x:c r="S117" s="51" t="str">
        <x:v>https://routing.openstreetmap.de/routed-car/</x:v>
      </x:c>
    </x:row>
    <x:row r="118">
      <x:c r="A118" s="51" t="str">
        <x:v>A0114</x:v>
      </x:c>
      <x:c r="B118" s="51" t="str">
        <x:v>GD06</x:v>
      </x:c>
      <x:c r="C118" s="51" t="str">
        <x:v>source</x:v>
      </x:c>
      <x:c r="D118" s="51" t="str">
        <x:v>韶关</x:v>
      </x:c>
      <x:c r="E118" s="51" t="str">
        <x:v>C09</x:v>
      </x:c>
      <x:c r="F118" s="51" t="str">
        <x:v>collection</x:v>
      </x:c>
      <x:c r="G118" s="51" t="str">
        <x:v>惠州虚拟回收/检测中心</x:v>
      </x:c>
      <x:c r="H118" s="52" t="n">
        <x:v>240.57838750981594</x:v>
      </x:c>
      <x:c r="I118" s="52" t="n">
        <x:v>272.4595</x:v>
      </x:c>
      <x:c r="J118" s="52" t="n">
        <x:v>209.82999999999998</x:v>
      </x:c>
      <x:c r="K118" s="52" t="n">
        <x:f>IFERROR(I118/H118,"")</x:f>
        <x:v>1.1325186057657954</x:v>
      </x:c>
      <x:c r="L118" s="52" t="n">
        <x:v>150</x:v>
      </x:c>
      <x:c r="M118" s="65" t="n">
        <x:f>IF(H118&lt;=L118,1,0)</x:f>
        <x:v>0</x:v>
      </x:c>
      <x:c r="N118" s="65" t="n">
        <x:f>IF(I118&lt;=L118,1,0)</x:f>
        <x:v>0</x:v>
      </x:c>
      <x:c r="O118" s="51" t="str">
        <x:f>IF(M118=N118,"不变",IF(N118=1,"由禁变允","由允变禁"))</x:f>
        <x:v>不变</x:v>
      </x:c>
      <x:c r="P118" s="51" t="str">
        <x:v>OSRM driving/car</x:v>
      </x:c>
      <x:c r="Q118" s="51" t="str">
        <x:v>2026-08-15</x:v>
      </x:c>
      <x:c r="R118" s="51" t="str">
        <x:v>C-开放路网计算；不是货车/危运合规路线</x:v>
      </x:c>
      <x:c r="S118" s="51" t="str">
        <x:v>https://routing.openstreetmap.de/routed-car/</x:v>
      </x:c>
    </x:row>
    <x:row r="119">
      <x:c r="A119" s="51" t="str">
        <x:v>A0115</x:v>
      </x:c>
      <x:c r="B119" s="51" t="str">
        <x:v>GD06</x:v>
      </x:c>
      <x:c r="C119" s="51" t="str">
        <x:v>source</x:v>
      </x:c>
      <x:c r="D119" s="51" t="str">
        <x:v>韶关</x:v>
      </x:c>
      <x:c r="E119" s="51" t="str">
        <x:v>C10</x:v>
      </x:c>
      <x:c r="F119" s="51" t="str">
        <x:v>collection</x:v>
      </x:c>
      <x:c r="G119" s="51" t="str">
        <x:v>汕尾虚拟回收/检测中心</x:v>
      </x:c>
      <x:c r="H119" s="52" t="n">
        <x:v>318.73774688823676</x:v>
      </x:c>
      <x:c r="I119" s="52" t="n">
        <x:v>398.1455</x:v>
      </x:c>
      <x:c r="J119" s="52" t="n">
        <x:v>310.8383333333333</x:v>
      </x:c>
      <x:c r="K119" s="52" t="n">
        <x:f>IFERROR(I119/H119,"")</x:f>
        <x:v>1.2491319396180807</x:v>
      </x:c>
      <x:c r="L119" s="52" t="n">
        <x:v>150</x:v>
      </x:c>
      <x:c r="M119" s="65" t="n">
        <x:f>IF(H119&lt;=L119,1,0)</x:f>
        <x:v>0</x:v>
      </x:c>
      <x:c r="N119" s="65" t="n">
        <x:f>IF(I119&lt;=L119,1,0)</x:f>
        <x:v>0</x:v>
      </x:c>
      <x:c r="O119" s="51" t="str">
        <x:f>IF(M119=N119,"不变",IF(N119=1,"由禁变允","由允变禁"))</x:f>
        <x:v>不变</x:v>
      </x:c>
      <x:c r="P119" s="51" t="str">
        <x:v>OSRM driving/car</x:v>
      </x:c>
      <x:c r="Q119" s="51" t="str">
        <x:v>2026-08-15</x:v>
      </x:c>
      <x:c r="R119" s="51" t="str">
        <x:v>C-开放路网计算；不是货车/危运合规路线</x:v>
      </x:c>
      <x:c r="S119" s="51" t="str">
        <x:v>https://routing.openstreetmap.de/routed-car/</x:v>
      </x:c>
    </x:row>
    <x:row r="120">
      <x:c r="A120" s="51" t="str">
        <x:v>A0116</x:v>
      </x:c>
      <x:c r="B120" s="51" t="str">
        <x:v>GD06</x:v>
      </x:c>
      <x:c r="C120" s="51" t="str">
        <x:v>source</x:v>
      </x:c>
      <x:c r="D120" s="51" t="str">
        <x:v>韶关</x:v>
      </x:c>
      <x:c r="E120" s="51" t="str">
        <x:v>C11</x:v>
      </x:c>
      <x:c r="F120" s="51" t="str">
        <x:v>collection</x:v>
      </x:c>
      <x:c r="G120" s="51" t="str">
        <x:v>东莞虚拟回收/检测中心</x:v>
      </x:c>
      <x:c r="H120" s="52" t="n">
        <x:v>242.01314694033505</x:v>
      </x:c>
      <x:c r="I120" s="52" t="n">
        <x:v>272.5831</x:v>
      </x:c>
      <x:c r="J120" s="52" t="n">
        <x:v>194.70166666666668</x:v>
      </x:c>
      <x:c r="K120" s="52" t="n">
        <x:f>IFERROR(I120/H120,"")</x:f>
        <x:v>1.1263152578533329</x:v>
      </x:c>
      <x:c r="L120" s="52" t="n">
        <x:v>150</x:v>
      </x:c>
      <x:c r="M120" s="65" t="n">
        <x:f>IF(H120&lt;=L120,1,0)</x:f>
        <x:v>0</x:v>
      </x:c>
      <x:c r="N120" s="65" t="n">
        <x:f>IF(I120&lt;=L120,1,0)</x:f>
        <x:v>0</x:v>
      </x:c>
      <x:c r="O120" s="51" t="str">
        <x:f>IF(M120=N120,"不变",IF(N120=1,"由禁变允","由允变禁"))</x:f>
        <x:v>不变</x:v>
      </x:c>
      <x:c r="P120" s="51" t="str">
        <x:v>OSRM driving/car</x:v>
      </x:c>
      <x:c r="Q120" s="51" t="str">
        <x:v>2026-08-15</x:v>
      </x:c>
      <x:c r="R120" s="51" t="str">
        <x:v>C-开放路网计算；不是货车/危运合规路线</x:v>
      </x:c>
      <x:c r="S120" s="51" t="str">
        <x:v>https://routing.openstreetmap.de/routed-car/</x:v>
      </x:c>
    </x:row>
    <x:row r="121">
      <x:c r="A121" s="51" t="str">
        <x:v>A0117</x:v>
      </x:c>
      <x:c r="B121" s="51" t="str">
        <x:v>GD06</x:v>
      </x:c>
      <x:c r="C121" s="51" t="str">
        <x:v>source</x:v>
      </x:c>
      <x:c r="D121" s="51" t="str">
        <x:v>韶关</x:v>
      </x:c>
      <x:c r="E121" s="51" t="str">
        <x:v>C12</x:v>
      </x:c>
      <x:c r="F121" s="51" t="str">
        <x:v>collection</x:v>
      </x:c>
      <x:c r="G121" s="51" t="str">
        <x:v>中山虚拟回收/检测中心</x:v>
      </x:c>
      <x:c r="H121" s="52" t="n">
        <x:v>312.80688178629845</x:v>
      </x:c>
      <x:c r="I121" s="52" t="n">
        <x:v>324.258</x:v>
      </x:c>
      <x:c r="J121" s="52" t="n">
        <x:v>230.72833333333335</x:v>
      </x:c>
      <x:c r="K121" s="52" t="n">
        <x:f>IFERROR(I121/H121,"")</x:f>
        <x:v>1.0366076287973889</x:v>
      </x:c>
      <x:c r="L121" s="52" t="n">
        <x:v>150</x:v>
      </x:c>
      <x:c r="M121" s="65" t="n">
        <x:f>IF(H121&lt;=L121,1,0)</x:f>
        <x:v>0</x:v>
      </x:c>
      <x:c r="N121" s="65" t="n">
        <x:f>IF(I121&lt;=L121,1,0)</x:f>
        <x:v>0</x:v>
      </x:c>
      <x:c r="O121" s="51" t="str">
        <x:f>IF(M121=N121,"不变",IF(N121=1,"由禁变允","由允变禁"))</x:f>
        <x:v>不变</x:v>
      </x:c>
      <x:c r="P121" s="51" t="str">
        <x:v>OSRM driving/car</x:v>
      </x:c>
      <x:c r="Q121" s="51" t="str">
        <x:v>2026-08-15</x:v>
      </x:c>
      <x:c r="R121" s="51" t="str">
        <x:v>C-开放路网计算；不是货车/危运合规路线</x:v>
      </x:c>
      <x:c r="S121" s="51" t="str">
        <x:v>https://routing.openstreetmap.de/routed-car/</x:v>
      </x:c>
    </x:row>
    <x:row r="122">
      <x:c r="A122" s="51" t="str">
        <x:v>A0118</x:v>
      </x:c>
      <x:c r="B122" s="51" t="str">
        <x:v>GD06</x:v>
      </x:c>
      <x:c r="C122" s="51" t="str">
        <x:v>source</x:v>
      </x:c>
      <x:c r="D122" s="51" t="str">
        <x:v>韶关</x:v>
      </x:c>
      <x:c r="E122" s="51" t="str">
        <x:v>C13</x:v>
      </x:c>
      <x:c r="F122" s="51" t="str">
        <x:v>collection</x:v>
      </x:c>
      <x:c r="G122" s="51" t="str">
        <x:v>江门虚拟回收/检测中心</x:v>
      </x:c>
      <x:c r="H122" s="52" t="n">
        <x:v>313.42946331342586</x:v>
      </x:c>
      <x:c r="I122" s="52" t="n">
        <x:v>314.6585</x:v>
      </x:c>
      <x:c r="J122" s="52" t="n">
        <x:v>229.18666666666667</x:v>
      </x:c>
      <x:c r="K122" s="52" t="n">
        <x:f>IFERROR(I122/H122,"")</x:f>
        <x:v>1.0039212544780614</x:v>
      </x:c>
      <x:c r="L122" s="52" t="n">
        <x:v>150</x:v>
      </x:c>
      <x:c r="M122" s="65" t="n">
        <x:f>IF(H122&lt;=L122,1,0)</x:f>
        <x:v>0</x:v>
      </x:c>
      <x:c r="N122" s="65" t="n">
        <x:f>IF(I122&lt;=L122,1,0)</x:f>
        <x:v>0</x:v>
      </x:c>
      <x:c r="O122" s="51" t="str">
        <x:f>IF(M122=N122,"不变",IF(N122=1,"由禁变允","由允变禁"))</x:f>
        <x:v>不变</x:v>
      </x:c>
      <x:c r="P122" s="51" t="str">
        <x:v>OSRM driving/car</x:v>
      </x:c>
      <x:c r="Q122" s="51" t="str">
        <x:v>2026-08-15</x:v>
      </x:c>
      <x:c r="R122" s="51" t="str">
        <x:v>C-开放路网计算；不是货车/危运合规路线</x:v>
      </x:c>
      <x:c r="S122" s="51" t="str">
        <x:v>https://routing.openstreetmap.de/routed-car/</x:v>
      </x:c>
    </x:row>
    <x:row r="123">
      <x:c r="A123" s="51" t="str">
        <x:v>A0119</x:v>
      </x:c>
      <x:c r="B123" s="51" t="str">
        <x:v>GD06</x:v>
      </x:c>
      <x:c r="C123" s="51" t="str">
        <x:v>source</x:v>
      </x:c>
      <x:c r="D123" s="51" t="str">
        <x:v>韶关</x:v>
      </x:c>
      <x:c r="E123" s="51" t="str">
        <x:v>C14</x:v>
      </x:c>
      <x:c r="F123" s="51" t="str">
        <x:v>collection</x:v>
      </x:c>
      <x:c r="G123" s="51" t="str">
        <x:v>阳江虚拟回收/检测中心</x:v>
      </x:c>
      <x:c r="H123" s="52" t="n">
        <x:v>441.6558572790621</x:v>
      </x:c>
      <x:c r="I123" s="52" t="n">
        <x:v>451.2055</x:v>
      </x:c>
      <x:c r="J123" s="52" t="n">
        <x:v>327.32166666666666</x:v>
      </x:c>
      <x:c r="K123" s="52" t="n">
        <x:f>IFERROR(I123/H123,"")</x:f>
        <x:v>1.0216223617632312</x:v>
      </x:c>
      <x:c r="L123" s="52" t="n">
        <x:v>150</x:v>
      </x:c>
      <x:c r="M123" s="65" t="n">
        <x:f>IF(H123&lt;=L123,1,0)</x:f>
        <x:v>0</x:v>
      </x:c>
      <x:c r="N123" s="65" t="n">
        <x:f>IF(I123&lt;=L123,1,0)</x:f>
        <x:v>0</x:v>
      </x:c>
      <x:c r="O123" s="51" t="str">
        <x:f>IF(M123=N123,"不变",IF(N123=1,"由禁变允","由允变禁"))</x:f>
        <x:v>不变</x:v>
      </x:c>
      <x:c r="P123" s="51" t="str">
        <x:v>OSRM driving/car</x:v>
      </x:c>
      <x:c r="Q123" s="51" t="str">
        <x:v>2026-08-15</x:v>
      </x:c>
      <x:c r="R123" s="51" t="str">
        <x:v>C-开放路网计算；不是货车/危运合规路线</x:v>
      </x:c>
      <x:c r="S123" s="51" t="str">
        <x:v>https://routing.openstreetmap.de/routed-car/</x:v>
      </x:c>
    </x:row>
    <x:row r="124">
      <x:c r="A124" s="51" t="str">
        <x:v>A0120</x:v>
      </x:c>
      <x:c r="B124" s="51" t="str">
        <x:v>GD06</x:v>
      </x:c>
      <x:c r="C124" s="51" t="str">
        <x:v>source</x:v>
      </x:c>
      <x:c r="D124" s="51" t="str">
        <x:v>韶关</x:v>
      </x:c>
      <x:c r="E124" s="51" t="str">
        <x:v>C15</x:v>
      </x:c>
      <x:c r="F124" s="51" t="str">
        <x:v>collection</x:v>
      </x:c>
      <x:c r="G124" s="51" t="str">
        <x:v>湛江虚拟回收/检测中心</x:v>
      </x:c>
      <x:c r="H124" s="52" t="n">
        <x:v>636.9781427860692</x:v>
      </x:c>
      <x:c r="I124" s="52" t="n">
        <x:v>644.8062</x:v>
      </x:c>
      <x:c r="J124" s="52" t="n">
        <x:v>440.94166666666666</x:v>
      </x:c>
      <x:c r="K124" s="52" t="n">
        <x:f>IFERROR(I124/H124,"")</x:f>
        <x:v>1.0122893655027028</x:v>
      </x:c>
      <x:c r="L124" s="52" t="n">
        <x:v>150</x:v>
      </x:c>
      <x:c r="M124" s="65" t="n">
        <x:f>IF(H124&lt;=L124,1,0)</x:f>
        <x:v>0</x:v>
      </x:c>
      <x:c r="N124" s="65" t="n">
        <x:f>IF(I124&lt;=L124,1,0)</x:f>
        <x:v>0</x:v>
      </x:c>
      <x:c r="O124" s="51" t="str">
        <x:f>IF(M124=N124,"不变",IF(N124=1,"由禁变允","由允变禁"))</x:f>
        <x:v>不变</x:v>
      </x:c>
      <x:c r="P124" s="51" t="str">
        <x:v>OSRM driving/car</x:v>
      </x:c>
      <x:c r="Q124" s="51" t="str">
        <x:v>2026-08-15</x:v>
      </x:c>
      <x:c r="R124" s="51" t="str">
        <x:v>C-开放路网计算；不是货车/危运合规路线</x:v>
      </x:c>
      <x:c r="S124" s="51" t="str">
        <x:v>https://routing.openstreetmap.de/routed-car/</x:v>
      </x:c>
    </x:row>
    <x:row r="125">
      <x:c r="A125" s="51" t="str">
        <x:v>A0121</x:v>
      </x:c>
      <x:c r="B125" s="51" t="str">
        <x:v>GD06</x:v>
      </x:c>
      <x:c r="C125" s="51" t="str">
        <x:v>source</x:v>
      </x:c>
      <x:c r="D125" s="51" t="str">
        <x:v>韶关</x:v>
      </x:c>
      <x:c r="E125" s="51" t="str">
        <x:v>C16</x:v>
      </x:c>
      <x:c r="F125" s="51" t="str">
        <x:v>collection</x:v>
      </x:c>
      <x:c r="G125" s="51" t="str">
        <x:v>茂名虚拟回收/检测中心</x:v>
      </x:c>
      <x:c r="H125" s="52" t="n">
        <x:v>551.5998500712193</x:v>
      </x:c>
      <x:c r="I125" s="52" t="n">
        <x:v>564.0568000000001</x:v>
      </x:c>
      <x:c r="J125" s="52" t="n">
        <x:v>389.8566666666667</x:v>
      </x:c>
      <x:c r="K125" s="52" t="n">
        <x:f>IFERROR(I125/H125,"")</x:f>
        <x:v>1.0225833091273908</x:v>
      </x:c>
      <x:c r="L125" s="52" t="n">
        <x:v>150</x:v>
      </x:c>
      <x:c r="M125" s="65" t="n">
        <x:f>IF(H125&lt;=L125,1,0)</x:f>
        <x:v>0</x:v>
      </x:c>
      <x:c r="N125" s="65" t="n">
        <x:f>IF(I125&lt;=L125,1,0)</x:f>
        <x:v>0</x:v>
      </x:c>
      <x:c r="O125" s="51" t="str">
        <x:f>IF(M125=N125,"不变",IF(N125=1,"由禁变允","由允变禁"))</x:f>
        <x:v>不变</x:v>
      </x:c>
      <x:c r="P125" s="51" t="str">
        <x:v>OSRM driving/car</x:v>
      </x:c>
      <x:c r="Q125" s="51" t="str">
        <x:v>2026-08-15</x:v>
      </x:c>
      <x:c r="R125" s="51" t="str">
        <x:v>C-开放路网计算；不是货车/危运合规路线</x:v>
      </x:c>
      <x:c r="S125" s="51" t="str">
        <x:v>https://routing.openstreetmap.de/routed-car/</x:v>
      </x:c>
    </x:row>
    <x:row r="126">
      <x:c r="A126" s="51" t="str">
        <x:v>A0122</x:v>
      </x:c>
      <x:c r="B126" s="51" t="str">
        <x:v>GD06</x:v>
      </x:c>
      <x:c r="C126" s="51" t="str">
        <x:v>source</x:v>
      </x:c>
      <x:c r="D126" s="51" t="str">
        <x:v>韶关</x:v>
      </x:c>
      <x:c r="E126" s="51" t="str">
        <x:v>C17</x:v>
      </x:c>
      <x:c r="F126" s="51" t="str">
        <x:v>collection</x:v>
      </x:c>
      <x:c r="G126" s="51" t="str">
        <x:v>肇庆虚拟回收/检测中心</x:v>
      </x:c>
      <x:c r="H126" s="52" t="n">
        <x:v>289.43307246740227</x:v>
      </x:c>
      <x:c r="I126" s="52" t="n">
        <x:v>287.91740000000004</x:v>
      </x:c>
      <x:c r="J126" s="52" t="n">
        <x:v>214.13333333333333</x:v>
      </x:c>
      <x:c r="K126" s="52" t="n">
        <x:f>IFERROR(I126/H126,"")</x:f>
        <x:v>0.9947633058845653</x:v>
      </x:c>
      <x:c r="L126" s="52" t="n">
        <x:v>150</x:v>
      </x:c>
      <x:c r="M126" s="65" t="n">
        <x:f>IF(H126&lt;=L126,1,0)</x:f>
        <x:v>0</x:v>
      </x:c>
      <x:c r="N126" s="65" t="n">
        <x:f>IF(I126&lt;=L126,1,0)</x:f>
        <x:v>0</x:v>
      </x:c>
      <x:c r="O126" s="51" t="str">
        <x:f>IF(M126=N126,"不变",IF(N126=1,"由禁变允","由允变禁"))</x:f>
        <x:v>不变</x:v>
      </x:c>
      <x:c r="P126" s="51" t="str">
        <x:v>OSRM driving/car</x:v>
      </x:c>
      <x:c r="Q126" s="51" t="str">
        <x:v>2026-08-15</x:v>
      </x:c>
      <x:c r="R126" s="51" t="str">
        <x:v>C-开放路网计算；不是货车/危运合规路线</x:v>
      </x:c>
      <x:c r="S126" s="51" t="str">
        <x:v>https://routing.openstreetmap.de/routed-car/</x:v>
      </x:c>
    </x:row>
    <x:row r="127">
      <x:c r="A127" s="51" t="str">
        <x:v>A0123</x:v>
      </x:c>
      <x:c r="B127" s="51" t="str">
        <x:v>GD06</x:v>
      </x:c>
      <x:c r="C127" s="51" t="str">
        <x:v>source</x:v>
      </x:c>
      <x:c r="D127" s="51" t="str">
        <x:v>韶关</x:v>
      </x:c>
      <x:c r="E127" s="51" t="str">
        <x:v>C18</x:v>
      </x:c>
      <x:c r="F127" s="51" t="str">
        <x:v>collection</x:v>
      </x:c>
      <x:c r="G127" s="51" t="str">
        <x:v>清远虚拟回收/检测中心</x:v>
      </x:c>
      <x:c r="H127" s="52" t="n">
        <x:v>179.19087548833554</x:v>
      </x:c>
      <x:c r="I127" s="52" t="n">
        <x:v>180.2101</x:v>
      </x:c>
      <x:c r="J127" s="52" t="n">
        <x:v>142.0883333333333</x:v>
      </x:c>
      <x:c r="K127" s="52" t="n">
        <x:f>IFERROR(I127/H127,"")</x:f>
        <x:v>1.005687926401871</x:v>
      </x:c>
      <x:c r="L127" s="52" t="n">
        <x:v>150</x:v>
      </x:c>
      <x:c r="M127" s="65" t="n">
        <x:f>IF(H127&lt;=L127,1,0)</x:f>
        <x:v>0</x:v>
      </x:c>
      <x:c r="N127" s="65" t="n">
        <x:f>IF(I127&lt;=L127,1,0)</x:f>
        <x:v>0</x:v>
      </x:c>
      <x:c r="O127" s="51" t="str">
        <x:f>IF(M127=N127,"不变",IF(N127=1,"由禁变允","由允变禁"))</x:f>
        <x:v>不变</x:v>
      </x:c>
      <x:c r="P127" s="51" t="str">
        <x:v>OSRM driving/car</x:v>
      </x:c>
      <x:c r="Q127" s="51" t="str">
        <x:v>2026-08-15</x:v>
      </x:c>
      <x:c r="R127" s="51" t="str">
        <x:v>C-开放路网计算；不是货车/危运合规路线</x:v>
      </x:c>
      <x:c r="S127" s="51" t="str">
        <x:v>https://routing.openstreetmap.de/routed-car/</x:v>
      </x:c>
    </x:row>
    <x:row r="128">
      <x:c r="A128" s="51" t="str">
        <x:v>A0124</x:v>
      </x:c>
      <x:c r="B128" s="51" t="str">
        <x:v>GD06</x:v>
      </x:c>
      <x:c r="C128" s="51" t="str">
        <x:v>source</x:v>
      </x:c>
      <x:c r="D128" s="51" t="str">
        <x:v>韶关</x:v>
      </x:c>
      <x:c r="E128" s="51" t="str">
        <x:v>C19</x:v>
      </x:c>
      <x:c r="F128" s="51" t="str">
        <x:v>collection</x:v>
      </x:c>
      <x:c r="G128" s="51" t="str">
        <x:v>潮州虚拟回收/检测中心</x:v>
      </x:c>
      <x:c r="H128" s="52" t="n">
        <x:v>375.50319781414925</x:v>
      </x:c>
      <x:c r="I128" s="52" t="n">
        <x:v>417.1698</x:v>
      </x:c>
      <x:c r="J128" s="52" t="n">
        <x:v>308.1166666666667</x:v>
      </x:c>
      <x:c r="K128" s="52" t="n">
        <x:f>IFERROR(I128/H128,"")</x:f>
        <x:v>1.1109620435415657</x:v>
      </x:c>
      <x:c r="L128" s="52" t="n">
        <x:v>150</x:v>
      </x:c>
      <x:c r="M128" s="65" t="n">
        <x:f>IF(H128&lt;=L128,1,0)</x:f>
        <x:v>0</x:v>
      </x:c>
      <x:c r="N128" s="65" t="n">
        <x:f>IF(I128&lt;=L128,1,0)</x:f>
        <x:v>0</x:v>
      </x:c>
      <x:c r="O128" s="51" t="str">
        <x:f>IF(M128=N128,"不变",IF(N128=1,"由禁变允","由允变禁"))</x:f>
        <x:v>不变</x:v>
      </x:c>
      <x:c r="P128" s="51" t="str">
        <x:v>OSRM driving/car</x:v>
      </x:c>
      <x:c r="Q128" s="51" t="str">
        <x:v>2026-08-15</x:v>
      </x:c>
      <x:c r="R128" s="51" t="str">
        <x:v>C-开放路网计算；不是货车/危运合规路线</x:v>
      </x:c>
      <x:c r="S128" s="51" t="str">
        <x:v>https://routing.openstreetmap.de/routed-car/</x:v>
      </x:c>
    </x:row>
    <x:row r="129">
      <x:c r="A129" s="51" t="str">
        <x:v>A0125</x:v>
      </x:c>
      <x:c r="B129" s="51" t="str">
        <x:v>GD06</x:v>
      </x:c>
      <x:c r="C129" s="51" t="str">
        <x:v>source</x:v>
      </x:c>
      <x:c r="D129" s="51" t="str">
        <x:v>韶关</x:v>
      </x:c>
      <x:c r="E129" s="51" t="str">
        <x:v>C20</x:v>
      </x:c>
      <x:c r="F129" s="51" t="str">
        <x:v>collection</x:v>
      </x:c>
      <x:c r="G129" s="51" t="str">
        <x:v>揭阳虚拟回收/检测中心</x:v>
      </x:c>
      <x:c r="H129" s="52" t="n">
        <x:v>354.3772228511982</x:v>
      </x:c>
      <x:c r="I129" s="52" t="n">
        <x:v>393.13390000000004</x:v>
      </x:c>
      <x:c r="J129" s="52" t="n">
        <x:v>293.2033333333333</x:v>
      </x:c>
      <x:c r="K129" s="52" t="n">
        <x:f>IFERROR(I129/H129,"")</x:f>
        <x:v>1.109365598717036</x:v>
      </x:c>
      <x:c r="L129" s="52" t="n">
        <x:v>150</x:v>
      </x:c>
      <x:c r="M129" s="65" t="n">
        <x:f>IF(H129&lt;=L129,1,0)</x:f>
        <x:v>0</x:v>
      </x:c>
      <x:c r="N129" s="65" t="n">
        <x:f>IF(I129&lt;=L129,1,0)</x:f>
        <x:v>0</x:v>
      </x:c>
      <x:c r="O129" s="51" t="str">
        <x:f>IF(M129=N129,"不变",IF(N129=1,"由禁变允","由允变禁"))</x:f>
        <x:v>不变</x:v>
      </x:c>
      <x:c r="P129" s="51" t="str">
        <x:v>OSRM driving/car</x:v>
      </x:c>
      <x:c r="Q129" s="51" t="str">
        <x:v>2026-08-15</x:v>
      </x:c>
      <x:c r="R129" s="51" t="str">
        <x:v>C-开放路网计算；不是货车/危运合规路线</x:v>
      </x:c>
      <x:c r="S129" s="51" t="str">
        <x:v>https://routing.openstreetmap.de/routed-car/</x:v>
      </x:c>
    </x:row>
    <x:row r="130">
      <x:c r="A130" s="51" t="str">
        <x:v>A0126</x:v>
      </x:c>
      <x:c r="B130" s="51" t="str">
        <x:v>GD06</x:v>
      </x:c>
      <x:c r="C130" s="51" t="str">
        <x:v>source</x:v>
      </x:c>
      <x:c r="D130" s="51" t="str">
        <x:v>韶关</x:v>
      </x:c>
      <x:c r="E130" s="51" t="str">
        <x:v>C21</x:v>
      </x:c>
      <x:c r="F130" s="51" t="str">
        <x:v>collection</x:v>
      </x:c>
      <x:c r="G130" s="51" t="str">
        <x:v>云浮虚拟回收/检测中心</x:v>
      </x:c>
      <x:c r="H130" s="52" t="n">
        <x:v>359.95540729726775</x:v>
      </x:c>
      <x:c r="I130" s="52" t="n">
        <x:v>382.7008</x:v>
      </x:c>
      <x:c r="J130" s="52" t="n">
        <x:v>274.175</x:v>
      </x:c>
      <x:c r="K130" s="52" t="n">
        <x:f>IFERROR(I130/H130,"")</x:f>
        <x:v>1.0631894735892884</x:v>
      </x:c>
      <x:c r="L130" s="52" t="n">
        <x:v>150</x:v>
      </x:c>
      <x:c r="M130" s="65" t="n">
        <x:f>IF(H130&lt;=L130,1,0)</x:f>
        <x:v>0</x:v>
      </x:c>
      <x:c r="N130" s="65" t="n">
        <x:f>IF(I130&lt;=L130,1,0)</x:f>
        <x:v>0</x:v>
      </x:c>
      <x:c r="O130" s="51" t="str">
        <x:f>IF(M130=N130,"不变",IF(N130=1,"由禁变允","由允变禁"))</x:f>
        <x:v>不变</x:v>
      </x:c>
      <x:c r="P130" s="51" t="str">
        <x:v>OSRM driving/car</x:v>
      </x:c>
      <x:c r="Q130" s="51" t="str">
        <x:v>2026-08-15</x:v>
      </x:c>
      <x:c r="R130" s="51" t="str">
        <x:v>C-开放路网计算；不是货车/危运合规路线</x:v>
      </x:c>
      <x:c r="S130" s="51" t="str">
        <x:v>https://routing.openstreetmap.de/routed-car/</x:v>
      </x:c>
    </x:row>
    <x:row r="131">
      <x:c r="A131" s="51" t="str">
        <x:v>A0127</x:v>
      </x:c>
      <x:c r="B131" s="51" t="str">
        <x:v>GD07</x:v>
      </x:c>
      <x:c r="C131" s="51" t="str">
        <x:v>source</x:v>
      </x:c>
      <x:c r="D131" s="51" t="str">
        <x:v>河源</x:v>
      </x:c>
      <x:c r="E131" s="51" t="str">
        <x:v>C01</x:v>
      </x:c>
      <x:c r="F131" s="51" t="str">
        <x:v>collection</x:v>
      </x:c>
      <x:c r="G131" s="51" t="str">
        <x:v>广州虚拟回收/检测中心</x:v>
      </x:c>
      <x:c r="H131" s="52" t="n">
        <x:v>255.35449854690705</x:v>
      </x:c>
      <x:c r="I131" s="52" t="n">
        <x:v>273.9589</x:v>
      </x:c>
      <x:c r="J131" s="52" t="n">
        <x:v>212.09833333333333</x:v>
      </x:c>
      <x:c r="K131" s="52" t="n">
        <x:f>IFERROR(I131/H131,"")</x:f>
        <x:v>1.0728571517594607</x:v>
      </x:c>
      <x:c r="L131" s="52" t="n">
        <x:v>150</x:v>
      </x:c>
      <x:c r="M131" s="65" t="n">
        <x:f>IF(H131&lt;=L131,1,0)</x:f>
        <x:v>0</x:v>
      </x:c>
      <x:c r="N131" s="65" t="n">
        <x:f>IF(I131&lt;=L131,1,0)</x:f>
        <x:v>0</x:v>
      </x:c>
      <x:c r="O131" s="51" t="str">
        <x:f>IF(M131=N131,"不变",IF(N131=1,"由禁变允","由允变禁"))</x:f>
        <x:v>不变</x:v>
      </x:c>
      <x:c r="P131" s="51" t="str">
        <x:v>OSRM driving/car</x:v>
      </x:c>
      <x:c r="Q131" s="51" t="str">
        <x:v>2026-08-15</x:v>
      </x:c>
      <x:c r="R131" s="51" t="str">
        <x:v>C-开放路网计算；不是货车/危运合规路线</x:v>
      </x:c>
      <x:c r="S131" s="51" t="str">
        <x:v>https://routing.openstreetmap.de/routed-car/</x:v>
      </x:c>
    </x:row>
    <x:row r="132">
      <x:c r="A132" s="51" t="str">
        <x:v>A0128</x:v>
      </x:c>
      <x:c r="B132" s="51" t="str">
        <x:v>GD07</x:v>
      </x:c>
      <x:c r="C132" s="51" t="str">
        <x:v>source</x:v>
      </x:c>
      <x:c r="D132" s="51" t="str">
        <x:v>河源</x:v>
      </x:c>
      <x:c r="E132" s="51" t="str">
        <x:v>C02</x:v>
      </x:c>
      <x:c r="F132" s="51" t="str">
        <x:v>collection</x:v>
      </x:c>
      <x:c r="G132" s="51" t="str">
        <x:v>深圳虚拟回收/检测中心</x:v>
      </x:c>
      <x:c r="H132" s="52" t="n">
        <x:v>241.38401680373065</x:v>
      </x:c>
      <x:c r="I132" s="52" t="n">
        <x:v>249.9957</x:v>
      </x:c>
      <x:c r="J132" s="52" t="n">
        <x:v>196.06</x:v>
      </x:c>
      <x:c r="K132" s="52" t="n">
        <x:f>IFERROR(I132/H132,"")</x:f>
        <x:v>1.035676277618959</x:v>
      </x:c>
      <x:c r="L132" s="52" t="n">
        <x:v>150</x:v>
      </x:c>
      <x:c r="M132" s="65" t="n">
        <x:f>IF(H132&lt;=L132,1,0)</x:f>
        <x:v>0</x:v>
      </x:c>
      <x:c r="N132" s="65" t="n">
        <x:f>IF(I132&lt;=L132,1,0)</x:f>
        <x:v>0</x:v>
      </x:c>
      <x:c r="O132" s="51" t="str">
        <x:f>IF(M132=N132,"不变",IF(N132=1,"由禁变允","由允变禁"))</x:f>
        <x:v>不变</x:v>
      </x:c>
      <x:c r="P132" s="51" t="str">
        <x:v>OSRM driving/car</x:v>
      </x:c>
      <x:c r="Q132" s="51" t="str">
        <x:v>2026-08-15</x:v>
      </x:c>
      <x:c r="R132" s="51" t="str">
        <x:v>C-开放路网计算；不是货车/危运合规路线</x:v>
      </x:c>
      <x:c r="S132" s="51" t="str">
        <x:v>https://routing.openstreetmap.de/routed-car/</x:v>
      </x:c>
    </x:row>
    <x:row r="133">
      <x:c r="A133" s="51" t="str">
        <x:v>A0129</x:v>
      </x:c>
      <x:c r="B133" s="51" t="str">
        <x:v>GD07</x:v>
      </x:c>
      <x:c r="C133" s="51" t="str">
        <x:v>source</x:v>
      </x:c>
      <x:c r="D133" s="51" t="str">
        <x:v>河源</x:v>
      </x:c>
      <x:c r="E133" s="51" t="str">
        <x:v>C03</x:v>
      </x:c>
      <x:c r="F133" s="51" t="str">
        <x:v>collection</x:v>
      </x:c>
      <x:c r="G133" s="51" t="str">
        <x:v>珠海虚拟回收/检测中心</x:v>
      </x:c>
      <x:c r="H133" s="52" t="n">
        <x:v>304.43065388171823</x:v>
      </x:c>
      <x:c r="I133" s="52" t="n">
        <x:v>344.5653</x:v>
      </x:c>
      <x:c r="J133" s="52" t="n">
        <x:v>267.2916666666667</x:v>
      </x:c>
      <x:c r="K133" s="52" t="n">
        <x:f>IFERROR(I133/H133,"")</x:f>
        <x:v>1.1318351013819898</x:v>
      </x:c>
      <x:c r="L133" s="52" t="n">
        <x:v>150</x:v>
      </x:c>
      <x:c r="M133" s="65" t="n">
        <x:f>IF(H133&lt;=L133,1,0)</x:f>
        <x:v>0</x:v>
      </x:c>
      <x:c r="N133" s="65" t="n">
        <x:f>IF(I133&lt;=L133,1,0)</x:f>
        <x:v>0</x:v>
      </x:c>
      <x:c r="O133" s="51" t="str">
        <x:f>IF(M133=N133,"不变",IF(N133=1,"由禁变允","由允变禁"))</x:f>
        <x:v>不变</x:v>
      </x:c>
      <x:c r="P133" s="51" t="str">
        <x:v>OSRM driving/car</x:v>
      </x:c>
      <x:c r="Q133" s="51" t="str">
        <x:v>2026-08-15</x:v>
      </x:c>
      <x:c r="R133" s="51" t="str">
        <x:v>C-开放路网计算；不是货车/危运合规路线</x:v>
      </x:c>
      <x:c r="S133" s="51" t="str">
        <x:v>https://routing.openstreetmap.de/routed-car/</x:v>
      </x:c>
    </x:row>
    <x:row r="134">
      <x:c r="A134" s="51" t="str">
        <x:v>A0130</x:v>
      </x:c>
      <x:c r="B134" s="51" t="str">
        <x:v>GD07</x:v>
      </x:c>
      <x:c r="C134" s="51" t="str">
        <x:v>source</x:v>
      </x:c>
      <x:c r="D134" s="51" t="str">
        <x:v>河源</x:v>
      </x:c>
      <x:c r="E134" s="51" t="str">
        <x:v>C04</x:v>
      </x:c>
      <x:c r="F134" s="51" t="str">
        <x:v>collection</x:v>
      </x:c>
      <x:c r="G134" s="51" t="str">
        <x:v>汕头虚拟回收/检测中心</x:v>
      </x:c>
      <x:c r="H134" s="52" t="n">
        <x:v>221.4376923116871</x:v>
      </x:c>
      <x:c r="I134" s="52" t="n">
        <x:v>234.5172</x:v>
      </x:c>
      <x:c r="J134" s="52" t="n">
        <x:v>186.18833333333333</x:v>
      </x:c>
      <x:c r="K134" s="52" t="n">
        <x:f>IFERROR(I134/H134,"")</x:f>
        <x:v>1.059066311393377</x:v>
      </x:c>
      <x:c r="L134" s="52" t="n">
        <x:v>150</x:v>
      </x:c>
      <x:c r="M134" s="65" t="n">
        <x:f>IF(H134&lt;=L134,1,0)</x:f>
        <x:v>0</x:v>
      </x:c>
      <x:c r="N134" s="65" t="n">
        <x:f>IF(I134&lt;=L134,1,0)</x:f>
        <x:v>0</x:v>
      </x:c>
      <x:c r="O134" s="51" t="str">
        <x:f>IF(M134=N134,"不变",IF(N134=1,"由禁变允","由允变禁"))</x:f>
        <x:v>不变</x:v>
      </x:c>
      <x:c r="P134" s="51" t="str">
        <x:v>OSRM driving/car</x:v>
      </x:c>
      <x:c r="Q134" s="51" t="str">
        <x:v>2026-08-15</x:v>
      </x:c>
      <x:c r="R134" s="51" t="str">
        <x:v>C-开放路网计算；不是货车/危运合规路线</x:v>
      </x:c>
      <x:c r="S134" s="51" t="str">
        <x:v>https://routing.openstreetmap.de/routed-car/</x:v>
      </x:c>
    </x:row>
    <x:row r="135">
      <x:c r="A135" s="51" t="str">
        <x:v>A0131</x:v>
      </x:c>
      <x:c r="B135" s="51" t="str">
        <x:v>GD07</x:v>
      </x:c>
      <x:c r="C135" s="51" t="str">
        <x:v>source</x:v>
      </x:c>
      <x:c r="D135" s="51" t="str">
        <x:v>河源</x:v>
      </x:c>
      <x:c r="E135" s="51" t="str">
        <x:v>C05</x:v>
      </x:c>
      <x:c r="F135" s="51" t="str">
        <x:v>collection</x:v>
      </x:c>
      <x:c r="G135" s="51" t="str">
        <x:v>佛山虚拟回收/检测中心</x:v>
      </x:c>
      <x:c r="H135" s="52" t="n">
        <x:v>277.62076243937133</x:v>
      </x:c>
      <x:c r="I135" s="52" t="n">
        <x:v>291.10209999999995</x:v>
      </x:c>
      <x:c r="J135" s="52" t="n">
        <x:v>232.91</x:v>
      </x:c>
      <x:c r="K135" s="52" t="n">
        <x:f>IFERROR(I135/H135,"")</x:f>
        <x:v>1.0485602641609804</x:v>
      </x:c>
      <x:c r="L135" s="52" t="n">
        <x:v>150</x:v>
      </x:c>
      <x:c r="M135" s="65" t="n">
        <x:f>IF(H135&lt;=L135,1,0)</x:f>
        <x:v>0</x:v>
      </x:c>
      <x:c r="N135" s="65" t="n">
        <x:f>IF(I135&lt;=L135,1,0)</x:f>
        <x:v>0</x:v>
      </x:c>
      <x:c r="O135" s="51" t="str">
        <x:f>IF(M135=N135,"不变",IF(N135=1,"由禁变允","由允变禁"))</x:f>
        <x:v>不变</x:v>
      </x:c>
      <x:c r="P135" s="51" t="str">
        <x:v>OSRM driving/car</x:v>
      </x:c>
      <x:c r="Q135" s="51" t="str">
        <x:v>2026-08-15</x:v>
      </x:c>
      <x:c r="R135" s="51" t="str">
        <x:v>C-开放路网计算；不是货车/危运合规路线</x:v>
      </x:c>
      <x:c r="S135" s="51" t="str">
        <x:v>https://routing.openstreetmap.de/routed-car/</x:v>
      </x:c>
    </x:row>
    <x:row r="136">
      <x:c r="A136" s="51" t="str">
        <x:v>A0132</x:v>
      </x:c>
      <x:c r="B136" s="51" t="str">
        <x:v>GD07</x:v>
      </x:c>
      <x:c r="C136" s="51" t="str">
        <x:v>source</x:v>
      </x:c>
      <x:c r="D136" s="51" t="str">
        <x:v>河源</x:v>
      </x:c>
      <x:c r="E136" s="51" t="str">
        <x:v>C06</x:v>
      </x:c>
      <x:c r="F136" s="51" t="str">
        <x:v>collection</x:v>
      </x:c>
      <x:c r="G136" s="51" t="str">
        <x:v>韶关虚拟回收/检测中心</x:v>
      </x:c>
      <x:c r="H136" s="52" t="n">
        <x:v>179.54353323515195</x:v>
      </x:c>
      <x:c r="I136" s="52" t="n">
        <x:v>249.704</x:v>
      </x:c>
      <x:c r="J136" s="52" t="n">
        <x:v>217.09666666666666</x:v>
      </x:c>
      <x:c r="K136" s="52" t="n">
        <x:f>IFERROR(I136/H136,"")</x:f>
        <x:v>1.3907713382968654</x:v>
      </x:c>
      <x:c r="L136" s="52" t="n">
        <x:v>150</x:v>
      </x:c>
      <x:c r="M136" s="65" t="n">
        <x:f>IF(H136&lt;=L136,1,0)</x:f>
        <x:v>0</x:v>
      </x:c>
      <x:c r="N136" s="65" t="n">
        <x:f>IF(I136&lt;=L136,1,0)</x:f>
        <x:v>0</x:v>
      </x:c>
      <x:c r="O136" s="51" t="str">
        <x:f>IF(M136=N136,"不变",IF(N136=1,"由禁变允","由允变禁"))</x:f>
        <x:v>不变</x:v>
      </x:c>
      <x:c r="P136" s="51" t="str">
        <x:v>OSRM driving/car</x:v>
      </x:c>
      <x:c r="Q136" s="51" t="str">
        <x:v>2026-08-15</x:v>
      </x:c>
      <x:c r="R136" s="51" t="str">
        <x:v>C-开放路网计算；不是货车/危运合规路线</x:v>
      </x:c>
      <x:c r="S136" s="51" t="str">
        <x:v>https://routing.openstreetmap.de/routed-car/</x:v>
      </x:c>
    </x:row>
    <x:row r="137">
      <x:c r="A137" s="51" t="str">
        <x:v>A0133</x:v>
      </x:c>
      <x:c r="B137" s="51" t="str">
        <x:v>GD07</x:v>
      </x:c>
      <x:c r="C137" s="51" t="str">
        <x:v>source</x:v>
      </x:c>
      <x:c r="D137" s="51" t="str">
        <x:v>河源</x:v>
      </x:c>
      <x:c r="E137" s="51" t="str">
        <x:v>C07</x:v>
      </x:c>
      <x:c r="F137" s="51" t="str">
        <x:v>collection</x:v>
      </x:c>
      <x:c r="G137" s="51" t="str">
        <x:v>河源虚拟回收/检测中心</x:v>
      </x:c>
      <x:c r="H137" s="52" t="n">
        <x:v>0.0001139223575592041</x:v>
      </x:c>
      <x:c r="I137" s="52" t="n">
        <x:v>0</x:v>
      </x:c>
      <x:c r="J137" s="52" t="n">
        <x:v>0</x:v>
      </x:c>
      <x:c r="K137" s="52" t="n">
        <x:f>IFERROR(I137/H137,"")</x:f>
        <x:v>0</x:v>
      </x:c>
      <x:c r="L137" s="52" t="n">
        <x:v>150</x:v>
      </x:c>
      <x:c r="M137" s="65" t="n">
        <x:f>IF(H137&lt;=L137,1,0)</x:f>
        <x:v>1</x:v>
      </x:c>
      <x:c r="N137" s="65" t="n">
        <x:f>IF(I137&lt;=L137,1,0)</x:f>
        <x:v>1</x:v>
      </x:c>
      <x:c r="O137" s="51" t="str">
        <x:f>IF(M137=N137,"不变",IF(N137=1,"由禁变允","由允变禁"))</x:f>
        <x:v>不变</x:v>
      </x:c>
      <x:c r="P137" s="51" t="str">
        <x:v>OSRM driving/car</x:v>
      </x:c>
      <x:c r="Q137" s="51" t="str">
        <x:v>2026-08-15</x:v>
      </x:c>
      <x:c r="R137" s="51" t="str">
        <x:v>C-开放路网计算；不是货车/危运合规路线</x:v>
      </x:c>
      <x:c r="S137" s="51" t="str">
        <x:v>https://routing.openstreetmap.de/routed-car/</x:v>
      </x:c>
    </x:row>
    <x:row r="138">
      <x:c r="A138" s="51" t="str">
        <x:v>A0134</x:v>
      </x:c>
      <x:c r="B138" s="51" t="str">
        <x:v>GD07</x:v>
      </x:c>
      <x:c r="C138" s="51" t="str">
        <x:v>source</x:v>
      </x:c>
      <x:c r="D138" s="51" t="str">
        <x:v>河源</x:v>
      </x:c>
      <x:c r="E138" s="51" t="str">
        <x:v>C08</x:v>
      </x:c>
      <x:c r="F138" s="51" t="str">
        <x:v>collection</x:v>
      </x:c>
      <x:c r="G138" s="51" t="str">
        <x:v>梅州虚拟回收/检测中心</x:v>
      </x:c>
      <x:c r="H138" s="52" t="n">
        <x:v>131.41703557689866</x:v>
      </x:c>
      <x:c r="I138" s="52" t="n">
        <x:v>140.0552</x:v>
      </x:c>
      <x:c r="J138" s="52" t="n">
        <x:v>121.41000000000001</x:v>
      </x:c>
      <x:c r="K138" s="52" t="n">
        <x:f>IFERROR(I138/H138,"")</x:f>
        <x:v>1.0657309334758716</x:v>
      </x:c>
      <x:c r="L138" s="52" t="n">
        <x:v>150</x:v>
      </x:c>
      <x:c r="M138" s="65" t="n">
        <x:f>IF(H138&lt;=L138,1,0)</x:f>
        <x:v>1</x:v>
      </x:c>
      <x:c r="N138" s="65" t="n">
        <x:f>IF(I138&lt;=L138,1,0)</x:f>
        <x:v>1</x:v>
      </x:c>
      <x:c r="O138" s="51" t="str">
        <x:f>IF(M138=N138,"不变",IF(N138=1,"由禁变允","由允变禁"))</x:f>
        <x:v>不变</x:v>
      </x:c>
      <x:c r="P138" s="51" t="str">
        <x:v>OSRM driving/car</x:v>
      </x:c>
      <x:c r="Q138" s="51" t="str">
        <x:v>2026-08-15</x:v>
      </x:c>
      <x:c r="R138" s="51" t="str">
        <x:v>C-开放路网计算；不是货车/危运合规路线</x:v>
      </x:c>
      <x:c r="S138" s="51" t="str">
        <x:v>https://routing.openstreetmap.de/routed-car/</x:v>
      </x:c>
    </x:row>
    <x:row r="139">
      <x:c r="A139" s="51" t="str">
        <x:v>A0135</x:v>
      </x:c>
      <x:c r="B139" s="51" t="str">
        <x:v>GD07</x:v>
      </x:c>
      <x:c r="C139" s="51" t="str">
        <x:v>source</x:v>
      </x:c>
      <x:c r="D139" s="51" t="str">
        <x:v>河源</x:v>
      </x:c>
      <x:c r="E139" s="51" t="str">
        <x:v>C09</x:v>
      </x:c>
      <x:c r="F139" s="51" t="str">
        <x:v>collection</x:v>
      </x:c>
      <x:c r="G139" s="51" t="str">
        <x:v>惠州虚拟回收/检测中心</x:v>
      </x:c>
      <x:c r="H139" s="52" t="n">
        <x:v>153.73276695379784</x:v>
      </x:c>
      <x:c r="I139" s="52" t="n">
        <x:v>162.7103</x:v>
      </x:c>
      <x:c r="J139" s="52" t="n">
        <x:v>135.45666666666665</x:v>
      </x:c>
      <x:c r="K139" s="52" t="n">
        <x:f>IFERROR(I139/H139,"")</x:f>
        <x:v>1.0583970042567452</x:v>
      </x:c>
      <x:c r="L139" s="52" t="n">
        <x:v>150</x:v>
      </x:c>
      <x:c r="M139" s="65" t="n">
        <x:f>IF(H139&lt;=L139,1,0)</x:f>
        <x:v>0</x:v>
      </x:c>
      <x:c r="N139" s="65" t="n">
        <x:f>IF(I139&lt;=L139,1,0)</x:f>
        <x:v>0</x:v>
      </x:c>
      <x:c r="O139" s="51" t="str">
        <x:f>IF(M139=N139,"不变",IF(N139=1,"由禁变允","由允变禁"))</x:f>
        <x:v>不变</x:v>
      </x:c>
      <x:c r="P139" s="51" t="str">
        <x:v>OSRM driving/car</x:v>
      </x:c>
      <x:c r="Q139" s="51" t="str">
        <x:v>2026-08-15</x:v>
      </x:c>
      <x:c r="R139" s="51" t="str">
        <x:v>C-开放路网计算；不是货车/危运合规路线</x:v>
      </x:c>
      <x:c r="S139" s="51" t="str">
        <x:v>https://routing.openstreetmap.de/routed-car/</x:v>
      </x:c>
    </x:row>
    <x:row r="140">
      <x:c r="A140" s="51" t="str">
        <x:v>A0136</x:v>
      </x:c>
      <x:c r="B140" s="51" t="str">
        <x:v>GD07</x:v>
      </x:c>
      <x:c r="C140" s="51" t="str">
        <x:v>source</x:v>
      </x:c>
      <x:c r="D140" s="51" t="str">
        <x:v>河源</x:v>
      </x:c>
      <x:c r="E140" s="51" t="str">
        <x:v>C10</x:v>
      </x:c>
      <x:c r="F140" s="51" t="str">
        <x:v>collection</x:v>
      </x:c>
      <x:c r="G140" s="51" t="str">
        <x:v>汕尾虚拟回收/检测中心</x:v>
      </x:c>
      <x:c r="H140" s="52" t="n">
        <x:v>155.4955738550505</x:v>
      </x:c>
      <x:c r="I140" s="52" t="n">
        <x:v>208.71470000000002</x:v>
      </x:c>
      <x:c r="J140" s="52" t="n">
        <x:v>190.89833333333334</x:v>
      </x:c>
      <x:c r="K140" s="52" t="n">
        <x:f>IFERROR(I140/H140,"")</x:f>
        <x:v>1.3422549261405934</x:v>
      </x:c>
      <x:c r="L140" s="52" t="n">
        <x:v>150</x:v>
      </x:c>
      <x:c r="M140" s="65" t="n">
        <x:f>IF(H140&lt;=L140,1,0)</x:f>
        <x:v>0</x:v>
      </x:c>
      <x:c r="N140" s="65" t="n">
        <x:f>IF(I140&lt;=L140,1,0)</x:f>
        <x:v>0</x:v>
      </x:c>
      <x:c r="O140" s="51" t="str">
        <x:f>IF(M140=N140,"不变",IF(N140=1,"由禁变允","由允变禁"))</x:f>
        <x:v>不变</x:v>
      </x:c>
      <x:c r="P140" s="51" t="str">
        <x:v>OSRM driving/car</x:v>
      </x:c>
      <x:c r="Q140" s="51" t="str">
        <x:v>2026-08-15</x:v>
      </x:c>
      <x:c r="R140" s="51" t="str">
        <x:v>C-开放路网计算；不是货车/危运合规路线</x:v>
      </x:c>
      <x:c r="S140" s="51" t="str">
        <x:v>https://routing.openstreetmap.de/routed-car/</x:v>
      </x:c>
    </x:row>
    <x:row r="141">
      <x:c r="A141" s="51" t="str">
        <x:v>A0137</x:v>
      </x:c>
      <x:c r="B141" s="51" t="str">
        <x:v>GD07</x:v>
      </x:c>
      <x:c r="C141" s="51" t="str">
        <x:v>source</x:v>
      </x:c>
      <x:c r="D141" s="51" t="str">
        <x:v>河源</x:v>
      </x:c>
      <x:c r="E141" s="51" t="str">
        <x:v>C11</x:v>
      </x:c>
      <x:c r="F141" s="51" t="str">
        <x:v>collection</x:v>
      </x:c>
      <x:c r="G141" s="51" t="str">
        <x:v>东莞虚拟回收/检测中心</x:v>
      </x:c>
      <x:c r="H141" s="52" t="n">
        <x:v>216.00434329045038</x:v>
      </x:c>
      <x:c r="I141" s="52" t="n">
        <x:v>235.32989999999998</x:v>
      </x:c>
      <x:c r="J141" s="52" t="n">
        <x:v>186.33333333333334</x:v>
      </x:c>
      <x:c r="K141" s="52" t="n">
        <x:f>IFERROR(I141/H141,"")</x:f>
        <x:v>1.089468370937169</x:v>
      </x:c>
      <x:c r="L141" s="52" t="n">
        <x:v>150</x:v>
      </x:c>
      <x:c r="M141" s="65" t="n">
        <x:f>IF(H141&lt;=L141,1,0)</x:f>
        <x:v>0</x:v>
      </x:c>
      <x:c r="N141" s="65" t="n">
        <x:f>IF(I141&lt;=L141,1,0)</x:f>
        <x:v>0</x:v>
      </x:c>
      <x:c r="O141" s="51" t="str">
        <x:f>IF(M141=N141,"不变",IF(N141=1,"由禁变允","由允变禁"))</x:f>
        <x:v>不变</x:v>
      </x:c>
      <x:c r="P141" s="51" t="str">
        <x:v>OSRM driving/car</x:v>
      </x:c>
      <x:c r="Q141" s="51" t="str">
        <x:v>2026-08-15</x:v>
      </x:c>
      <x:c r="R141" s="51" t="str">
        <x:v>C-开放路网计算；不是货车/危运合规路线</x:v>
      </x:c>
      <x:c r="S141" s="51" t="str">
        <x:v>https://routing.openstreetmap.de/routed-car/</x:v>
      </x:c>
    </x:row>
    <x:row r="142">
      <x:c r="A142" s="51" t="str">
        <x:v>A0138</x:v>
      </x:c>
      <x:c r="B142" s="51" t="str">
        <x:v>GD07</x:v>
      </x:c>
      <x:c r="C142" s="51" t="str">
        <x:v>source</x:v>
      </x:c>
      <x:c r="D142" s="51" t="str">
        <x:v>河源</x:v>
      </x:c>
      <x:c r="E142" s="51" t="str">
        <x:v>C12</x:v>
      </x:c>
      <x:c r="F142" s="51" t="str">
        <x:v>collection</x:v>
      </x:c>
      <x:c r="G142" s="51" t="str">
        <x:v>中山虚拟回收/检测中心</x:v>
      </x:c>
      <x:c r="H142" s="52" t="n">
        <x:v>294.02113032666034</x:v>
      </x:c>
      <x:c r="I142" s="52" t="n">
        <x:v>310.91790000000003</x:v>
      </x:c>
      <x:c r="J142" s="52" t="n">
        <x:v>243.46</x:v>
      </x:c>
      <x:c r="K142" s="52" t="n">
        <x:f>IFERROR(I142/H142,"")</x:f>
        <x:v>1.0574678753685738</x:v>
      </x:c>
      <x:c r="L142" s="52" t="n">
        <x:v>150</x:v>
      </x:c>
      <x:c r="M142" s="65" t="n">
        <x:f>IF(H142&lt;=L142,1,0)</x:f>
        <x:v>0</x:v>
      </x:c>
      <x:c r="N142" s="65" t="n">
        <x:f>IF(I142&lt;=L142,1,0)</x:f>
        <x:v>0</x:v>
      </x:c>
      <x:c r="O142" s="51" t="str">
        <x:f>IF(M142=N142,"不变",IF(N142=1,"由禁变允","由允变禁"))</x:f>
        <x:v>不变</x:v>
      </x:c>
      <x:c r="P142" s="51" t="str">
        <x:v>OSRM driving/car</x:v>
      </x:c>
      <x:c r="Q142" s="51" t="str">
        <x:v>2026-08-15</x:v>
      </x:c>
      <x:c r="R142" s="51" t="str">
        <x:v>C-开放路网计算；不是货车/危运合规路线</x:v>
      </x:c>
      <x:c r="S142" s="51" t="str">
        <x:v>https://routing.openstreetmap.de/routed-car/</x:v>
      </x:c>
    </x:row>
    <x:row r="143">
      <x:c r="A143" s="51" t="str">
        <x:v>A0139</x:v>
      </x:c>
      <x:c r="B143" s="51" t="str">
        <x:v>GD07</x:v>
      </x:c>
      <x:c r="C143" s="51" t="str">
        <x:v>source</x:v>
      </x:c>
      <x:c r="D143" s="51" t="str">
        <x:v>河源</x:v>
      </x:c>
      <x:c r="E143" s="51" t="str">
        <x:v>C13</x:v>
      </x:c>
      <x:c r="F143" s="51" t="str">
        <x:v>collection</x:v>
      </x:c>
      <x:c r="G143" s="51" t="str">
        <x:v>江门虚拟回收/检测中心</x:v>
      </x:c>
      <x:c r="H143" s="52" t="n">
        <x:v>316.3240228712952</x:v>
      </x:c>
      <x:c r="I143" s="52" t="n">
        <x:v>347.3153</x:v>
      </x:c>
      <x:c r="J143" s="52" t="n">
        <x:v>263.8983333333333</x:v>
      </x:c>
      <x:c r="K143" s="52" t="n">
        <x:f>IFERROR(I143/H143,"")</x:f>
        <x:v>1.0979732011732615</x:v>
      </x:c>
      <x:c r="L143" s="52" t="n">
        <x:v>150</x:v>
      </x:c>
      <x:c r="M143" s="65" t="n">
        <x:f>IF(H143&lt;=L143,1,0)</x:f>
        <x:v>0</x:v>
      </x:c>
      <x:c r="N143" s="65" t="n">
        <x:f>IF(I143&lt;=L143,1,0)</x:f>
        <x:v>0</x:v>
      </x:c>
      <x:c r="O143" s="51" t="str">
        <x:f>IF(M143=N143,"不变",IF(N143=1,"由禁变允","由允变禁"))</x:f>
        <x:v>不变</x:v>
      </x:c>
      <x:c r="P143" s="51" t="str">
        <x:v>OSRM driving/car</x:v>
      </x:c>
      <x:c r="Q143" s="51" t="str">
        <x:v>2026-08-15</x:v>
      </x:c>
      <x:c r="R143" s="51" t="str">
        <x:v>C-开放路网计算；不是货车/危运合规路线</x:v>
      </x:c>
      <x:c r="S143" s="51" t="str">
        <x:v>https://routing.openstreetmap.de/routed-car/</x:v>
      </x:c>
    </x:row>
    <x:row r="144">
      <x:c r="A144" s="51" t="str">
        <x:v>A0140</x:v>
      </x:c>
      <x:c r="B144" s="51" t="str">
        <x:v>GD07</x:v>
      </x:c>
      <x:c r="C144" s="51" t="str">
        <x:v>source</x:v>
      </x:c>
      <x:c r="D144" s="51" t="str">
        <x:v>河源</x:v>
      </x:c>
      <x:c r="E144" s="51" t="str">
        <x:v>C14</x:v>
      </x:c>
      <x:c r="F144" s="51" t="str">
        <x:v>collection</x:v>
      </x:c>
      <x:c r="G144" s="51" t="str">
        <x:v>阳江虚拟回收/检测中心</x:v>
      </x:c>
      <x:c r="H144" s="52" t="n">
        <x:v>482.83039770554365</x:v>
      </x:c>
      <x:c r="I144" s="52" t="n">
        <x:v>524.8118000000001</x:v>
      </x:c>
      <x:c r="J144" s="52" t="n">
        <x:v>374.09166666666664</x:v>
      </x:c>
      <x:c r="K144" s="52" t="n">
        <x:f>IFERROR(I144/H144,"")</x:f>
        <x:v>1.0869485485875705</x:v>
      </x:c>
      <x:c r="L144" s="52" t="n">
        <x:v>150</x:v>
      </x:c>
      <x:c r="M144" s="65" t="n">
        <x:f>IF(H144&lt;=L144,1,0)</x:f>
        <x:v>0</x:v>
      </x:c>
      <x:c r="N144" s="65" t="n">
        <x:f>IF(I144&lt;=L144,1,0)</x:f>
        <x:v>0</x:v>
      </x:c>
      <x:c r="O144" s="51" t="str">
        <x:f>IF(M144=N144,"不变",IF(N144=1,"由禁变允","由允变禁"))</x:f>
        <x:v>不变</x:v>
      </x:c>
      <x:c r="P144" s="51" t="str">
        <x:v>OSRM driving/car</x:v>
      </x:c>
      <x:c r="Q144" s="51" t="str">
        <x:v>2026-08-15</x:v>
      </x:c>
      <x:c r="R144" s="51" t="str">
        <x:v>C-开放路网计算；不是货车/危运合规路线</x:v>
      </x:c>
      <x:c r="S144" s="51" t="str">
        <x:v>https://routing.openstreetmap.de/routed-car/</x:v>
      </x:c>
    </x:row>
    <x:row r="145">
      <x:c r="A145" s="51" t="str">
        <x:v>A0141</x:v>
      </x:c>
      <x:c r="B145" s="51" t="str">
        <x:v>GD07</x:v>
      </x:c>
      <x:c r="C145" s="51" t="str">
        <x:v>source</x:v>
      </x:c>
      <x:c r="D145" s="51" t="str">
        <x:v>河源</x:v>
      </x:c>
      <x:c r="E145" s="51" t="str">
        <x:v>C15</x:v>
      </x:c>
      <x:c r="F145" s="51" t="str">
        <x:v>collection</x:v>
      </x:c>
      <x:c r="G145" s="51" t="str">
        <x:v>湛江虚拟回收/检测中心</x:v>
      </x:c>
      <x:c r="H145" s="52" t="n">
        <x:v>690.9757745542857</x:v>
      </x:c>
      <x:c r="I145" s="52" t="n">
        <x:v>689.2031999999999</x:v>
      </x:c>
      <x:c r="J145" s="52" t="n">
        <x:v>483.77333333333337</x:v>
      </x:c>
      <x:c r="K145" s="52" t="n">
        <x:f>IFERROR(I145/H145,"")</x:f>
        <x:v>0.9974346791601642</x:v>
      </x:c>
      <x:c r="L145" s="52" t="n">
        <x:v>150</x:v>
      </x:c>
      <x:c r="M145" s="65" t="n">
        <x:f>IF(H145&lt;=L145,1,0)</x:f>
        <x:v>0</x:v>
      </x:c>
      <x:c r="N145" s="65" t="n">
        <x:f>IF(I145&lt;=L145,1,0)</x:f>
        <x:v>0</x:v>
      </x:c>
      <x:c r="O145" s="51" t="str">
        <x:f>IF(M145=N145,"不变",IF(N145=1,"由禁变允","由允变禁"))</x:f>
        <x:v>不变</x:v>
      </x:c>
      <x:c r="P145" s="51" t="str">
        <x:v>OSRM driving/car</x:v>
      </x:c>
      <x:c r="Q145" s="51" t="str">
        <x:v>2026-08-15</x:v>
      </x:c>
      <x:c r="R145" s="51" t="str">
        <x:v>C-开放路网计算；不是货车/危运合规路线</x:v>
      </x:c>
      <x:c r="S145" s="51" t="str">
        <x:v>https://routing.openstreetmap.de/routed-car/</x:v>
      </x:c>
    </x:row>
    <x:row r="146">
      <x:c r="A146" s="51" t="str">
        <x:v>A0142</x:v>
      </x:c>
      <x:c r="B146" s="51" t="str">
        <x:v>GD07</x:v>
      </x:c>
      <x:c r="C146" s="51" t="str">
        <x:v>source</x:v>
      </x:c>
      <x:c r="D146" s="51" t="str">
        <x:v>河源</x:v>
      </x:c>
      <x:c r="E146" s="51" t="str">
        <x:v>C16</x:v>
      </x:c>
      <x:c r="F146" s="51" t="str">
        <x:v>collection</x:v>
      </x:c>
      <x:c r="G146" s="51" t="str">
        <x:v>茂名虚拟回收/检测中心</x:v>
      </x:c>
      <x:c r="H146" s="52" t="n">
        <x:v>603.471574151374</x:v>
      </x:c>
      <x:c r="I146" s="52" t="n">
        <x:v>608.4538</x:v>
      </x:c>
      <x:c r="J146" s="52" t="n">
        <x:v>432.68833333333333</x:v>
      </x:c>
      <x:c r="K146" s="52" t="n">
        <x:f>IFERROR(I146/H146,"")</x:f>
        <x:v>1.0082559412274426</x:v>
      </x:c>
      <x:c r="L146" s="52" t="n">
        <x:v>150</x:v>
      </x:c>
      <x:c r="M146" s="65" t="n">
        <x:f>IF(H146&lt;=L146,1,0)</x:f>
        <x:v>0</x:v>
      </x:c>
      <x:c r="N146" s="65" t="n">
        <x:f>IF(I146&lt;=L146,1,0)</x:f>
        <x:v>0</x:v>
      </x:c>
      <x:c r="O146" s="51" t="str">
        <x:f>IF(M146=N146,"不变",IF(N146=1,"由禁变允","由允变禁"))</x:f>
        <x:v>不变</x:v>
      </x:c>
      <x:c r="P146" s="51" t="str">
        <x:v>OSRM driving/car</x:v>
      </x:c>
      <x:c r="Q146" s="51" t="str">
        <x:v>2026-08-15</x:v>
      </x:c>
      <x:c r="R146" s="51" t="str">
        <x:v>C-开放路网计算；不是货车/危运合规路线</x:v>
      </x:c>
      <x:c r="S146" s="51" t="str">
        <x:v>https://routing.openstreetmap.de/routed-car/</x:v>
      </x:c>
    </x:row>
    <x:row r="147">
      <x:c r="A147" s="51" t="str">
        <x:v>A0143</x:v>
      </x:c>
      <x:c r="B147" s="51" t="str">
        <x:v>GD07</x:v>
      </x:c>
      <x:c r="C147" s="51" t="str">
        <x:v>source</x:v>
      </x:c>
      <x:c r="D147" s="51" t="str">
        <x:v>河源</x:v>
      </x:c>
      <x:c r="E147" s="51" t="str">
        <x:v>C17</x:v>
      </x:c>
      <x:c r="F147" s="51" t="str">
        <x:v>collection</x:v>
      </x:c>
      <x:c r="G147" s="51" t="str">
        <x:v>肇庆虚拟回收/检测中心</x:v>
      </x:c>
      <x:c r="H147" s="52" t="n">
        <x:v>347.2375461741987</x:v>
      </x:c>
      <x:c r="I147" s="52" t="n">
        <x:v>369.1929</x:v>
      </x:c>
      <x:c r="J147" s="52" t="n">
        <x:v>280.8616666666667</x:v>
      </x:c>
      <x:c r="K147" s="52" t="n">
        <x:f>IFERROR(I147/H147,"")</x:f>
        <x:v>1.0632286285504016</x:v>
      </x:c>
      <x:c r="L147" s="52" t="n">
        <x:v>150</x:v>
      </x:c>
      <x:c r="M147" s="65" t="n">
        <x:f>IF(H147&lt;=L147,1,0)</x:f>
        <x:v>0</x:v>
      </x:c>
      <x:c r="N147" s="65" t="n">
        <x:f>IF(I147&lt;=L147,1,0)</x:f>
        <x:v>0</x:v>
      </x:c>
      <x:c r="O147" s="51" t="str">
        <x:f>IF(M147=N147,"不变",IF(N147=1,"由禁变允","由允变禁"))</x:f>
        <x:v>不变</x:v>
      </x:c>
      <x:c r="P147" s="51" t="str">
        <x:v>OSRM driving/car</x:v>
      </x:c>
      <x:c r="Q147" s="51" t="str">
        <x:v>2026-08-15</x:v>
      </x:c>
      <x:c r="R147" s="51" t="str">
        <x:v>C-开放路网计算；不是货车/危运合规路线</x:v>
      </x:c>
      <x:c r="S147" s="51" t="str">
        <x:v>https://routing.openstreetmap.de/routed-car/</x:v>
      </x:c>
    </x:row>
    <x:row r="148">
      <x:c r="A148" s="51" t="str">
        <x:v>A0144</x:v>
      </x:c>
      <x:c r="B148" s="51" t="str">
        <x:v>GD07</x:v>
      </x:c>
      <x:c r="C148" s="51" t="str">
        <x:v>source</x:v>
      </x:c>
      <x:c r="D148" s="51" t="str">
        <x:v>河源</x:v>
      </x:c>
      <x:c r="E148" s="51" t="str">
        <x:v>C18</x:v>
      </x:c>
      <x:c r="F148" s="51" t="str">
        <x:v>collection</x:v>
      </x:c>
      <x:c r="G148" s="51" t="str">
        <x:v>清远虚拟回收/检测中心</x:v>
      </x:c>
      <x:c r="H148" s="52" t="n">
        <x:v>251.14636384742758</x:v>
      </x:c>
      <x:c r="I148" s="52" t="n">
        <x:v>286.3671</x:v>
      </x:c>
      <x:c r="J148" s="52" t="n">
        <x:v>228.09333333333333</x:v>
      </x:c>
      <x:c r="K148" s="52" t="n">
        <x:f>IFERROR(I148/H148,"")</x:f>
        <x:v>1.1402398808925984</x:v>
      </x:c>
      <x:c r="L148" s="52" t="n">
        <x:v>150</x:v>
      </x:c>
      <x:c r="M148" s="65" t="n">
        <x:f>IF(H148&lt;=L148,1,0)</x:f>
        <x:v>0</x:v>
      </x:c>
      <x:c r="N148" s="65" t="n">
        <x:f>IF(I148&lt;=L148,1,0)</x:f>
        <x:v>0</x:v>
      </x:c>
      <x:c r="O148" s="51" t="str">
        <x:f>IF(M148=N148,"不变",IF(N148=1,"由禁变允","由允变禁"))</x:f>
        <x:v>不变</x:v>
      </x:c>
      <x:c r="P148" s="51" t="str">
        <x:v>OSRM driving/car</x:v>
      </x:c>
      <x:c r="Q148" s="51" t="str">
        <x:v>2026-08-15</x:v>
      </x:c>
      <x:c r="R148" s="51" t="str">
        <x:v>C-开放路网计算；不是货车/危运合规路线</x:v>
      </x:c>
      <x:c r="S148" s="51" t="str">
        <x:v>https://routing.openstreetmap.de/routed-car/</x:v>
      </x:c>
    </x:row>
    <x:row r="149">
      <x:c r="A149" s="51" t="str">
        <x:v>A0145</x:v>
      </x:c>
      <x:c r="B149" s="51" t="str">
        <x:v>GD07</x:v>
      </x:c>
      <x:c r="C149" s="51" t="str">
        <x:v>source</x:v>
      </x:c>
      <x:c r="D149" s="51" t="str">
        <x:v>河源</x:v>
      </x:c>
      <x:c r="E149" s="51" t="str">
        <x:v>C19</x:v>
      </x:c>
      <x:c r="F149" s="51" t="str">
        <x:v>collection</x:v>
      </x:c>
      <x:c r="G149" s="51" t="str">
        <x:v>潮州虚拟回收/检测中心</x:v>
      </x:c>
      <x:c r="H149" s="52" t="n">
        <x:v>199.69048363956173</x:v>
      </x:c>
      <x:c r="I149" s="52" t="n">
        <x:v>217.6874</x:v>
      </x:c>
      <x:c r="J149" s="52" t="n">
        <x:v>169.95499999999998</x:v>
      </x:c>
      <x:c r="K149" s="52" t="n">
        <x:f>IFERROR(I149/H149,"")</x:f>
        <x:v>1.090124056151431</x:v>
      </x:c>
      <x:c r="L149" s="52" t="n">
        <x:v>150</x:v>
      </x:c>
      <x:c r="M149" s="65" t="n">
        <x:f>IF(H149&lt;=L149,1,0)</x:f>
        <x:v>0</x:v>
      </x:c>
      <x:c r="N149" s="65" t="n">
        <x:f>IF(I149&lt;=L149,1,0)</x:f>
        <x:v>0</x:v>
      </x:c>
      <x:c r="O149" s="51" t="str">
        <x:f>IF(M149=N149,"不变",IF(N149=1,"由禁变允","由允变禁"))</x:f>
        <x:v>不变</x:v>
      </x:c>
      <x:c r="P149" s="51" t="str">
        <x:v>OSRM driving/car</x:v>
      </x:c>
      <x:c r="Q149" s="51" t="str">
        <x:v>2026-08-15</x:v>
      </x:c>
      <x:c r="R149" s="51" t="str">
        <x:v>C-开放路网计算；不是货车/危运合规路线</x:v>
      </x:c>
      <x:c r="S149" s="51" t="str">
        <x:v>https://routing.openstreetmap.de/routed-car/</x:v>
      </x:c>
    </x:row>
    <x:row r="150">
      <x:c r="A150" s="51" t="str">
        <x:v>A0146</x:v>
      </x:c>
      <x:c r="B150" s="51" t="str">
        <x:v>GD07</x:v>
      </x:c>
      <x:c r="C150" s="51" t="str">
        <x:v>source</x:v>
      </x:c>
      <x:c r="D150" s="51" t="str">
        <x:v>河源</x:v>
      </x:c>
      <x:c r="E150" s="51" t="str">
        <x:v>C20</x:v>
      </x:c>
      <x:c r="F150" s="51" t="str">
        <x:v>collection</x:v>
      </x:c>
      <x:c r="G150" s="51" t="str">
        <x:v>揭阳虚拟回收/检测中心</x:v>
      </x:c>
      <x:c r="H150" s="52" t="n">
        <x:v>175.87360917758068</x:v>
      </x:c>
      <x:c r="I150" s="52" t="n">
        <x:v>193.6515</x:v>
      </x:c>
      <x:c r="J150" s="52" t="n">
        <x:v>155.04166666666666</x:v>
      </x:c>
      <x:c r="K150" s="52" t="n">
        <x:f>IFERROR(I150/H150,"")</x:f>
        <x:v>1.1010833342509556</x:v>
      </x:c>
      <x:c r="L150" s="52" t="n">
        <x:v>150</x:v>
      </x:c>
      <x:c r="M150" s="65" t="n">
        <x:f>IF(H150&lt;=L150,1,0)</x:f>
        <x:v>0</x:v>
      </x:c>
      <x:c r="N150" s="65" t="n">
        <x:f>IF(I150&lt;=L150,1,0)</x:f>
        <x:v>0</x:v>
      </x:c>
      <x:c r="O150" s="51" t="str">
        <x:f>IF(M150=N150,"不变",IF(N150=1,"由禁变允","由允变禁"))</x:f>
        <x:v>不变</x:v>
      </x:c>
      <x:c r="P150" s="51" t="str">
        <x:v>OSRM driving/car</x:v>
      </x:c>
      <x:c r="Q150" s="51" t="str">
        <x:v>2026-08-15</x:v>
      </x:c>
      <x:c r="R150" s="51" t="str">
        <x:v>C-开放路网计算；不是货车/危运合规路线</x:v>
      </x:c>
      <x:c r="S150" s="51" t="str">
        <x:v>https://routing.openstreetmap.de/routed-car/</x:v>
      </x:c>
    </x:row>
    <x:row r="151">
      <x:c r="A151" s="51" t="str">
        <x:v>A0147</x:v>
      </x:c>
      <x:c r="B151" s="51" t="str">
        <x:v>GD07</x:v>
      </x:c>
      <x:c r="C151" s="51" t="str">
        <x:v>source</x:v>
      </x:c>
      <x:c r="D151" s="51" t="str">
        <x:v>河源</x:v>
      </x:c>
      <x:c r="E151" s="51" t="str">
        <x:v>C21</x:v>
      </x:c>
      <x:c r="F151" s="51" t="str">
        <x:v>collection</x:v>
      </x:c>
      <x:c r="G151" s="51" t="str">
        <x:v>云浮虚拟回收/检测中心</x:v>
      </x:c>
      <x:c r="H151" s="52" t="n">
        <x:v>431.1184555708482</x:v>
      </x:c>
      <x:c r="I151" s="52" t="n">
        <x:v>456.0642</x:v>
      </x:c>
      <x:c r="J151" s="52" t="n">
        <x:v>335.0383333333333</x:v>
      </x:c>
      <x:c r="K151" s="52" t="n">
        <x:f>IFERROR(I151/H151,"")</x:f>
        <x:v>1.0578628544123005</x:v>
      </x:c>
      <x:c r="L151" s="52" t="n">
        <x:v>150</x:v>
      </x:c>
      <x:c r="M151" s="65" t="n">
        <x:f>IF(H151&lt;=L151,1,0)</x:f>
        <x:v>0</x:v>
      </x:c>
      <x:c r="N151" s="65" t="n">
        <x:f>IF(I151&lt;=L151,1,0)</x:f>
        <x:v>0</x:v>
      </x:c>
      <x:c r="O151" s="51" t="str">
        <x:f>IF(M151=N151,"不变",IF(N151=1,"由禁变允","由允变禁"))</x:f>
        <x:v>不变</x:v>
      </x:c>
      <x:c r="P151" s="51" t="str">
        <x:v>OSRM driving/car</x:v>
      </x:c>
      <x:c r="Q151" s="51" t="str">
        <x:v>2026-08-15</x:v>
      </x:c>
      <x:c r="R151" s="51" t="str">
        <x:v>C-开放路网计算；不是货车/危运合规路线</x:v>
      </x:c>
      <x:c r="S151" s="51" t="str">
        <x:v>https://routing.openstreetmap.de/routed-car/</x:v>
      </x:c>
    </x:row>
    <x:row r="152">
      <x:c r="A152" s="51" t="str">
        <x:v>A0148</x:v>
      </x:c>
      <x:c r="B152" s="51" t="str">
        <x:v>GD08</x:v>
      </x:c>
      <x:c r="C152" s="51" t="str">
        <x:v>source</x:v>
      </x:c>
      <x:c r="D152" s="51" t="str">
        <x:v>梅州</x:v>
      </x:c>
      <x:c r="E152" s="51" t="str">
        <x:v>C01</x:v>
      </x:c>
      <x:c r="F152" s="51" t="str">
        <x:v>collection</x:v>
      </x:c>
      <x:c r="G152" s="51" t="str">
        <x:v>广州虚拟回收/检测中心</x:v>
      </x:c>
      <x:c r="H152" s="52" t="n">
        <x:v>382.1027064948506</x:v>
      </x:c>
      <x:c r="I152" s="52" t="n">
        <x:v>381.7613</x:v>
      </x:c>
      <x:c r="J152" s="52" t="n">
        <x:v>266.09333333333336</x:v>
      </x:c>
      <x:c r="K152" s="52" t="n">
        <x:f>IFERROR(I152/H152,"")</x:f>
        <x:v>0.9991065059497158</x:v>
      </x:c>
      <x:c r="L152" s="52" t="n">
        <x:v>150</x:v>
      </x:c>
      <x:c r="M152" s="65" t="n">
        <x:f>IF(H152&lt;=L152,1,0)</x:f>
        <x:v>0</x:v>
      </x:c>
      <x:c r="N152" s="65" t="n">
        <x:f>IF(I152&lt;=L152,1,0)</x:f>
        <x:v>0</x:v>
      </x:c>
      <x:c r="O152" s="51" t="str">
        <x:f>IF(M152=N152,"不变",IF(N152=1,"由禁变允","由允变禁"))</x:f>
        <x:v>不变</x:v>
      </x:c>
      <x:c r="P152" s="51" t="str">
        <x:v>OSRM driving/car</x:v>
      </x:c>
      <x:c r="Q152" s="51" t="str">
        <x:v>2026-08-15</x:v>
      </x:c>
      <x:c r="R152" s="51" t="str">
        <x:v>C-开放路网计算；不是货车/危运合规路线</x:v>
      </x:c>
      <x:c r="S152" s="51" t="str">
        <x:v>https://routing.openstreetmap.de/routed-car/</x:v>
      </x:c>
    </x:row>
    <x:row r="153">
      <x:c r="A153" s="51" t="str">
        <x:v>A0149</x:v>
      </x:c>
      <x:c r="B153" s="51" t="str">
        <x:v>GD08</x:v>
      </x:c>
      <x:c r="C153" s="51" t="str">
        <x:v>source</x:v>
      </x:c>
      <x:c r="D153" s="51" t="str">
        <x:v>梅州</x:v>
      </x:c>
      <x:c r="E153" s="51" t="str">
        <x:v>C02</x:v>
      </x:c>
      <x:c r="F153" s="51" t="str">
        <x:v>collection</x:v>
      </x:c>
      <x:c r="G153" s="51" t="str">
        <x:v>深圳虚拟回收/检测中心</x:v>
      </x:c>
      <x:c r="H153" s="52" t="n">
        <x:v>343.699494537765</x:v>
      </x:c>
      <x:c r="I153" s="52" t="n">
        <x:v>343.7588</x:v>
      </x:c>
      <x:c r="J153" s="52" t="n">
        <x:v>249.52833333333334</x:v>
      </x:c>
      <x:c r="K153" s="52" t="n">
        <x:f>IFERROR(I153/H153,"")</x:f>
        <x:v>1.0001725503330017</x:v>
      </x:c>
      <x:c r="L153" s="52" t="n">
        <x:v>150</x:v>
      </x:c>
      <x:c r="M153" s="65" t="n">
        <x:f>IF(H153&lt;=L153,1,0)</x:f>
        <x:v>0</x:v>
      </x:c>
      <x:c r="N153" s="65" t="n">
        <x:f>IF(I153&lt;=L153,1,0)</x:f>
        <x:v>0</x:v>
      </x:c>
      <x:c r="O153" s="51" t="str">
        <x:f>IF(M153=N153,"不变",IF(N153=1,"由禁变允","由允变禁"))</x:f>
        <x:v>不变</x:v>
      </x:c>
      <x:c r="P153" s="51" t="str">
        <x:v>OSRM driving/car</x:v>
      </x:c>
      <x:c r="Q153" s="51" t="str">
        <x:v>2026-08-15</x:v>
      </x:c>
      <x:c r="R153" s="51" t="str">
        <x:v>C-开放路网计算；不是货车/危运合规路线</x:v>
      </x:c>
      <x:c r="S153" s="51" t="str">
        <x:v>https://routing.openstreetmap.de/routed-car/</x:v>
      </x:c>
    </x:row>
    <x:row r="154">
      <x:c r="A154" s="51" t="str">
        <x:v>A0150</x:v>
      </x:c>
      <x:c r="B154" s="51" t="str">
        <x:v>GD08</x:v>
      </x:c>
      <x:c r="C154" s="51" t="str">
        <x:v>source</x:v>
      </x:c>
      <x:c r="D154" s="51" t="str">
        <x:v>梅州</x:v>
      </x:c>
      <x:c r="E154" s="51" t="str">
        <x:v>C03</x:v>
      </x:c>
      <x:c r="F154" s="51" t="str">
        <x:v>collection</x:v>
      </x:c>
      <x:c r="G154" s="51" t="str">
        <x:v>珠海虚拟回收/检测中心</x:v>
      </x:c>
      <x:c r="H154" s="52" t="n">
        <x:v>412.0677892611643</x:v>
      </x:c>
      <x:c r="I154" s="52" t="n">
        <x:v>452.3677</x:v>
      </x:c>
      <x:c r="J154" s="52" t="n">
        <x:v>321.2866666666667</x:v>
      </x:c>
      <x:c r="K154" s="52" t="n">
        <x:f>IFERROR(I154/H154,"")</x:f>
        <x:v>1.0977992257319924</x:v>
      </x:c>
      <x:c r="L154" s="52" t="n">
        <x:v>150</x:v>
      </x:c>
      <x:c r="M154" s="65" t="n">
        <x:f>IF(H154&lt;=L154,1,0)</x:f>
        <x:v>0</x:v>
      </x:c>
      <x:c r="N154" s="65" t="n">
        <x:f>IF(I154&lt;=L154,1,0)</x:f>
        <x:v>0</x:v>
      </x:c>
      <x:c r="O154" s="51" t="str">
        <x:f>IF(M154=N154,"不变",IF(N154=1,"由禁变允","由允变禁"))</x:f>
        <x:v>不变</x:v>
      </x:c>
      <x:c r="P154" s="51" t="str">
        <x:v>OSRM driving/car</x:v>
      </x:c>
      <x:c r="Q154" s="51" t="str">
        <x:v>2026-08-15</x:v>
      </x:c>
      <x:c r="R154" s="51" t="str">
        <x:v>C-开放路网计算；不是货车/危运合规路线</x:v>
      </x:c>
      <x:c r="S154" s="51" t="str">
        <x:v>https://routing.openstreetmap.de/routed-car/</x:v>
      </x:c>
    </x:row>
    <x:row r="155">
      <x:c r="A155" s="51" t="str">
        <x:v>A0151</x:v>
      </x:c>
      <x:c r="B155" s="51" t="str">
        <x:v>GD08</x:v>
      </x:c>
      <x:c r="C155" s="51" t="str">
        <x:v>source</x:v>
      </x:c>
      <x:c r="D155" s="51" t="str">
        <x:v>梅州</x:v>
      </x:c>
      <x:c r="E155" s="51" t="str">
        <x:v>C04</x:v>
      </x:c>
      <x:c r="F155" s="51" t="str">
        <x:v>collection</x:v>
      </x:c>
      <x:c r="G155" s="51" t="str">
        <x:v>汕头虚拟回收/检测中心</x:v>
      </x:c>
      <x:c r="H155" s="52" t="n">
        <x:v>142.3374058165527</x:v>
      </x:c>
      <x:c r="I155" s="52" t="n">
        <x:v>155.01139999999998</x:v>
      </x:c>
      <x:c r="J155" s="52" t="n">
        <x:v>114.345</x:v>
      </x:c>
      <x:c r="K155" s="52" t="n">
        <x:f>IFERROR(I155/H155,"")</x:f>
        <x:v>1.0890419079281366</x:v>
      </x:c>
      <x:c r="L155" s="52" t="n">
        <x:v>150</x:v>
      </x:c>
      <x:c r="M155" s="65" t="n">
        <x:f>IF(H155&lt;=L155,1,0)</x:f>
        <x:v>1</x:v>
      </x:c>
      <x:c r="N155" s="65" t="n">
        <x:f>IF(I155&lt;=L155,1,0)</x:f>
        <x:v>0</x:v>
      </x:c>
      <x:c r="O155" s="51" t="str">
        <x:f>IF(M155=N155,"不变",IF(N155=1,"由禁变允","由允变禁"))</x:f>
        <x:v>由允变禁</x:v>
      </x:c>
      <x:c r="P155" s="51" t="str">
        <x:v>OSRM driving/car</x:v>
      </x:c>
      <x:c r="Q155" s="51" t="str">
        <x:v>2026-08-15</x:v>
      </x:c>
      <x:c r="R155" s="51" t="str">
        <x:v>C-开放路网计算；不是货车/危运合规路线</x:v>
      </x:c>
      <x:c r="S155" s="51" t="str">
        <x:v>https://routing.openstreetmap.de/routed-car/</x:v>
      </x:c>
    </x:row>
    <x:row r="156">
      <x:c r="A156" s="51" t="str">
        <x:v>A0152</x:v>
      </x:c>
      <x:c r="B156" s="51" t="str">
        <x:v>GD08</x:v>
      </x:c>
      <x:c r="C156" s="51" t="str">
        <x:v>source</x:v>
      </x:c>
      <x:c r="D156" s="51" t="str">
        <x:v>梅州</x:v>
      </x:c>
      <x:c r="E156" s="51" t="str">
        <x:v>C05</x:v>
      </x:c>
      <x:c r="F156" s="51" t="str">
        <x:v>collection</x:v>
      </x:c>
      <x:c r="G156" s="51" t="str">
        <x:v>佛山虚拟回收/检测中心</x:v>
      </x:c>
      <x:c r="H156" s="52" t="n">
        <x:v>403.9212901773776</x:v>
      </x:c>
      <x:c r="I156" s="52" t="n">
        <x:v>398.9045</x:v>
      </x:c>
      <x:c r="J156" s="52" t="n">
        <x:v>286.905</x:v>
      </x:c>
      <x:c r="K156" s="52" t="n">
        <x:f>IFERROR(I156/H156,"")</x:f>
        <x:v>0.98757978274635</x:v>
      </x:c>
      <x:c r="L156" s="52" t="n">
        <x:v>150</x:v>
      </x:c>
      <x:c r="M156" s="65" t="n">
        <x:f>IF(H156&lt;=L156,1,0)</x:f>
        <x:v>0</x:v>
      </x:c>
      <x:c r="N156" s="65" t="n">
        <x:f>IF(I156&lt;=L156,1,0)</x:f>
        <x:v>0</x:v>
      </x:c>
      <x:c r="O156" s="51" t="str">
        <x:f>IF(M156=N156,"不变",IF(N156=1,"由禁变允","由允变禁"))</x:f>
        <x:v>不变</x:v>
      </x:c>
      <x:c r="P156" s="51" t="str">
        <x:v>OSRM driving/car</x:v>
      </x:c>
      <x:c r="Q156" s="51" t="str">
        <x:v>2026-08-15</x:v>
      </x:c>
      <x:c r="R156" s="51" t="str">
        <x:v>C-开放路网计算；不是货车/危运合规路线</x:v>
      </x:c>
      <x:c r="S156" s="51" t="str">
        <x:v>https://routing.openstreetmap.de/routed-car/</x:v>
      </x:c>
    </x:row>
    <x:row r="157">
      <x:c r="A157" s="51" t="str">
        <x:v>A0153</x:v>
      </x:c>
      <x:c r="B157" s="51" t="str">
        <x:v>GD08</x:v>
      </x:c>
      <x:c r="C157" s="51" t="str">
        <x:v>source</x:v>
      </x:c>
      <x:c r="D157" s="51" t="str">
        <x:v>梅州</x:v>
      </x:c>
      <x:c r="E157" s="51" t="str">
        <x:v>C06</x:v>
      </x:c>
      <x:c r="F157" s="51" t="str">
        <x:v>collection</x:v>
      </x:c>
      <x:c r="G157" s="51" t="str">
        <x:v>韶关虚拟回收/检测中心</x:v>
      </x:c>
      <x:c r="H157" s="52" t="n">
        <x:v>288.4343025608088</x:v>
      </x:c>
      <x:c r="I157" s="52" t="n">
        <x:v>337.0402</x:v>
      </x:c>
      <x:c r="J157" s="52" t="n">
        <x:v>256.1433333333333</x:v>
      </x:c>
      <x:c r="K157" s="52" t="n">
        <x:f>IFERROR(I157/H157,"")</x:f>
        <x:v>1.1685163553975828</x:v>
      </x:c>
      <x:c r="L157" s="52" t="n">
        <x:v>150</x:v>
      </x:c>
      <x:c r="M157" s="65" t="n">
        <x:f>IF(H157&lt;=L157,1,0)</x:f>
        <x:v>0</x:v>
      </x:c>
      <x:c r="N157" s="65" t="n">
        <x:f>IF(I157&lt;=L157,1,0)</x:f>
        <x:v>0</x:v>
      </x:c>
      <x:c r="O157" s="51" t="str">
        <x:f>IF(M157=N157,"不变",IF(N157=1,"由禁变允","由允变禁"))</x:f>
        <x:v>不变</x:v>
      </x:c>
      <x:c r="P157" s="51" t="str">
        <x:v>OSRM driving/car</x:v>
      </x:c>
      <x:c r="Q157" s="51" t="str">
        <x:v>2026-08-15</x:v>
      </x:c>
      <x:c r="R157" s="51" t="str">
        <x:v>C-开放路网计算；不是货车/危运合规路线</x:v>
      </x:c>
      <x:c r="S157" s="51" t="str">
        <x:v>https://routing.openstreetmap.de/routed-car/</x:v>
      </x:c>
    </x:row>
    <x:row r="158">
      <x:c r="A158" s="51" t="str">
        <x:v>A0154</x:v>
      </x:c>
      <x:c r="B158" s="51" t="str">
        <x:v>GD08</x:v>
      </x:c>
      <x:c r="C158" s="51" t="str">
        <x:v>source</x:v>
      </x:c>
      <x:c r="D158" s="51" t="str">
        <x:v>梅州</x:v>
      </x:c>
      <x:c r="E158" s="51" t="str">
        <x:v>C07</x:v>
      </x:c>
      <x:c r="F158" s="51" t="str">
        <x:v>collection</x:v>
      </x:c>
      <x:c r="G158" s="51" t="str">
        <x:v>河源虚拟回收/检测中心</x:v>
      </x:c>
      <x:c r="H158" s="52" t="n">
        <x:v>131.41703557689866</x:v>
      </x:c>
      <x:c r="I158" s="52" t="n">
        <x:v>138.4445</x:v>
      </x:c>
      <x:c r="J158" s="52" t="n">
        <x:v>119.44833333333332</x:v>
      </x:c>
      <x:c r="K158" s="52" t="n">
        <x:f>IFERROR(I158/H158,"")</x:f>
        <x:v>1.0534745316103955</x:v>
      </x:c>
      <x:c r="L158" s="52" t="n">
        <x:v>150</x:v>
      </x:c>
      <x:c r="M158" s="65" t="n">
        <x:f>IF(H158&lt;=L158,1,0)</x:f>
        <x:v>1</x:v>
      </x:c>
      <x:c r="N158" s="65" t="n">
        <x:f>IF(I158&lt;=L158,1,0)</x:f>
        <x:v>1</x:v>
      </x:c>
      <x:c r="O158" s="51" t="str">
        <x:f>IF(M158=N158,"不变",IF(N158=1,"由禁变允","由允变禁"))</x:f>
        <x:v>不变</x:v>
      </x:c>
      <x:c r="P158" s="51" t="str">
        <x:v>OSRM driving/car</x:v>
      </x:c>
      <x:c r="Q158" s="51" t="str">
        <x:v>2026-08-15</x:v>
      </x:c>
      <x:c r="R158" s="51" t="str">
        <x:v>C-开放路网计算；不是货车/危运合规路线</x:v>
      </x:c>
      <x:c r="S158" s="51" t="str">
        <x:v>https://routing.openstreetmap.de/routed-car/</x:v>
      </x:c>
    </x:row>
    <x:row r="159">
      <x:c r="A159" s="51" t="str">
        <x:v>A0155</x:v>
      </x:c>
      <x:c r="B159" s="51" t="str">
        <x:v>GD08</x:v>
      </x:c>
      <x:c r="C159" s="51" t="str">
        <x:v>source</x:v>
      </x:c>
      <x:c r="D159" s="51" t="str">
        <x:v>梅州</x:v>
      </x:c>
      <x:c r="E159" s="51" t="str">
        <x:v>C08</x:v>
      </x:c>
      <x:c r="F159" s="51" t="str">
        <x:v>collection</x:v>
      </x:c>
      <x:c r="G159" s="51" t="str">
        <x:v>梅州虚拟回收/检测中心</x:v>
      </x:c>
      <x:c r="H159" s="52" t="n">
        <x:v>0</x:v>
      </x:c>
      <x:c r="I159" s="52" t="n">
        <x:v>0</x:v>
      </x:c>
      <x:c r="J159" s="52" t="n">
        <x:v>0</x:v>
      </x:c>
      <x:c r="K159" s="52" t="str">
        <x:f>IFERROR(I159/H159,"")</x:f>
      </x:c>
      <x:c r="L159" s="52" t="n">
        <x:v>150</x:v>
      </x:c>
      <x:c r="M159" s="65" t="n">
        <x:f>IF(H159&lt;=L159,1,0)</x:f>
        <x:v>1</x:v>
      </x:c>
      <x:c r="N159" s="65" t="n">
        <x:f>IF(I159&lt;=L159,1,0)</x:f>
        <x:v>1</x:v>
      </x:c>
      <x:c r="O159" s="51" t="str">
        <x:f>IF(M159=N159,"不变",IF(N159=1,"由禁变允","由允变禁"))</x:f>
        <x:v>不变</x:v>
      </x:c>
      <x:c r="P159" s="51" t="str">
        <x:v>OSRM driving/car</x:v>
      </x:c>
      <x:c r="Q159" s="51" t="str">
        <x:v>2026-08-15</x:v>
      </x:c>
      <x:c r="R159" s="51" t="str">
        <x:v>C-开放路网计算；不是货车/危运合规路线</x:v>
      </x:c>
      <x:c r="S159" s="51" t="str">
        <x:v>https://routing.openstreetmap.de/routed-car/</x:v>
      </x:c>
    </x:row>
    <x:row r="160">
      <x:c r="A160" s="51" t="str">
        <x:v>A0156</x:v>
      </x:c>
      <x:c r="B160" s="51" t="str">
        <x:v>GD08</x:v>
      </x:c>
      <x:c r="C160" s="51" t="str">
        <x:v>source</x:v>
      </x:c>
      <x:c r="D160" s="51" t="str">
        <x:v>梅州</x:v>
      </x:c>
      <x:c r="E160" s="51" t="str">
        <x:v>C09</x:v>
      </x:c>
      <x:c r="F160" s="51" t="str">
        <x:v>collection</x:v>
      </x:c>
      <x:c r="G160" s="51" t="str">
        <x:v>惠州虚拟回收/检测中心</x:v>
      </x:c>
      <x:c r="H160" s="52" t="n">
        <x:v>261.0101487251689</x:v>
      </x:c>
      <x:c r="I160" s="52" t="n">
        <x:v>270.5127</x:v>
      </x:c>
      <x:c r="J160" s="52" t="n">
        <x:v>189.45166666666668</x:v>
      </x:c>
      <x:c r="K160" s="52" t="n">
        <x:f>IFERROR(I160/H160,"")</x:f>
        <x:v>1.0364068267890871</x:v>
      </x:c>
      <x:c r="L160" s="52" t="n">
        <x:v>150</x:v>
      </x:c>
      <x:c r="M160" s="65" t="n">
        <x:f>IF(H160&lt;=L160,1,0)</x:f>
        <x:v>0</x:v>
      </x:c>
      <x:c r="N160" s="65" t="n">
        <x:f>IF(I160&lt;=L160,1,0)</x:f>
        <x:v>0</x:v>
      </x:c>
      <x:c r="O160" s="51" t="str">
        <x:f>IF(M160=N160,"不变",IF(N160=1,"由禁变允","由允变禁"))</x:f>
        <x:v>不变</x:v>
      </x:c>
      <x:c r="P160" s="51" t="str">
        <x:v>OSRM driving/car</x:v>
      </x:c>
      <x:c r="Q160" s="51" t="str">
        <x:v>2026-08-15</x:v>
      </x:c>
      <x:c r="R160" s="51" t="str">
        <x:v>C-开放路网计算；不是货车/危运合规路线</x:v>
      </x:c>
      <x:c r="S160" s="51" t="str">
        <x:v>https://routing.openstreetmap.de/routed-car/</x:v>
      </x:c>
    </x:row>
    <x:row r="161">
      <x:c r="A161" s="51" t="str">
        <x:v>A0157</x:v>
      </x:c>
      <x:c r="B161" s="51" t="str">
        <x:v>GD08</x:v>
      </x:c>
      <x:c r="C161" s="51" t="str">
        <x:v>source</x:v>
      </x:c>
      <x:c r="D161" s="51" t="str">
        <x:v>梅州</x:v>
      </x:c>
      <x:c r="E161" s="51" t="str">
        <x:v>C10</x:v>
      </x:c>
      <x:c r="F161" s="51" t="str">
        <x:v>collection</x:v>
      </x:c>
      <x:c r="G161" s="51" t="str">
        <x:v>汕尾虚拟回收/检测中心</x:v>
      </x:c>
      <x:c r="H161" s="52" t="n">
        <x:v>186.1554692104985</x:v>
      </x:c>
      <x:c r="I161" s="52" t="n">
        <x:v>220.6019</x:v>
      </x:c>
      <x:c r="J161" s="52" t="n">
        <x:v>170.65166666666667</x:v>
      </x:c>
      <x:c r="K161" s="52" t="n">
        <x:f>IFERROR(I161/H161,"")</x:f>
        <x:v>1.1850411966706742</x:v>
      </x:c>
      <x:c r="L161" s="52" t="n">
        <x:v>150</x:v>
      </x:c>
      <x:c r="M161" s="65" t="n">
        <x:f>IF(H161&lt;=L161,1,0)</x:f>
        <x:v>0</x:v>
      </x:c>
      <x:c r="N161" s="65" t="n">
        <x:f>IF(I161&lt;=L161,1,0)</x:f>
        <x:v>0</x:v>
      </x:c>
      <x:c r="O161" s="51" t="str">
        <x:f>IF(M161=N161,"不变",IF(N161=1,"由禁变允","由允变禁"))</x:f>
        <x:v>不变</x:v>
      </x:c>
      <x:c r="P161" s="51" t="str">
        <x:v>OSRM driving/car</x:v>
      </x:c>
      <x:c r="Q161" s="51" t="str">
        <x:v>2026-08-15</x:v>
      </x:c>
      <x:c r="R161" s="51" t="str">
        <x:v>C-开放路网计算；不是货车/危运合规路线</x:v>
      </x:c>
      <x:c r="S161" s="51" t="str">
        <x:v>https://routing.openstreetmap.de/routed-car/</x:v>
      </x:c>
    </x:row>
    <x:row r="162">
      <x:c r="A162" s="51" t="str">
        <x:v>A0158</x:v>
      </x:c>
      <x:c r="B162" s="51" t="str">
        <x:v>GD08</x:v>
      </x:c>
      <x:c r="C162" s="51" t="str">
        <x:v>source</x:v>
      </x:c>
      <x:c r="D162" s="51" t="str">
        <x:v>梅州</x:v>
      </x:c>
      <x:c r="E162" s="51" t="str">
        <x:v>C11</x:v>
      </x:c>
      <x:c r="F162" s="51" t="str">
        <x:v>collection</x:v>
      </x:c>
      <x:c r="G162" s="51" t="str">
        <x:v>东莞虚拟回收/检测中心</x:v>
      </x:c>
      <x:c r="H162" s="52" t="n">
        <x:v>336.0205516382558</x:v>
      </x:c>
      <x:c r="I162" s="52" t="n">
        <x:v>343.1323</x:v>
      </x:c>
      <x:c r="J162" s="52" t="n">
        <x:v>240.32833333333335</x:v>
      </x:c>
      <x:c r="K162" s="52" t="n">
        <x:f>IFERROR(I162/H162,"")</x:f>
        <x:v>1.0211646231966203</x:v>
      </x:c>
      <x:c r="L162" s="52" t="n">
        <x:v>150</x:v>
      </x:c>
      <x:c r="M162" s="65" t="n">
        <x:f>IF(H162&lt;=L162,1,0)</x:f>
        <x:v>0</x:v>
      </x:c>
      <x:c r="N162" s="65" t="n">
        <x:f>IF(I162&lt;=L162,1,0)</x:f>
        <x:v>0</x:v>
      </x:c>
      <x:c r="O162" s="51" t="str">
        <x:f>IF(M162=N162,"不变",IF(N162=1,"由禁变允","由允变禁"))</x:f>
        <x:v>不变</x:v>
      </x:c>
      <x:c r="P162" s="51" t="str">
        <x:v>OSRM driving/car</x:v>
      </x:c>
      <x:c r="Q162" s="51" t="str">
        <x:v>2026-08-15</x:v>
      </x:c>
      <x:c r="R162" s="51" t="str">
        <x:v>C-开放路网计算；不是货车/危运合规路线</x:v>
      </x:c>
      <x:c r="S162" s="51" t="str">
        <x:v>https://routing.openstreetmap.de/routed-car/</x:v>
      </x:c>
    </x:row>
    <x:row r="163">
      <x:c r="A163" s="51" t="str">
        <x:v>A0159</x:v>
      </x:c>
      <x:c r="B163" s="51" t="str">
        <x:v>GD08</x:v>
      </x:c>
      <x:c r="C163" s="51" t="str">
        <x:v>source</x:v>
      </x:c>
      <x:c r="D163" s="51" t="str">
        <x:v>梅州</x:v>
      </x:c>
      <x:c r="E163" s="51" t="str">
        <x:v>C12</x:v>
      </x:c>
      <x:c r="F163" s="51" t="str">
        <x:v>collection</x:v>
      </x:c>
      <x:c r="G163" s="51" t="str">
        <x:v>中山虚拟回收/检测中心</x:v>
      </x:c>
      <x:c r="H163" s="52" t="n">
        <x:v>409.44693839547136</x:v>
      </x:c>
      <x:c r="I163" s="52" t="n">
        <x:v>418.7203</x:v>
      </x:c>
      <x:c r="J163" s="52" t="n">
        <x:v>297.455</x:v>
      </x:c>
      <x:c r="K163" s="52" t="n">
        <x:f>IFERROR(I163/H163,"")</x:f>
        <x:v>1.0226485063995565</x:v>
      </x:c>
      <x:c r="L163" s="52" t="n">
        <x:v>150</x:v>
      </x:c>
      <x:c r="M163" s="65" t="n">
        <x:f>IF(H163&lt;=L163,1,0)</x:f>
        <x:v>0</x:v>
      </x:c>
      <x:c r="N163" s="65" t="n">
        <x:f>IF(I163&lt;=L163,1,0)</x:f>
        <x:v>0</x:v>
      </x:c>
      <x:c r="O163" s="51" t="str">
        <x:f>IF(M163=N163,"不变",IF(N163=1,"由禁变允","由允变禁"))</x:f>
        <x:v>不变</x:v>
      </x:c>
      <x:c r="P163" s="51" t="str">
        <x:v>OSRM driving/car</x:v>
      </x:c>
      <x:c r="Q163" s="51" t="str">
        <x:v>2026-08-15</x:v>
      </x:c>
      <x:c r="R163" s="51" t="str">
        <x:v>C-开放路网计算；不是货车/危运合规路线</x:v>
      </x:c>
      <x:c r="S163" s="51" t="str">
        <x:v>https://routing.openstreetmap.de/routed-car/</x:v>
      </x:c>
    </x:row>
    <x:row r="164">
      <x:c r="A164" s="51" t="str">
        <x:v>A0160</x:v>
      </x:c>
      <x:c r="B164" s="51" t="str">
        <x:v>GD08</x:v>
      </x:c>
      <x:c r="C164" s="51" t="str">
        <x:v>source</x:v>
      </x:c>
      <x:c r="D164" s="51" t="str">
        <x:v>梅州</x:v>
      </x:c>
      <x:c r="E164" s="51" t="str">
        <x:v>C13</x:v>
      </x:c>
      <x:c r="F164" s="51" t="str">
        <x:v>collection</x:v>
      </x:c>
      <x:c r="G164" s="51" t="str">
        <x:v>江门虚拟回收/检测中心</x:v>
      </x:c>
      <x:c r="H164" s="52" t="n">
        <x:v>436.6461010859192</x:v>
      </x:c>
      <x:c r="I164" s="52" t="n">
        <x:v>443.82590000000005</x:v>
      </x:c>
      <x:c r="J164" s="52" t="n">
        <x:v>314.9216666666667</x:v>
      </x:c>
      <x:c r="K164" s="52" t="n">
        <x:f>IFERROR(I164/H164,"")</x:f>
        <x:v>1.0164430620042753</x:v>
      </x:c>
      <x:c r="L164" s="52" t="n">
        <x:v>150</x:v>
      </x:c>
      <x:c r="M164" s="65" t="n">
        <x:f>IF(H164&lt;=L164,1,0)</x:f>
        <x:v>0</x:v>
      </x:c>
      <x:c r="N164" s="65" t="n">
        <x:f>IF(I164&lt;=L164,1,0)</x:f>
        <x:v>0</x:v>
      </x:c>
      <x:c r="O164" s="51" t="str">
        <x:f>IF(M164=N164,"不变",IF(N164=1,"由禁变允","由允变禁"))</x:f>
        <x:v>不变</x:v>
      </x:c>
      <x:c r="P164" s="51" t="str">
        <x:v>OSRM driving/car</x:v>
      </x:c>
      <x:c r="Q164" s="51" t="str">
        <x:v>2026-08-15</x:v>
      </x:c>
      <x:c r="R164" s="51" t="str">
        <x:v>C-开放路网计算；不是货车/危运合规路线</x:v>
      </x:c>
      <x:c r="S164" s="51" t="str">
        <x:v>https://routing.openstreetmap.de/routed-car/</x:v>
      </x:c>
    </x:row>
    <x:row r="165">
      <x:c r="A165" s="51" t="str">
        <x:v>A0161</x:v>
      </x:c>
      <x:c r="B165" s="51" t="str">
        <x:v>GD08</x:v>
      </x:c>
      <x:c r="C165" s="51" t="str">
        <x:v>source</x:v>
      </x:c>
      <x:c r="D165" s="51" t="str">
        <x:v>梅州</x:v>
      </x:c>
      <x:c r="E165" s="51" t="str">
        <x:v>C14</x:v>
      </x:c>
      <x:c r="F165" s="51" t="str">
        <x:v>collection</x:v>
      </x:c>
      <x:c r="G165" s="51" t="str">
        <x:v>阳江虚拟回收/检测中心</x:v>
      </x:c>
      <x:c r="H165" s="52" t="n">
        <x:v>606.9165436644514</x:v>
      </x:c>
      <x:c r="I165" s="52" t="n">
        <x:v>621.3224</x:v>
      </x:c>
      <x:c r="J165" s="52" t="n">
        <x:v>425.115</x:v>
      </x:c>
      <x:c r="K165" s="52" t="n">
        <x:f>IFERROR(I165/H165,"")</x:f>
        <x:v>1.0237361404725742</x:v>
      </x:c>
      <x:c r="L165" s="52" t="n">
        <x:v>150</x:v>
      </x:c>
      <x:c r="M165" s="65" t="n">
        <x:f>IF(H165&lt;=L165,1,0)</x:f>
        <x:v>0</x:v>
      </x:c>
      <x:c r="N165" s="65" t="n">
        <x:f>IF(I165&lt;=L165,1,0)</x:f>
        <x:v>0</x:v>
      </x:c>
      <x:c r="O165" s="51" t="str">
        <x:f>IF(M165=N165,"不变",IF(N165=1,"由禁变允","由允变禁"))</x:f>
        <x:v>不变</x:v>
      </x:c>
      <x:c r="P165" s="51" t="str">
        <x:v>OSRM driving/car</x:v>
      </x:c>
      <x:c r="Q165" s="51" t="str">
        <x:v>2026-08-15</x:v>
      </x:c>
      <x:c r="R165" s="51" t="str">
        <x:v>C-开放路网计算；不是货车/危运合规路线</x:v>
      </x:c>
      <x:c r="S165" s="51" t="str">
        <x:v>https://routing.openstreetmap.de/routed-car/</x:v>
      </x:c>
    </x:row>
    <x:row r="166">
      <x:c r="A166" s="51" t="str">
        <x:v>A0162</x:v>
      </x:c>
      <x:c r="B166" s="51" t="str">
        <x:v>GD08</x:v>
      </x:c>
      <x:c r="C166" s="51" t="str">
        <x:v>source</x:v>
      </x:c>
      <x:c r="D166" s="51" t="str">
        <x:v>梅州</x:v>
      </x:c>
      <x:c r="E166" s="51" t="str">
        <x:v>C15</x:v>
      </x:c>
      <x:c r="F166" s="51" t="str">
        <x:v>collection</x:v>
      </x:c>
      <x:c r="G166" s="51" t="str">
        <x:v>湛江虚拟回收/检测中心</x:v>
      </x:c>
      <x:c r="H166" s="52" t="n">
        <x:v>815.1568254890299</x:v>
      </x:c>
      <x:c r="I166" s="52" t="n">
        <x:v>785.7138</x:v>
      </x:c>
      <x:c r="J166" s="52" t="n">
        <x:v>534.7966666666666</x:v>
      </x:c>
      <x:c r="K166" s="52" t="n">
        <x:f>IFERROR(I166/H166,"")</x:f>
        <x:v>0.9638805386051127</x:v>
      </x:c>
      <x:c r="L166" s="52" t="n">
        <x:v>150</x:v>
      </x:c>
      <x:c r="M166" s="65" t="n">
        <x:f>IF(H166&lt;=L166,1,0)</x:f>
        <x:v>0</x:v>
      </x:c>
      <x:c r="N166" s="65" t="n">
        <x:f>IF(I166&lt;=L166,1,0)</x:f>
        <x:v>0</x:v>
      </x:c>
      <x:c r="O166" s="51" t="str">
        <x:f>IF(M166=N166,"不变",IF(N166=1,"由禁变允","由允变禁"))</x:f>
        <x:v>不变</x:v>
      </x:c>
      <x:c r="P166" s="51" t="str">
        <x:v>OSRM driving/car</x:v>
      </x:c>
      <x:c r="Q166" s="51" t="str">
        <x:v>2026-08-15</x:v>
      </x:c>
      <x:c r="R166" s="51" t="str">
        <x:v>C-开放路网计算；不是货车/危运合规路线</x:v>
      </x:c>
      <x:c r="S166" s="51" t="str">
        <x:v>https://routing.openstreetmap.de/routed-car/</x:v>
      </x:c>
    </x:row>
    <x:row r="167">
      <x:c r="A167" s="51" t="str">
        <x:v>A0163</x:v>
      </x:c>
      <x:c r="B167" s="51" t="str">
        <x:v>GD08</x:v>
      </x:c>
      <x:c r="C167" s="51" t="str">
        <x:v>source</x:v>
      </x:c>
      <x:c r="D167" s="51" t="str">
        <x:v>梅州</x:v>
      </x:c>
      <x:c r="E167" s="51" t="str">
        <x:v>C16</x:v>
      </x:c>
      <x:c r="F167" s="51" t="str">
        <x:v>collection</x:v>
      </x:c>
      <x:c r="G167" s="51" t="str">
        <x:v>茂名虚拟回收/检测中心</x:v>
      </x:c>
      <x:c r="H167" s="52" t="n">
        <x:v>728.0835318499868</x:v>
      </x:c>
      <x:c r="I167" s="52" t="n">
        <x:v>704.9645</x:v>
      </x:c>
      <x:c r="J167" s="52" t="n">
        <x:v>483.7116666666667</x:v>
      </x:c>
      <x:c r="K167" s="52" t="n">
        <x:f>IFERROR(I167/H167,"")</x:f>
        <x:v>0.9682467315374602</x:v>
      </x:c>
      <x:c r="L167" s="52" t="n">
        <x:v>150</x:v>
      </x:c>
      <x:c r="M167" s="65" t="n">
        <x:f>IF(H167&lt;=L167,1,0)</x:f>
        <x:v>0</x:v>
      </x:c>
      <x:c r="N167" s="65" t="n">
        <x:f>IF(I167&lt;=L167,1,0)</x:f>
        <x:v>0</x:v>
      </x:c>
      <x:c r="O167" s="51" t="str">
        <x:f>IF(M167=N167,"不变",IF(N167=1,"由禁变允","由允变禁"))</x:f>
        <x:v>不变</x:v>
      </x:c>
      <x:c r="P167" s="51" t="str">
        <x:v>OSRM driving/car</x:v>
      </x:c>
      <x:c r="Q167" s="51" t="str">
        <x:v>2026-08-15</x:v>
      </x:c>
      <x:c r="R167" s="51" t="str">
        <x:v>C-开放路网计算；不是货车/危运合规路线</x:v>
      </x:c>
      <x:c r="S167" s="51" t="str">
        <x:v>https://routing.openstreetmap.de/routed-car/</x:v>
      </x:c>
    </x:row>
    <x:row r="168">
      <x:c r="A168" s="51" t="str">
        <x:v>A0164</x:v>
      </x:c>
      <x:c r="B168" s="51" t="str">
        <x:v>GD08</x:v>
      </x:c>
      <x:c r="C168" s="51" t="str">
        <x:v>source</x:v>
      </x:c>
      <x:c r="D168" s="51" t="str">
        <x:v>梅州</x:v>
      </x:c>
      <x:c r="E168" s="51" t="str">
        <x:v>C17</x:v>
      </x:c>
      <x:c r="F168" s="51" t="str">
        <x:v>collection</x:v>
      </x:c>
      <x:c r="G168" s="51" t="str">
        <x:v>肇庆虚拟回收/检测中心</x:v>
      </x:c>
      <x:c r="H168" s="52" t="n">
        <x:v>476.58618977707783</x:v>
      </x:c>
      <x:c r="I168" s="52" t="n">
        <x:v>476.9952</x:v>
      </x:c>
      <x:c r="J168" s="52" t="n">
        <x:v>334.8566666666667</x:v>
      </x:c>
      <x:c r="K168" s="52" t="n">
        <x:f>IFERROR(I168/H168,"")</x:f>
        <x:v>1.0008582082983006</x:v>
      </x:c>
      <x:c r="L168" s="52" t="n">
        <x:v>150</x:v>
      </x:c>
      <x:c r="M168" s="65" t="n">
        <x:f>IF(H168&lt;=L168,1,0)</x:f>
        <x:v>0</x:v>
      </x:c>
      <x:c r="N168" s="65" t="n">
        <x:f>IF(I168&lt;=L168,1,0)</x:f>
        <x:v>0</x:v>
      </x:c>
      <x:c r="O168" s="51" t="str">
        <x:f>IF(M168=N168,"不变",IF(N168=1,"由禁变允","由允变禁"))</x:f>
        <x:v>不变</x:v>
      </x:c>
      <x:c r="P168" s="51" t="str">
        <x:v>OSRM driving/car</x:v>
      </x:c>
      <x:c r="Q168" s="51" t="str">
        <x:v>2026-08-15</x:v>
      </x:c>
      <x:c r="R168" s="51" t="str">
        <x:v>C-开放路网计算；不是货车/危运合规路线</x:v>
      </x:c>
      <x:c r="S168" s="51" t="str">
        <x:v>https://routing.openstreetmap.de/routed-car/</x:v>
      </x:c>
    </x:row>
    <x:row r="169">
      <x:c r="A169" s="51" t="str">
        <x:v>A0165</x:v>
      </x:c>
      <x:c r="B169" s="51" t="str">
        <x:v>GD08</x:v>
      </x:c>
      <x:c r="C169" s="51" t="str">
        <x:v>source</x:v>
      </x:c>
      <x:c r="D169" s="51" t="str">
        <x:v>梅州</x:v>
      </x:c>
      <x:c r="E169" s="51" t="str">
        <x:v>C18</x:v>
      </x:c>
      <x:c r="F169" s="51" t="str">
        <x:v>collection</x:v>
      </x:c>
      <x:c r="G169" s="51" t="str">
        <x:v>清远虚拟回收/检测中心</x:v>
      </x:c>
      <x:c r="H169" s="52" t="n">
        <x:v>382.548418383279</x:v>
      </x:c>
      <x:c r="I169" s="52" t="n">
        <x:v>395.348</x:v>
      </x:c>
      <x:c r="J169" s="52" t="n">
        <x:v>280.8316666666667</x:v>
      </x:c>
      <x:c r="K169" s="52" t="n">
        <x:f>IFERROR(I169/H169,"")</x:f>
        <x:v>1.0334587231357915</x:v>
      </x:c>
      <x:c r="L169" s="52" t="n">
        <x:v>150</x:v>
      </x:c>
      <x:c r="M169" s="65" t="n">
        <x:f>IF(H169&lt;=L169,1,0)</x:f>
        <x:v>0</x:v>
      </x:c>
      <x:c r="N169" s="65" t="n">
        <x:f>IF(I169&lt;=L169,1,0)</x:f>
        <x:v>0</x:v>
      </x:c>
      <x:c r="O169" s="51" t="str">
        <x:f>IF(M169=N169,"不变",IF(N169=1,"由禁变允","由允变禁"))</x:f>
        <x:v>不变</x:v>
      </x:c>
      <x:c r="P169" s="51" t="str">
        <x:v>OSRM driving/car</x:v>
      </x:c>
      <x:c r="Q169" s="51" t="str">
        <x:v>2026-08-15</x:v>
      </x:c>
      <x:c r="R169" s="51" t="str">
        <x:v>C-开放路网计算；不是货车/危运合规路线</x:v>
      </x:c>
      <x:c r="S169" s="51" t="str">
        <x:v>https://routing.openstreetmap.de/routed-car/</x:v>
      </x:c>
    </x:row>
    <x:row r="170">
      <x:c r="A170" s="51" t="str">
        <x:v>A0166</x:v>
      </x:c>
      <x:c r="B170" s="51" t="str">
        <x:v>GD08</x:v>
      </x:c>
      <x:c r="C170" s="51" t="str">
        <x:v>source</x:v>
      </x:c>
      <x:c r="D170" s="51" t="str">
        <x:v>梅州</x:v>
      </x:c>
      <x:c r="E170" s="51" t="str">
        <x:v>C19</x:v>
      </x:c>
      <x:c r="F170" s="51" t="str">
        <x:v>collection</x:v>
      </x:c>
      <x:c r="G170" s="51" t="str">
        <x:v>潮州虚拟回收/检测中心</x:v>
      </x:c>
      <x:c r="H170" s="52" t="n">
        <x:v>104.64220370470176</x:v>
      </x:c>
      <x:c r="I170" s="52" t="n">
        <x:v>138.1816</x:v>
      </x:c>
      <x:c r="J170" s="52" t="n">
        <x:v>98.11166666666666</x:v>
      </x:c>
      <x:c r="K170" s="52" t="n">
        <x:f>IFERROR(I170/H170,"")</x:f>
        <x:v>1.3205150035825484</x:v>
      </x:c>
      <x:c r="L170" s="52" t="n">
        <x:v>150</x:v>
      </x:c>
      <x:c r="M170" s="65" t="n">
        <x:f>IF(H170&lt;=L170,1,0)</x:f>
        <x:v>1</x:v>
      </x:c>
      <x:c r="N170" s="65" t="n">
        <x:f>IF(I170&lt;=L170,1,0)</x:f>
        <x:v>1</x:v>
      </x:c>
      <x:c r="O170" s="51" t="str">
        <x:f>IF(M170=N170,"不变",IF(N170=1,"由禁变允","由允变禁"))</x:f>
        <x:v>不变</x:v>
      </x:c>
      <x:c r="P170" s="51" t="str">
        <x:v>OSRM driving/car</x:v>
      </x:c>
      <x:c r="Q170" s="51" t="str">
        <x:v>2026-08-15</x:v>
      </x:c>
      <x:c r="R170" s="51" t="str">
        <x:v>C-开放路网计算；不是货车/危运合规路线</x:v>
      </x:c>
      <x:c r="S170" s="51" t="str">
        <x:v>https://routing.openstreetmap.de/routed-car/</x:v>
      </x:c>
    </x:row>
    <x:row r="171">
      <x:c r="A171" s="51" t="str">
        <x:v>A0167</x:v>
      </x:c>
      <x:c r="B171" s="51" t="str">
        <x:v>GD08</x:v>
      </x:c>
      <x:c r="C171" s="51" t="str">
        <x:v>source</x:v>
      </x:c>
      <x:c r="D171" s="51" t="str">
        <x:v>梅州</x:v>
      </x:c>
      <x:c r="E171" s="51" t="str">
        <x:v>C20</x:v>
      </x:c>
      <x:c r="F171" s="51" t="str">
        <x:v>collection</x:v>
      </x:c>
      <x:c r="G171" s="51" t="str">
        <x:v>揭阳虚拟回收/检测中心</x:v>
      </x:c>
      <x:c r="H171" s="52" t="n">
        <x:v>103.20676285733127</x:v>
      </x:c>
      <x:c r="I171" s="52" t="n">
        <x:v>114.14569999999999</x:v>
      </x:c>
      <x:c r="J171" s="52" t="n">
        <x:v>83.19833333333332</x:v>
      </x:c>
      <x:c r="K171" s="52" t="n">
        <x:f>IFERROR(I171/H171,"")</x:f>
        <x:v>1.1059905072092053</x:v>
      </x:c>
      <x:c r="L171" s="52" t="n">
        <x:v>150</x:v>
      </x:c>
      <x:c r="M171" s="65" t="n">
        <x:f>IF(H171&lt;=L171,1,0)</x:f>
        <x:v>1</x:v>
      </x:c>
      <x:c r="N171" s="65" t="n">
        <x:f>IF(I171&lt;=L171,1,0)</x:f>
        <x:v>1</x:v>
      </x:c>
      <x:c r="O171" s="51" t="str">
        <x:f>IF(M171=N171,"不变",IF(N171=1,"由禁变允","由允变禁"))</x:f>
        <x:v>不变</x:v>
      </x:c>
      <x:c r="P171" s="51" t="str">
        <x:v>OSRM driving/car</x:v>
      </x:c>
      <x:c r="Q171" s="51" t="str">
        <x:v>2026-08-15</x:v>
      </x:c>
      <x:c r="R171" s="51" t="str">
        <x:v>C-开放路网计算；不是货车/危运合规路线</x:v>
      </x:c>
      <x:c r="S171" s="51" t="str">
        <x:v>https://routing.openstreetmap.de/routed-car/</x:v>
      </x:c>
    </x:row>
    <x:row r="172">
      <x:c r="A172" s="51" t="str">
        <x:v>A0168</x:v>
      </x:c>
      <x:c r="B172" s="51" t="str">
        <x:v>GD08</x:v>
      </x:c>
      <x:c r="C172" s="51" t="str">
        <x:v>source</x:v>
      </x:c>
      <x:c r="D172" s="51" t="str">
        <x:v>梅州</x:v>
      </x:c>
      <x:c r="E172" s="51" t="str">
        <x:v>C21</x:v>
      </x:c>
      <x:c r="F172" s="51" t="str">
        <x:v>collection</x:v>
      </x:c>
      <x:c r="G172" s="51" t="str">
        <x:v>云浮虚拟回收/检测中心</x:v>
      </x:c>
      <x:c r="H172" s="52" t="n">
        <x:v>560.7864276308262</x:v>
      </x:c>
      <x:c r="I172" s="52" t="n">
        <x:v>563.8665</x:v>
      </x:c>
      <x:c r="J172" s="52" t="n">
        <x:v>389.03333333333336</x:v>
      </x:c>
      <x:c r="K172" s="52" t="n">
        <x:f>IFERROR(I172/H172,"")</x:f>
        <x:v>1.0054924160382879</x:v>
      </x:c>
      <x:c r="L172" s="52" t="n">
        <x:v>150</x:v>
      </x:c>
      <x:c r="M172" s="65" t="n">
        <x:f>IF(H172&lt;=L172,1,0)</x:f>
        <x:v>0</x:v>
      </x:c>
      <x:c r="N172" s="65" t="n">
        <x:f>IF(I172&lt;=L172,1,0)</x:f>
        <x:v>0</x:v>
      </x:c>
      <x:c r="O172" s="51" t="str">
        <x:f>IF(M172=N172,"不变",IF(N172=1,"由禁变允","由允变禁"))</x:f>
        <x:v>不变</x:v>
      </x:c>
      <x:c r="P172" s="51" t="str">
        <x:v>OSRM driving/car</x:v>
      </x:c>
      <x:c r="Q172" s="51" t="str">
        <x:v>2026-08-15</x:v>
      </x:c>
      <x:c r="R172" s="51" t="str">
        <x:v>C-开放路网计算；不是货车/危运合规路线</x:v>
      </x:c>
      <x:c r="S172" s="51" t="str">
        <x:v>https://routing.openstreetmap.de/routed-car/</x:v>
      </x:c>
    </x:row>
    <x:row r="173">
      <x:c r="A173" s="51" t="str">
        <x:v>A0169</x:v>
      </x:c>
      <x:c r="B173" s="51" t="str">
        <x:v>GD09</x:v>
      </x:c>
      <x:c r="C173" s="51" t="str">
        <x:v>source</x:v>
      </x:c>
      <x:c r="D173" s="51" t="str">
        <x:v>惠州</x:v>
      </x:c>
      <x:c r="E173" s="51" t="str">
        <x:v>C01</x:v>
      </x:c>
      <x:c r="F173" s="51" t="str">
        <x:v>collection</x:v>
      </x:c>
      <x:c r="G173" s="51" t="str">
        <x:v>广州虚拟回收/检测中心</x:v>
      </x:c>
      <x:c r="H173" s="52" t="n">
        <x:v>141.59962050860264</x:v>
      </x:c>
      <x:c r="I173" s="52" t="n">
        <x:v>138.8645</x:v>
      </x:c>
      <x:c r="J173" s="52" t="n">
        <x:v>98.54166666666667</x:v>
      </x:c>
      <x:c r="K173" s="52" t="n">
        <x:f>IFERROR(I173/H173,"")</x:f>
        <x:v>0.9806841254321266</x:v>
      </x:c>
      <x:c r="L173" s="52" t="n">
        <x:v>150</x:v>
      </x:c>
      <x:c r="M173" s="65" t="n">
        <x:f>IF(H173&lt;=L173,1,0)</x:f>
        <x:v>1</x:v>
      </x:c>
      <x:c r="N173" s="65" t="n">
        <x:f>IF(I173&lt;=L173,1,0)</x:f>
        <x:v>1</x:v>
      </x:c>
      <x:c r="O173" s="51" t="str">
        <x:f>IF(M173=N173,"不变",IF(N173=1,"由禁变允","由允变禁"))</x:f>
        <x:v>不变</x:v>
      </x:c>
      <x:c r="P173" s="51" t="str">
        <x:v>OSRM driving/car</x:v>
      </x:c>
      <x:c r="Q173" s="51" t="str">
        <x:v>2026-08-15</x:v>
      </x:c>
      <x:c r="R173" s="51" t="str">
        <x:v>C-开放路网计算；不是货车/危运合规路线</x:v>
      </x:c>
      <x:c r="S173" s="51" t="str">
        <x:v>https://routing.openstreetmap.de/routed-car/</x:v>
      </x:c>
    </x:row>
    <x:row r="174">
      <x:c r="A174" s="51" t="str">
        <x:v>A0170</x:v>
      </x:c>
      <x:c r="B174" s="51" t="str">
        <x:v>GD09</x:v>
      </x:c>
      <x:c r="C174" s="51" t="str">
        <x:v>source</x:v>
      </x:c>
      <x:c r="D174" s="51" t="str">
        <x:v>惠州</x:v>
      </x:c>
      <x:c r="E174" s="51" t="str">
        <x:v>C02</x:v>
      </x:c>
      <x:c r="F174" s="51" t="str">
        <x:v>collection</x:v>
      </x:c>
      <x:c r="G174" s="51" t="str">
        <x:v>深圳虚拟回收/检测中心</x:v>
      </x:c>
      <x:c r="H174" s="52" t="n">
        <x:v>87.65338268455065</x:v>
      </x:c>
      <x:c r="I174" s="52" t="n">
        <x:v>88.7728</x:v>
      </x:c>
      <x:c r="J174" s="52" t="n">
        <x:v>71.12333333333332</x:v>
      </x:c>
      <x:c r="K174" s="52" t="n">
        <x:f>IFERROR(I174/H174,"")</x:f>
        <x:v>1.0127709539685188</x:v>
      </x:c>
      <x:c r="L174" s="52" t="n">
        <x:v>150</x:v>
      </x:c>
      <x:c r="M174" s="65" t="n">
        <x:f>IF(H174&lt;=L174,1,0)</x:f>
        <x:v>1</x:v>
      </x:c>
      <x:c r="N174" s="65" t="n">
        <x:f>IF(I174&lt;=L174,1,0)</x:f>
        <x:v>1</x:v>
      </x:c>
      <x:c r="O174" s="51" t="str">
        <x:f>IF(M174=N174,"不变",IF(N174=1,"由禁变允","由允变禁"))</x:f>
        <x:v>不变</x:v>
      </x:c>
      <x:c r="P174" s="51" t="str">
        <x:v>OSRM driving/car</x:v>
      </x:c>
      <x:c r="Q174" s="51" t="str">
        <x:v>2026-08-15</x:v>
      </x:c>
      <x:c r="R174" s="51" t="str">
        <x:v>C-开放路网计算；不是货车/危运合规路线</x:v>
      </x:c>
      <x:c r="S174" s="51" t="str">
        <x:v>https://routing.openstreetmap.de/routed-car/</x:v>
      </x:c>
    </x:row>
    <x:row r="175">
      <x:c r="A175" s="51" t="str">
        <x:v>A0171</x:v>
      </x:c>
      <x:c r="B175" s="51" t="str">
        <x:v>GD09</x:v>
      </x:c>
      <x:c r="C175" s="51" t="str">
        <x:v>source</x:v>
      </x:c>
      <x:c r="D175" s="51" t="str">
        <x:v>惠州</x:v>
      </x:c>
      <x:c r="E175" s="51" t="str">
        <x:v>C03</x:v>
      </x:c>
      <x:c r="F175" s="51" t="str">
        <x:v>collection</x:v>
      </x:c>
      <x:c r="G175" s="51" t="str">
        <x:v>珠海虚拟回收/检测中心</x:v>
      </x:c>
      <x:c r="H175" s="52" t="n">
        <x:v>152.4261811714796</x:v>
      </x:c>
      <x:c r="I175" s="52" t="n">
        <x:v>183.3425</x:v>
      </x:c>
      <x:c r="J175" s="52" t="n">
        <x:v>142.355</x:v>
      </x:c>
      <x:c r="K175" s="52" t="n">
        <x:f>IFERROR(I175/H175,"")</x:f>
        <x:v>1.2028281400932002</x:v>
      </x:c>
      <x:c r="L175" s="52" t="n">
        <x:v>150</x:v>
      </x:c>
      <x:c r="M175" s="65" t="n">
        <x:f>IF(H175&lt;=L175,1,0)</x:f>
        <x:v>0</x:v>
      </x:c>
      <x:c r="N175" s="65" t="n">
        <x:f>IF(I175&lt;=L175,1,0)</x:f>
        <x:v>0</x:v>
      </x:c>
      <x:c r="O175" s="51" t="str">
        <x:f>IF(M175=N175,"不变",IF(N175=1,"由禁变允","由允变禁"))</x:f>
        <x:v>不变</x:v>
      </x:c>
      <x:c r="P175" s="51" t="str">
        <x:v>OSRM driving/car</x:v>
      </x:c>
      <x:c r="Q175" s="51" t="str">
        <x:v>2026-08-15</x:v>
      </x:c>
      <x:c r="R175" s="51" t="str">
        <x:v>C-开放路网计算；不是货车/危运合规路线</x:v>
      </x:c>
      <x:c r="S175" s="51" t="str">
        <x:v>https://routing.openstreetmap.de/routed-car/</x:v>
      </x:c>
    </x:row>
    <x:row r="176">
      <x:c r="A176" s="51" t="str">
        <x:v>A0172</x:v>
      </x:c>
      <x:c r="B176" s="51" t="str">
        <x:v>GD09</x:v>
      </x:c>
      <x:c r="C176" s="51" t="str">
        <x:v>source</x:v>
      </x:c>
      <x:c r="D176" s="51" t="str">
        <x:v>惠州</x:v>
      </x:c>
      <x:c r="E176" s="51" t="str">
        <x:v>C04</x:v>
      </x:c>
      <x:c r="F176" s="51" t="str">
        <x:v>collection</x:v>
      </x:c>
      <x:c r="G176" s="51" t="str">
        <x:v>汕头虚拟回收/检测中心</x:v>
      </x:c>
      <x:c r="H176" s="52" t="n">
        <x:v>279.59950256039025</x:v>
      </x:c>
      <x:c r="I176" s="52" t="n">
        <x:v>287.0797</x:v>
      </x:c>
      <x:c r="J176" s="52" t="n">
        <x:v>208.505</x:v>
      </x:c>
      <x:c r="K176" s="52" t="n">
        <x:f>IFERROR(I176/H176,"")</x:f>
        <x:v>1.0267532573238185</x:v>
      </x:c>
      <x:c r="L176" s="52" t="n">
        <x:v>150</x:v>
      </x:c>
      <x:c r="M176" s="65" t="n">
        <x:f>IF(H176&lt;=L176,1,0)</x:f>
        <x:v>0</x:v>
      </x:c>
      <x:c r="N176" s="65" t="n">
        <x:f>IF(I176&lt;=L176,1,0)</x:f>
        <x:v>0</x:v>
      </x:c>
      <x:c r="O176" s="51" t="str">
        <x:f>IF(M176=N176,"不变",IF(N176=1,"由禁变允","由允变禁"))</x:f>
        <x:v>不变</x:v>
      </x:c>
      <x:c r="P176" s="51" t="str">
        <x:v>OSRM driving/car</x:v>
      </x:c>
      <x:c r="Q176" s="51" t="str">
        <x:v>2026-08-15</x:v>
      </x:c>
      <x:c r="R176" s="51" t="str">
        <x:v>C-开放路网计算；不是货车/危运合规路线</x:v>
      </x:c>
      <x:c r="S176" s="51" t="str">
        <x:v>https://routing.openstreetmap.de/routed-car/</x:v>
      </x:c>
    </x:row>
    <x:row r="177">
      <x:c r="A177" s="51" t="str">
        <x:v>A0173</x:v>
      </x:c>
      <x:c r="B177" s="51" t="str">
        <x:v>GD09</x:v>
      </x:c>
      <x:c r="C177" s="51" t="str">
        <x:v>source</x:v>
      </x:c>
      <x:c r="D177" s="51" t="str">
        <x:v>惠州</x:v>
      </x:c>
      <x:c r="E177" s="51" t="str">
        <x:v>C05</x:v>
      </x:c>
      <x:c r="F177" s="51" t="str">
        <x:v>collection</x:v>
      </x:c>
      <x:c r="G177" s="51" t="str">
        <x:v>佛山虚拟回收/检测中心</x:v>
      </x:c>
      <x:c r="H177" s="52" t="n">
        <x:v>159.63127925962104</x:v>
      </x:c>
      <x:c r="I177" s="52" t="n">
        <x:v>158.107</x:v>
      </x:c>
      <x:c r="J177" s="52" t="n">
        <x:v>118.03833333333334</x:v>
      </x:c>
      <x:c r="K177" s="52" t="n">
        <x:f>IFERROR(I177/H177,"")</x:f>
        <x:v>0.9904512494876272</x:v>
      </x:c>
      <x:c r="L177" s="52" t="n">
        <x:v>150</x:v>
      </x:c>
      <x:c r="M177" s="65" t="n">
        <x:f>IF(H177&lt;=L177,1,0)</x:f>
        <x:v>0</x:v>
      </x:c>
      <x:c r="N177" s="65" t="n">
        <x:f>IF(I177&lt;=L177,1,0)</x:f>
        <x:v>0</x:v>
      </x:c>
      <x:c r="O177" s="51" t="str">
        <x:f>IF(M177=N177,"不变",IF(N177=1,"由禁变允","由允变禁"))</x:f>
        <x:v>不变</x:v>
      </x:c>
      <x:c r="P177" s="51" t="str">
        <x:v>OSRM driving/car</x:v>
      </x:c>
      <x:c r="Q177" s="51" t="str">
        <x:v>2026-08-15</x:v>
      </x:c>
      <x:c r="R177" s="51" t="str">
        <x:v>C-开放路网计算；不是货车/危运合规路线</x:v>
      </x:c>
      <x:c r="S177" s="51" t="str">
        <x:v>https://routing.openstreetmap.de/routed-car/</x:v>
      </x:c>
    </x:row>
    <x:row r="178">
      <x:c r="A178" s="51" t="str">
        <x:v>A0174</x:v>
      </x:c>
      <x:c r="B178" s="51" t="str">
        <x:v>GD09</x:v>
      </x:c>
      <x:c r="C178" s="51" t="str">
        <x:v>source</x:v>
      </x:c>
      <x:c r="D178" s="51" t="str">
        <x:v>惠州</x:v>
      </x:c>
      <x:c r="E178" s="51" t="str">
        <x:v>C06</x:v>
      </x:c>
      <x:c r="F178" s="51" t="str">
        <x:v>collection</x:v>
      </x:c>
      <x:c r="G178" s="51" t="str">
        <x:v>韶关虚拟回收/检测中心</x:v>
      </x:c>
      <x:c r="H178" s="52" t="n">
        <x:v>240.57838750981594</x:v>
      </x:c>
      <x:c r="I178" s="52" t="n">
        <x:v>258.7829</x:v>
      </x:c>
      <x:c r="J178" s="52" t="n">
        <x:v>191.28833333333333</x:v>
      </x:c>
      <x:c r="K178" s="52" t="n">
        <x:f>IFERROR(I178/H178,"")</x:f>
        <x:v>1.075669775155681</x:v>
      </x:c>
      <x:c r="L178" s="52" t="n">
        <x:v>150</x:v>
      </x:c>
      <x:c r="M178" s="65" t="n">
        <x:f>IF(H178&lt;=L178,1,0)</x:f>
        <x:v>0</x:v>
      </x:c>
      <x:c r="N178" s="65" t="n">
        <x:f>IF(I178&lt;=L178,1,0)</x:f>
        <x:v>0</x:v>
      </x:c>
      <x:c r="O178" s="51" t="str">
        <x:f>IF(M178=N178,"不变",IF(N178=1,"由禁变允","由允变禁"))</x:f>
        <x:v>不变</x:v>
      </x:c>
      <x:c r="P178" s="51" t="str">
        <x:v>OSRM driving/car</x:v>
      </x:c>
      <x:c r="Q178" s="51" t="str">
        <x:v>2026-08-15</x:v>
      </x:c>
      <x:c r="R178" s="51" t="str">
        <x:v>C-开放路网计算；不是货车/危运合规路线</x:v>
      </x:c>
      <x:c r="S178" s="51" t="str">
        <x:v>https://routing.openstreetmap.de/routed-car/</x:v>
      </x:c>
    </x:row>
    <x:row r="179">
      <x:c r="A179" s="51" t="str">
        <x:v>A0175</x:v>
      </x:c>
      <x:c r="B179" s="51" t="str">
        <x:v>GD09</x:v>
      </x:c>
      <x:c r="C179" s="51" t="str">
        <x:v>source</x:v>
      </x:c>
      <x:c r="D179" s="51" t="str">
        <x:v>惠州</x:v>
      </x:c>
      <x:c r="E179" s="51" t="str">
        <x:v>C07</x:v>
      </x:c>
      <x:c r="F179" s="51" t="str">
        <x:v>collection</x:v>
      </x:c>
      <x:c r="G179" s="51" t="str">
        <x:v>河源虚拟回收/检测中心</x:v>
      </x:c>
      <x:c r="H179" s="52" t="n">
        <x:v>153.73276695379784</x:v>
      </x:c>
      <x:c r="I179" s="52" t="n">
        <x:v>165.1062</x:v>
      </x:c>
      <x:c r="J179" s="52" t="n">
        <x:v>135.53</x:v>
      </x:c>
      <x:c r="K179" s="52" t="n">
        <x:f>IFERROR(I179/H179,"")</x:f>
        <x:v>1.0739818405117256</x:v>
      </x:c>
      <x:c r="L179" s="52" t="n">
        <x:v>150</x:v>
      </x:c>
      <x:c r="M179" s="65" t="n">
        <x:f>IF(H179&lt;=L179,1,0)</x:f>
        <x:v>0</x:v>
      </x:c>
      <x:c r="N179" s="65" t="n">
        <x:f>IF(I179&lt;=L179,1,0)</x:f>
        <x:v>0</x:v>
      </x:c>
      <x:c r="O179" s="51" t="str">
        <x:f>IF(M179=N179,"不变",IF(N179=1,"由禁变允","由允变禁"))</x:f>
        <x:v>不变</x:v>
      </x:c>
      <x:c r="P179" s="51" t="str">
        <x:v>OSRM driving/car</x:v>
      </x:c>
      <x:c r="Q179" s="51" t="str">
        <x:v>2026-08-15</x:v>
      </x:c>
      <x:c r="R179" s="51" t="str">
        <x:v>C-开放路网计算；不是货车/危运合规路线</x:v>
      </x:c>
      <x:c r="S179" s="51" t="str">
        <x:v>https://routing.openstreetmap.de/routed-car/</x:v>
      </x:c>
    </x:row>
    <x:row r="180">
      <x:c r="A180" s="51" t="str">
        <x:v>A0176</x:v>
      </x:c>
      <x:c r="B180" s="51" t="str">
        <x:v>GD09</x:v>
      </x:c>
      <x:c r="C180" s="51" t="str">
        <x:v>source</x:v>
      </x:c>
      <x:c r="D180" s="51" t="str">
        <x:v>惠州</x:v>
      </x:c>
      <x:c r="E180" s="51" t="str">
        <x:v>C08</x:v>
      </x:c>
      <x:c r="F180" s="51" t="str">
        <x:v>collection</x:v>
      </x:c>
      <x:c r="G180" s="51" t="str">
        <x:v>梅州虚拟回收/检测中心</x:v>
      </x:c>
      <x:c r="H180" s="52" t="n">
        <x:v>261.0101487251689</x:v>
      </x:c>
      <x:c r="I180" s="52" t="n">
        <x:v>273.98220000000003</x:v>
      </x:c>
      <x:c r="J180" s="52" t="n">
        <x:v>191.39</x:v>
      </x:c>
      <x:c r="K180" s="52" t="n">
        <x:f>IFERROR(I180/H180,"")</x:f>
        <x:v>1.049699413368367</x:v>
      </x:c>
      <x:c r="L180" s="52" t="n">
        <x:v>150</x:v>
      </x:c>
      <x:c r="M180" s="65" t="n">
        <x:f>IF(H180&lt;=L180,1,0)</x:f>
        <x:v>0</x:v>
      </x:c>
      <x:c r="N180" s="65" t="n">
        <x:f>IF(I180&lt;=L180,1,0)</x:f>
        <x:v>0</x:v>
      </x:c>
      <x:c r="O180" s="51" t="str">
        <x:f>IF(M180=N180,"不变",IF(N180=1,"由禁变允","由允变禁"))</x:f>
        <x:v>不变</x:v>
      </x:c>
      <x:c r="P180" s="51" t="str">
        <x:v>OSRM driving/car</x:v>
      </x:c>
      <x:c r="Q180" s="51" t="str">
        <x:v>2026-08-15</x:v>
      </x:c>
      <x:c r="R180" s="51" t="str">
        <x:v>C-开放路网计算；不是货车/危运合规路线</x:v>
      </x:c>
      <x:c r="S180" s="51" t="str">
        <x:v>https://routing.openstreetmap.de/routed-car/</x:v>
      </x:c>
    </x:row>
    <x:row r="181">
      <x:c r="A181" s="51" t="str">
        <x:v>A0177</x:v>
      </x:c>
      <x:c r="B181" s="51" t="str">
        <x:v>GD09</x:v>
      </x:c>
      <x:c r="C181" s="51" t="str">
        <x:v>source</x:v>
      </x:c>
      <x:c r="D181" s="51" t="str">
        <x:v>惠州</x:v>
      </x:c>
      <x:c r="E181" s="51" t="str">
        <x:v>C09</x:v>
      </x:c>
      <x:c r="F181" s="51" t="str">
        <x:v>collection</x:v>
      </x:c>
      <x:c r="G181" s="51" t="str">
        <x:v>惠州虚拟回收/检测中心</x:v>
      </x:c>
      <x:c r="H181" s="52" t="n">
        <x:v>0</x:v>
      </x:c>
      <x:c r="I181" s="52" t="n">
        <x:v>0</x:v>
      </x:c>
      <x:c r="J181" s="52" t="n">
        <x:v>0</x:v>
      </x:c>
      <x:c r="K181" s="52" t="str">
        <x:f>IFERROR(I181/H181,"")</x:f>
      </x:c>
      <x:c r="L181" s="52" t="n">
        <x:v>150</x:v>
      </x:c>
      <x:c r="M181" s="65" t="n">
        <x:f>IF(H181&lt;=L181,1,0)</x:f>
        <x:v>1</x:v>
      </x:c>
      <x:c r="N181" s="65" t="n">
        <x:f>IF(I181&lt;=L181,1,0)</x:f>
        <x:v>1</x:v>
      </x:c>
      <x:c r="O181" s="51" t="str">
        <x:f>IF(M181=N181,"不变",IF(N181=1,"由禁变允","由允变禁"))</x:f>
        <x:v>不变</x:v>
      </x:c>
      <x:c r="P181" s="51" t="str">
        <x:v>OSRM driving/car</x:v>
      </x:c>
      <x:c r="Q181" s="51" t="str">
        <x:v>2026-08-15</x:v>
      </x:c>
      <x:c r="R181" s="51" t="str">
        <x:v>C-开放路网计算；不是货车/危运合规路线</x:v>
      </x:c>
      <x:c r="S181" s="51" t="str">
        <x:v>https://routing.openstreetmap.de/routed-car/</x:v>
      </x:c>
    </x:row>
    <x:row r="182">
      <x:c r="A182" s="51" t="str">
        <x:v>A0178</x:v>
      </x:c>
      <x:c r="B182" s="51" t="str">
        <x:v>GD09</x:v>
      </x:c>
      <x:c r="C182" s="51" t="str">
        <x:v>source</x:v>
      </x:c>
      <x:c r="D182" s="51" t="str">
        <x:v>惠州</x:v>
      </x:c>
      <x:c r="E182" s="51" t="str">
        <x:v>C10</x:v>
      </x:c>
      <x:c r="F182" s="51" t="str">
        <x:v>collection</x:v>
      </x:c>
      <x:c r="G182" s="51" t="str">
        <x:v>汕尾虚拟回收/检测中心</x:v>
      </x:c>
      <x:c r="H182" s="52" t="n">
        <x:v>135.3751705679002</x:v>
      </x:c>
      <x:c r="I182" s="52" t="n">
        <x:v>137.2199</x:v>
      </x:c>
      <x:c r="J182" s="52" t="n">
        <x:v>122.56666666666666</x:v>
      </x:c>
      <x:c r="K182" s="52" t="n">
        <x:f>IFERROR(I182/H182,"")</x:f>
        <x:v>1.0136267930401206</x:v>
      </x:c>
      <x:c r="L182" s="52" t="n">
        <x:v>150</x:v>
      </x:c>
      <x:c r="M182" s="65" t="n">
        <x:f>IF(H182&lt;=L182,1,0)</x:f>
        <x:v>1</x:v>
      </x:c>
      <x:c r="N182" s="65" t="n">
        <x:f>IF(I182&lt;=L182,1,0)</x:f>
        <x:v>1</x:v>
      </x:c>
      <x:c r="O182" s="51" t="str">
        <x:f>IF(M182=N182,"不变",IF(N182=1,"由禁变允","由允变禁"))</x:f>
        <x:v>不变</x:v>
      </x:c>
      <x:c r="P182" s="51" t="str">
        <x:v>OSRM driving/car</x:v>
      </x:c>
      <x:c r="Q182" s="51" t="str">
        <x:v>2026-08-15</x:v>
      </x:c>
      <x:c r="R182" s="51" t="str">
        <x:v>C-开放路网计算；不是货车/危运合规路线</x:v>
      </x:c>
      <x:c r="S182" s="51" t="str">
        <x:v>https://routing.openstreetmap.de/routed-car/</x:v>
      </x:c>
    </x:row>
    <x:row r="183">
      <x:c r="A183" s="51" t="str">
        <x:v>A0179</x:v>
      </x:c>
      <x:c r="B183" s="51" t="str">
        <x:v>GD09</x:v>
      </x:c>
      <x:c r="C183" s="51" t="str">
        <x:v>source</x:v>
      </x:c>
      <x:c r="D183" s="51" t="str">
        <x:v>惠州</x:v>
      </x:c>
      <x:c r="E183" s="51" t="str">
        <x:v>C11</x:v>
      </x:c>
      <x:c r="F183" s="51" t="str">
        <x:v>collection</x:v>
      </x:c>
      <x:c r="G183" s="51" t="str">
        <x:v>东莞虚拟回收/检测中心</x:v>
      </x:c>
      <x:c r="H183" s="52" t="n">
        <x:v>82.90044805737128</x:v>
      </x:c>
      <x:c r="I183" s="52" t="n">
        <x:v>94.6155</x:v>
      </x:c>
      <x:c r="J183" s="52" t="n">
        <x:v>70.79166666666667</x:v>
      </x:c>
      <x:c r="K183" s="52" t="n">
        <x:f>IFERROR(I183/H183,"")</x:f>
        <x:v>1.1413146999461488</x:v>
      </x:c>
      <x:c r="L183" s="52" t="n">
        <x:v>150</x:v>
      </x:c>
      <x:c r="M183" s="65" t="n">
        <x:f>IF(H183&lt;=L183,1,0)</x:f>
        <x:v>1</x:v>
      </x:c>
      <x:c r="N183" s="65" t="n">
        <x:f>IF(I183&lt;=L183,1,0)</x:f>
        <x:v>1</x:v>
      </x:c>
      <x:c r="O183" s="51" t="str">
        <x:f>IF(M183=N183,"不变",IF(N183=1,"由禁变允","由允变禁"))</x:f>
        <x:v>不变</x:v>
      </x:c>
      <x:c r="P183" s="51" t="str">
        <x:v>OSRM driving/car</x:v>
      </x:c>
      <x:c r="Q183" s="51" t="str">
        <x:v>2026-08-15</x:v>
      </x:c>
      <x:c r="R183" s="51" t="str">
        <x:v>C-开放路网计算；不是货车/危运合规路线</x:v>
      </x:c>
      <x:c r="S183" s="51" t="str">
        <x:v>https://routing.openstreetmap.de/routed-car/</x:v>
      </x:c>
    </x:row>
    <x:row r="184">
      <x:c r="A184" s="51" t="str">
        <x:v>A0180</x:v>
      </x:c>
      <x:c r="B184" s="51" t="str">
        <x:v>GD09</x:v>
      </x:c>
      <x:c r="C184" s="51" t="str">
        <x:v>source</x:v>
      </x:c>
      <x:c r="D184" s="51" t="str">
        <x:v>惠州</x:v>
      </x:c>
      <x:c r="E184" s="51" t="str">
        <x:v>C12</x:v>
      </x:c>
      <x:c r="F184" s="51" t="str">
        <x:v>collection</x:v>
      </x:c>
      <x:c r="G184" s="51" t="str">
        <x:v>中山虚拟回收/检测中心</x:v>
      </x:c>
      <x:c r="H184" s="52" t="n">
        <x:v>148.87711821877198</x:v>
      </x:c>
      <x:c r="I184" s="52" t="n">
        <x:v>149.6951</x:v>
      </x:c>
      <x:c r="J184" s="52" t="n">
        <x:v>118.52333333333333</x:v>
      </x:c>
      <x:c r="K184" s="52" t="n">
        <x:f>IFERROR(I184/H184,"")</x:f>
        <x:v>1.0054943418506126</x:v>
      </x:c>
      <x:c r="L184" s="52" t="n">
        <x:v>150</x:v>
      </x:c>
      <x:c r="M184" s="65" t="n">
        <x:f>IF(H184&lt;=L184,1,0)</x:f>
        <x:v>1</x:v>
      </x:c>
      <x:c r="N184" s="65" t="n">
        <x:f>IF(I184&lt;=L184,1,0)</x:f>
        <x:v>1</x:v>
      </x:c>
      <x:c r="O184" s="51" t="str">
        <x:f>IF(M184=N184,"不变",IF(N184=1,"由禁变允","由允变禁"))</x:f>
        <x:v>不变</x:v>
      </x:c>
      <x:c r="P184" s="51" t="str">
        <x:v>OSRM driving/car</x:v>
      </x:c>
      <x:c r="Q184" s="51" t="str">
        <x:v>2026-08-15</x:v>
      </x:c>
      <x:c r="R184" s="51" t="str">
        <x:v>C-开放路网计算；不是货车/危运合规路线</x:v>
      </x:c>
      <x:c r="S184" s="51" t="str">
        <x:v>https://routing.openstreetmap.de/routed-car/</x:v>
      </x:c>
    </x:row>
    <x:row r="185">
      <x:c r="A185" s="51" t="str">
        <x:v>A0181</x:v>
      </x:c>
      <x:c r="B185" s="51" t="str">
        <x:v>GD09</x:v>
      </x:c>
      <x:c r="C185" s="51" t="str">
        <x:v>source</x:v>
      </x:c>
      <x:c r="D185" s="51" t="str">
        <x:v>惠州</x:v>
      </x:c>
      <x:c r="E185" s="51" t="str">
        <x:v>C13</x:v>
      </x:c>
      <x:c r="F185" s="51" t="str">
        <x:v>collection</x:v>
      </x:c>
      <x:c r="G185" s="51" t="str">
        <x:v>江门虚拟回收/检测中心</x:v>
      </x:c>
      <x:c r="H185" s="52" t="n">
        <x:v>178.96752942018048</x:v>
      </x:c>
      <x:c r="I185" s="52" t="n">
        <x:v>182.8135</x:v>
      </x:c>
      <x:c r="J185" s="52" t="n">
        <x:v>141.08333333333334</x:v>
      </x:c>
      <x:c r="K185" s="52" t="n">
        <x:f>IFERROR(I185/H185,"")</x:f>
        <x:v>1.0214897674023868</x:v>
      </x:c>
      <x:c r="L185" s="52" t="n">
        <x:v>150</x:v>
      </x:c>
      <x:c r="M185" s="65" t="n">
        <x:f>IF(H185&lt;=L185,1,0)</x:f>
        <x:v>0</x:v>
      </x:c>
      <x:c r="N185" s="65" t="n">
        <x:f>IF(I185&lt;=L185,1,0)</x:f>
        <x:v>0</x:v>
      </x:c>
      <x:c r="O185" s="51" t="str">
        <x:f>IF(M185=N185,"不变",IF(N185=1,"由禁变允","由允变禁"))</x:f>
        <x:v>不变</x:v>
      </x:c>
      <x:c r="P185" s="51" t="str">
        <x:v>OSRM driving/car</x:v>
      </x:c>
      <x:c r="Q185" s="51" t="str">
        <x:v>2026-08-15</x:v>
      </x:c>
      <x:c r="R185" s="51" t="str">
        <x:v>C-开放路网计算；不是货车/危运合规路线</x:v>
      </x:c>
      <x:c r="S185" s="51" t="str">
        <x:v>https://routing.openstreetmap.de/routed-car/</x:v>
      </x:c>
    </x:row>
    <x:row r="186">
      <x:c r="A186" s="51" t="str">
        <x:v>A0182</x:v>
      </x:c>
      <x:c r="B186" s="51" t="str">
        <x:v>GD09</x:v>
      </x:c>
      <x:c r="C186" s="51" t="str">
        <x:v>source</x:v>
      </x:c>
      <x:c r="D186" s="51" t="str">
        <x:v>惠州</x:v>
      </x:c>
      <x:c r="E186" s="51" t="str">
        <x:v>C14</x:v>
      </x:c>
      <x:c r="F186" s="51" t="str">
        <x:v>collection</x:v>
      </x:c>
      <x:c r="G186" s="51" t="str">
        <x:v>阳江虚拟回收/检测中心</x:v>
      </x:c>
      <x:c r="H186" s="52" t="n">
        <x:v>351.17072385173043</x:v>
      </x:c>
      <x:c r="I186" s="52" t="n">
        <x:v>369.8987</x:v>
      </x:c>
      <x:c r="J186" s="52" t="n">
        <x:v>251.92166666666665</x:v>
      </x:c>
      <x:c r="K186" s="52" t="n">
        <x:f>IFERROR(I186/H186,"")</x:f>
        <x:v>1.0533301180202506</x:v>
      </x:c>
      <x:c r="L186" s="52" t="n">
        <x:v>150</x:v>
      </x:c>
      <x:c r="M186" s="65" t="n">
        <x:f>IF(H186&lt;=L186,1,0)</x:f>
        <x:v>0</x:v>
      </x:c>
      <x:c r="N186" s="65" t="n">
        <x:f>IF(I186&lt;=L186,1,0)</x:f>
        <x:v>0</x:v>
      </x:c>
      <x:c r="O186" s="51" t="str">
        <x:f>IF(M186=N186,"不变",IF(N186=1,"由禁变允","由允变禁"))</x:f>
        <x:v>不变</x:v>
      </x:c>
      <x:c r="P186" s="51" t="str">
        <x:v>OSRM driving/car</x:v>
      </x:c>
      <x:c r="Q186" s="51" t="str">
        <x:v>2026-08-15</x:v>
      </x:c>
      <x:c r="R186" s="51" t="str">
        <x:v>C-开放路网计算；不是货车/危运合规路线</x:v>
      </x:c>
      <x:c r="S186" s="51" t="str">
        <x:v>https://routing.openstreetmap.de/routed-car/</x:v>
      </x:c>
    </x:row>
    <x:row r="187">
      <x:c r="A187" s="51" t="str">
        <x:v>A0183</x:v>
      </x:c>
      <x:c r="B187" s="51" t="str">
        <x:v>GD09</x:v>
      </x:c>
      <x:c r="C187" s="51" t="str">
        <x:v>source</x:v>
      </x:c>
      <x:c r="D187" s="51" t="str">
        <x:v>惠州</x:v>
      </x:c>
      <x:c r="E187" s="51" t="str">
        <x:v>C15</x:v>
      </x:c>
      <x:c r="F187" s="51" t="str">
        <x:v>collection</x:v>
      </x:c>
      <x:c r="G187" s="51" t="str">
        <x:v>湛江虚拟回收/检测中心</x:v>
      </x:c>
      <x:c r="H187" s="52" t="n">
        <x:v>558.1215185443488</x:v>
      </x:c>
      <x:c r="I187" s="52" t="n">
        <x:v>534.2900999999999</x:v>
      </x:c>
      <x:c r="J187" s="52" t="n">
        <x:v>361.60333333333335</x:v>
      </x:c>
      <x:c r="K187" s="52" t="n">
        <x:f>IFERROR(I187/H187,"")</x:f>
        <x:v>0.9573006634710947</x:v>
      </x:c>
      <x:c r="L187" s="52" t="n">
        <x:v>150</x:v>
      </x:c>
      <x:c r="M187" s="65" t="n">
        <x:f>IF(H187&lt;=L187,1,0)</x:f>
        <x:v>0</x:v>
      </x:c>
      <x:c r="N187" s="65" t="n">
        <x:f>IF(I187&lt;=L187,1,0)</x:f>
        <x:v>0</x:v>
      </x:c>
      <x:c r="O187" s="51" t="str">
        <x:f>IF(M187=N187,"不变",IF(N187=1,"由禁变允","由允变禁"))</x:f>
        <x:v>不变</x:v>
      </x:c>
      <x:c r="P187" s="51" t="str">
        <x:v>OSRM driving/car</x:v>
      </x:c>
      <x:c r="Q187" s="51" t="str">
        <x:v>2026-08-15</x:v>
      </x:c>
      <x:c r="R187" s="51" t="str">
        <x:v>C-开放路网计算；不是货车/危运合规路线</x:v>
      </x:c>
      <x:c r="S187" s="51" t="str">
        <x:v>https://routing.openstreetmap.de/routed-car/</x:v>
      </x:c>
    </x:row>
    <x:row r="188">
      <x:c r="A188" s="51" t="str">
        <x:v>A0184</x:v>
      </x:c>
      <x:c r="B188" s="51" t="str">
        <x:v>GD09</x:v>
      </x:c>
      <x:c r="C188" s="51" t="str">
        <x:v>source</x:v>
      </x:c>
      <x:c r="D188" s="51" t="str">
        <x:v>惠州</x:v>
      </x:c>
      <x:c r="E188" s="51" t="str">
        <x:v>C16</x:v>
      </x:c>
      <x:c r="F188" s="51" t="str">
        <x:v>collection</x:v>
      </x:c>
      <x:c r="G188" s="51" t="str">
        <x:v>茂名虚拟回收/检测中心</x:v>
      </x:c>
      <x:c r="H188" s="52" t="n">
        <x:v>472.0511550369907</x:v>
      </x:c>
      <x:c r="I188" s="52" t="n">
        <x:v>453.5408</x:v>
      </x:c>
      <x:c r="J188" s="52" t="n">
        <x:v>310.5183333333333</x:v>
      </x:c>
      <x:c r="K188" s="52" t="n">
        <x:f>IFERROR(I188/H188,"")</x:f>
        <x:v>0.9607873959432635</x:v>
      </x:c>
      <x:c r="L188" s="52" t="n">
        <x:v>150</x:v>
      </x:c>
      <x:c r="M188" s="65" t="n">
        <x:f>IF(H188&lt;=L188,1,0)</x:f>
        <x:v>0</x:v>
      </x:c>
      <x:c r="N188" s="65" t="n">
        <x:f>IF(I188&lt;=L188,1,0)</x:f>
        <x:v>0</x:v>
      </x:c>
      <x:c r="O188" s="51" t="str">
        <x:f>IF(M188=N188,"不变",IF(N188=1,"由禁变允","由允变禁"))</x:f>
        <x:v>不变</x:v>
      </x:c>
      <x:c r="P188" s="51" t="str">
        <x:v>OSRM driving/car</x:v>
      </x:c>
      <x:c r="Q188" s="51" t="str">
        <x:v>2026-08-15</x:v>
      </x:c>
      <x:c r="R188" s="51" t="str">
        <x:v>C-开放路网计算；不是货车/危运合规路线</x:v>
      </x:c>
      <x:c r="S188" s="51" t="str">
        <x:v>https://routing.openstreetmap.de/routed-car/</x:v>
      </x:c>
    </x:row>
    <x:row r="189">
      <x:c r="A189" s="51" t="str">
        <x:v>A0185</x:v>
      </x:c>
      <x:c r="B189" s="51" t="str">
        <x:v>GD09</x:v>
      </x:c>
      <x:c r="C189" s="51" t="str">
        <x:v>source</x:v>
      </x:c>
      <x:c r="D189" s="51" t="str">
        <x:v>惠州</x:v>
      </x:c>
      <x:c r="E189" s="51" t="str">
        <x:v>C17</x:v>
      </x:c>
      <x:c r="F189" s="51" t="str">
        <x:v>collection</x:v>
      </x:c>
      <x:c r="G189" s="51" t="str">
        <x:v>肇庆虚拟回收/检测中心</x:v>
      </x:c>
      <x:c r="H189" s="52" t="n">
        <x:v>239.7967570099756</x:v>
      </x:c>
      <x:c r="I189" s="52" t="n">
        <x:v>239.95479999999998</x:v>
      </x:c>
      <x:c r="J189" s="52" t="n">
        <x:v>171.13333333333333</x:v>
      </x:c>
      <x:c r="K189" s="52" t="n">
        <x:f>IFERROR(I189/H189,"")</x:f>
        <x:v>1.0006590705895901</x:v>
      </x:c>
      <x:c r="L189" s="52" t="n">
        <x:v>150</x:v>
      </x:c>
      <x:c r="M189" s="65" t="n">
        <x:f>IF(H189&lt;=L189,1,0)</x:f>
        <x:v>0</x:v>
      </x:c>
      <x:c r="N189" s="65" t="n">
        <x:f>IF(I189&lt;=L189,1,0)</x:f>
        <x:v>0</x:v>
      </x:c>
      <x:c r="O189" s="51" t="str">
        <x:f>IF(M189=N189,"不变",IF(N189=1,"由禁变允","由允变禁"))</x:f>
        <x:v>不变</x:v>
      </x:c>
      <x:c r="P189" s="51" t="str">
        <x:v>OSRM driving/car</x:v>
      </x:c>
      <x:c r="Q189" s="51" t="str">
        <x:v>2026-08-15</x:v>
      </x:c>
      <x:c r="R189" s="51" t="str">
        <x:v>C-开放路网计算；不是货车/危运合规路线</x:v>
      </x:c>
      <x:c r="S189" s="51" t="str">
        <x:v>https://routing.openstreetmap.de/routed-car/</x:v>
      </x:c>
    </x:row>
    <x:row r="190">
      <x:c r="A190" s="51" t="str">
        <x:v>A0186</x:v>
      </x:c>
      <x:c r="B190" s="51" t="str">
        <x:v>GD09</x:v>
      </x:c>
      <x:c r="C190" s="51" t="str">
        <x:v>source</x:v>
      </x:c>
      <x:c r="D190" s="51" t="str">
        <x:v>惠州</x:v>
      </x:c>
      <x:c r="E190" s="51" t="str">
        <x:v>C18</x:v>
      </x:c>
      <x:c r="F190" s="51" t="str">
        <x:v>collection</x:v>
      </x:c>
      <x:c r="G190" s="51" t="str">
        <x:v>清远虚拟回收/检测中心</x:v>
      </x:c>
      <x:c r="H190" s="52" t="n">
        <x:v>183.368389563571</x:v>
      </x:c>
      <x:c r="I190" s="52" t="n">
        <x:v>183.9218</x:v>
      </x:c>
      <x:c r="J190" s="52" t="n">
        <x:v>134.955</x:v>
      </x:c>
      <x:c r="K190" s="52" t="n">
        <x:f>IFERROR(I190/H190,"")</x:f>
        <x:v>1.0030180252863983</x:v>
      </x:c>
      <x:c r="L190" s="52" t="n">
        <x:v>150</x:v>
      </x:c>
      <x:c r="M190" s="65" t="n">
        <x:f>IF(H190&lt;=L190,1,0)</x:f>
        <x:v>0</x:v>
      </x:c>
      <x:c r="N190" s="65" t="n">
        <x:f>IF(I190&lt;=L190,1,0)</x:f>
        <x:v>0</x:v>
      </x:c>
      <x:c r="O190" s="51" t="str">
        <x:f>IF(M190=N190,"不变",IF(N190=1,"由禁变允","由允变禁"))</x:f>
        <x:v>不变</x:v>
      </x:c>
      <x:c r="P190" s="51" t="str">
        <x:v>OSRM driving/car</x:v>
      </x:c>
      <x:c r="Q190" s="51" t="str">
        <x:v>2026-08-15</x:v>
      </x:c>
      <x:c r="R190" s="51" t="str">
        <x:v>C-开放路网计算；不是货车/危运合规路线</x:v>
      </x:c>
      <x:c r="S190" s="51" t="str">
        <x:v>https://routing.openstreetmap.de/routed-car/</x:v>
      </x:c>
    </x:row>
    <x:row r="191">
      <x:c r="A191" s="51" t="str">
        <x:v>A0187</x:v>
      </x:c>
      <x:c r="B191" s="51" t="str">
        <x:v>GD09</x:v>
      </x:c>
      <x:c r="C191" s="51" t="str">
        <x:v>source</x:v>
      </x:c>
      <x:c r="D191" s="51" t="str">
        <x:v>惠州</x:v>
      </x:c>
      <x:c r="E191" s="51" t="str">
        <x:v>C19</x:v>
      </x:c>
      <x:c r="F191" s="51" t="str">
        <x:v>collection</x:v>
      </x:c>
      <x:c r="G191" s="51" t="str">
        <x:v>潮州虚拟回收/检测中心</x:v>
      </x:c>
      <x:c r="H191" s="52" t="n">
        <x:v>279.9607688576769</x:v>
      </x:c>
      <x:c r="I191" s="52" t="n">
        <x:v>281.7685</x:v>
      </x:c>
      <x:c r="J191" s="52" t="n">
        <x:v>200.89166666666668</x:v>
      </x:c>
      <x:c r="K191" s="52" t="n">
        <x:f>IFERROR(I191/H191,"")</x:f>
        <x:v>1.0064570873615586</x:v>
      </x:c>
      <x:c r="L191" s="52" t="n">
        <x:v>150</x:v>
      </x:c>
      <x:c r="M191" s="65" t="n">
        <x:f>IF(H191&lt;=L191,1,0)</x:f>
        <x:v>0</x:v>
      </x:c>
      <x:c r="N191" s="65" t="n">
        <x:f>IF(I191&lt;=L191,1,0)</x:f>
        <x:v>0</x:v>
      </x:c>
      <x:c r="O191" s="51" t="str">
        <x:f>IF(M191=N191,"不变",IF(N191=1,"由禁变允","由允变禁"))</x:f>
        <x:v>不变</x:v>
      </x:c>
      <x:c r="P191" s="51" t="str">
        <x:v>OSRM driving/car</x:v>
      </x:c>
      <x:c r="Q191" s="51" t="str">
        <x:v>2026-08-15</x:v>
      </x:c>
      <x:c r="R191" s="51" t="str">
        <x:v>C-开放路网计算；不是货车/危运合规路线</x:v>
      </x:c>
      <x:c r="S191" s="51" t="str">
        <x:v>https://routing.openstreetmap.de/routed-car/</x:v>
      </x:c>
    </x:row>
    <x:row r="192">
      <x:c r="A192" s="51" t="str">
        <x:v>A0188</x:v>
      </x:c>
      <x:c r="B192" s="51" t="str">
        <x:v>GD09</x:v>
      </x:c>
      <x:c r="C192" s="51" t="str">
        <x:v>source</x:v>
      </x:c>
      <x:c r="D192" s="51" t="str">
        <x:v>惠州</x:v>
      </x:c>
      <x:c r="E192" s="51" t="str">
        <x:v>C20</x:v>
      </x:c>
      <x:c r="F192" s="51" t="str">
        <x:v>collection</x:v>
      </x:c>
      <x:c r="G192" s="51" t="str">
        <x:v>揭阳虚拟回收/检测中心</x:v>
      </x:c>
      <x:c r="H192" s="52" t="n">
        <x:v>246.6776550795714</x:v>
      </x:c>
      <x:c r="I192" s="52" t="n">
        <x:v>248.8528</x:v>
      </x:c>
      <x:c r="J192" s="52" t="n">
        <x:v>182.87</x:v>
      </x:c>
      <x:c r="K192" s="52" t="n">
        <x:f>IFERROR(I192/H192,"")</x:f>
        <x:v>1.0088177622724968</x:v>
      </x:c>
      <x:c r="L192" s="52" t="n">
        <x:v>150</x:v>
      </x:c>
      <x:c r="M192" s="65" t="n">
        <x:f>IF(H192&lt;=L192,1,0)</x:f>
        <x:v>0</x:v>
      </x:c>
      <x:c r="N192" s="65" t="n">
        <x:f>IF(I192&lt;=L192,1,0)</x:f>
        <x:v>0</x:v>
      </x:c>
      <x:c r="O192" s="51" t="str">
        <x:f>IF(M192=N192,"不变",IF(N192=1,"由禁变允","由允变禁"))</x:f>
        <x:v>不变</x:v>
      </x:c>
      <x:c r="P192" s="51" t="str">
        <x:v>OSRM driving/car</x:v>
      </x:c>
      <x:c r="Q192" s="51" t="str">
        <x:v>2026-08-15</x:v>
      </x:c>
      <x:c r="R192" s="51" t="str">
        <x:v>C-开放路网计算；不是货车/危运合规路线</x:v>
      </x:c>
      <x:c r="S192" s="51" t="str">
        <x:v>https://routing.openstreetmap.de/routed-car/</x:v>
      </x:c>
    </x:row>
    <x:row r="193">
      <x:c r="A193" s="51" t="str">
        <x:v>A0189</x:v>
      </x:c>
      <x:c r="B193" s="51" t="str">
        <x:v>GD09</x:v>
      </x:c>
      <x:c r="C193" s="51" t="str">
        <x:v>source</x:v>
      </x:c>
      <x:c r="D193" s="51" t="str">
        <x:v>惠州</x:v>
      </x:c>
      <x:c r="E193" s="51" t="str">
        <x:v>C21</x:v>
      </x:c>
      <x:c r="F193" s="51" t="str">
        <x:v>collection</x:v>
      </x:c>
      <x:c r="G193" s="51" t="str">
        <x:v>云浮虚拟回收/检测中心</x:v>
      </x:c>
      <x:c r="H193" s="52" t="n">
        <x:v>321.82250195374496</x:v>
      </x:c>
      <x:c r="I193" s="52" t="n">
        <x:v>326.8261</x:v>
      </x:c>
      <x:c r="J193" s="52" t="n">
        <x:v>225.31</x:v>
      </x:c>
      <x:c r="K193" s="52" t="n">
        <x:f>IFERROR(I193/H193,"")</x:f>
        <x:v>1.0155476948189726</x:v>
      </x:c>
      <x:c r="L193" s="52" t="n">
        <x:v>150</x:v>
      </x:c>
      <x:c r="M193" s="65" t="n">
        <x:f>IF(H193&lt;=L193,1,0)</x:f>
        <x:v>0</x:v>
      </x:c>
      <x:c r="N193" s="65" t="n">
        <x:f>IF(I193&lt;=L193,1,0)</x:f>
        <x:v>0</x:v>
      </x:c>
      <x:c r="O193" s="51" t="str">
        <x:f>IF(M193=N193,"不变",IF(N193=1,"由禁变允","由允变禁"))</x:f>
        <x:v>不变</x:v>
      </x:c>
      <x:c r="P193" s="51" t="str">
        <x:v>OSRM driving/car</x:v>
      </x:c>
      <x:c r="Q193" s="51" t="str">
        <x:v>2026-08-15</x:v>
      </x:c>
      <x:c r="R193" s="51" t="str">
        <x:v>C-开放路网计算；不是货车/危运合规路线</x:v>
      </x:c>
      <x:c r="S193" s="51" t="str">
        <x:v>https://routing.openstreetmap.de/routed-car/</x:v>
      </x:c>
    </x:row>
    <x:row r="194">
      <x:c r="A194" s="51" t="str">
        <x:v>A0190</x:v>
      </x:c>
      <x:c r="B194" s="51" t="str">
        <x:v>GD10</x:v>
      </x:c>
      <x:c r="C194" s="51" t="str">
        <x:v>source</x:v>
      </x:c>
      <x:c r="D194" s="51" t="str">
        <x:v>汕尾</x:v>
      </x:c>
      <x:c r="E194" s="51" t="str">
        <x:v>C01</x:v>
      </x:c>
      <x:c r="F194" s="51" t="str">
        <x:v>collection</x:v>
      </x:c>
      <x:c r="G194" s="51" t="str">
        <x:v>广州虚拟回收/检测中心</x:v>
      </x:c>
      <x:c r="H194" s="52" t="n">
        <x:v>276.7760629013141</x:v>
      </x:c>
      <x:c r="I194" s="52" t="n">
        <x:v>269.1208</x:v>
      </x:c>
      <x:c r="J194" s="52" t="n">
        <x:v>192.77833333333334</x:v>
      </x:c>
      <x:c r="K194" s="52" t="n">
        <x:f>IFERROR(I194/H194,"")</x:f>
        <x:v>0.9723413115243147</x:v>
      </x:c>
      <x:c r="L194" s="52" t="n">
        <x:v>150</x:v>
      </x:c>
      <x:c r="M194" s="65" t="n">
        <x:f>IF(H194&lt;=L194,1,0)</x:f>
        <x:v>0</x:v>
      </x:c>
      <x:c r="N194" s="65" t="n">
        <x:f>IF(I194&lt;=L194,1,0)</x:f>
        <x:v>0</x:v>
      </x:c>
      <x:c r="O194" s="51" t="str">
        <x:f>IF(M194=N194,"不变",IF(N194=1,"由禁变允","由允变禁"))</x:f>
        <x:v>不变</x:v>
      </x:c>
      <x:c r="P194" s="51" t="str">
        <x:v>OSRM driving/car</x:v>
      </x:c>
      <x:c r="Q194" s="51" t="str">
        <x:v>2026-08-15</x:v>
      </x:c>
      <x:c r="R194" s="51" t="str">
        <x:v>C-开放路网计算；不是货车/危运合规路线</x:v>
      </x:c>
      <x:c r="S194" s="51" t="str">
        <x:v>https://routing.openstreetmap.de/routed-car/</x:v>
      </x:c>
    </x:row>
    <x:row r="195">
      <x:c r="A195" s="51" t="str">
        <x:v>A0191</x:v>
      </x:c>
      <x:c r="B195" s="51" t="str">
        <x:v>GD10</x:v>
      </x:c>
      <x:c r="C195" s="51" t="str">
        <x:v>source</x:v>
      </x:c>
      <x:c r="D195" s="51" t="str">
        <x:v>汕尾</x:v>
      </x:c>
      <x:c r="E195" s="51" t="str">
        <x:v>C02</x:v>
      </x:c>
      <x:c r="F195" s="51" t="str">
        <x:v>collection</x:v>
      </x:c>
      <x:c r="G195" s="51" t="str">
        <x:v>深圳虚拟回收/检测中心</x:v>
      </x:c>
      <x:c r="H195" s="52" t="n">
        <x:v>189.62625214547197</x:v>
      </x:c>
      <x:c r="I195" s="52" t="n">
        <x:v>188.0076</x:v>
      </x:c>
      <x:c r="J195" s="52" t="n">
        <x:v>143.29833333333332</x:v>
      </x:c>
      <x:c r="K195" s="52" t="n">
        <x:f>IFERROR(I195/H195,"")</x:f>
        <x:v>0.9914639870420989</x:v>
      </x:c>
      <x:c r="L195" s="52" t="n">
        <x:v>150</x:v>
      </x:c>
      <x:c r="M195" s="65" t="n">
        <x:f>IF(H195&lt;=L195,1,0)</x:f>
        <x:v>0</x:v>
      </x:c>
      <x:c r="N195" s="65" t="n">
        <x:f>IF(I195&lt;=L195,1,0)</x:f>
        <x:v>0</x:v>
      </x:c>
      <x:c r="O195" s="51" t="str">
        <x:f>IF(M195=N195,"不变",IF(N195=1,"由禁变允","由允变禁"))</x:f>
        <x:v>不变</x:v>
      </x:c>
      <x:c r="P195" s="51" t="str">
        <x:v>OSRM driving/car</x:v>
      </x:c>
      <x:c r="Q195" s="51" t="str">
        <x:v>2026-08-15</x:v>
      </x:c>
      <x:c r="R195" s="51" t="str">
        <x:v>C-开放路网计算；不是货车/危运合规路线</x:v>
      </x:c>
      <x:c r="S195" s="51" t="str">
        <x:v>https://routing.openstreetmap.de/routed-car/</x:v>
      </x:c>
    </x:row>
    <x:row r="196">
      <x:c r="A196" s="51" t="str">
        <x:v>A0192</x:v>
      </x:c>
      <x:c r="B196" s="51" t="str">
        <x:v>GD10</x:v>
      </x:c>
      <x:c r="C196" s="51" t="str">
        <x:v>source</x:v>
      </x:c>
      <x:c r="D196" s="51" t="str">
        <x:v>汕尾</x:v>
      </x:c>
      <x:c r="E196" s="51" t="str">
        <x:v>C03</x:v>
      </x:c>
      <x:c r="F196" s="51" t="str">
        <x:v>collection</x:v>
      </x:c>
      <x:c r="G196" s="51" t="str">
        <x:v>珠海虚拟回收/检测中心</x:v>
      </x:c>
      <x:c r="H196" s="52" t="n">
        <x:v>258.19268317474746</x:v>
      </x:c>
      <x:c r="I196" s="52" t="n">
        <x:v>299.0451</x:v>
      </x:c>
      <x:c r="J196" s="52" t="n">
        <x:v>221.31</x:v>
      </x:c>
      <x:c r="K196" s="52" t="n">
        <x:f>IFERROR(I196/H196,"")</x:f>
        <x:v>1.158224533410202</x:v>
      </x:c>
      <x:c r="L196" s="52" t="n">
        <x:v>150</x:v>
      </x:c>
      <x:c r="M196" s="65" t="n">
        <x:f>IF(H196&lt;=L196,1,0)</x:f>
        <x:v>0</x:v>
      </x:c>
      <x:c r="N196" s="65" t="n">
        <x:f>IF(I196&lt;=L196,1,0)</x:f>
        <x:v>0</x:v>
      </x:c>
      <x:c r="O196" s="51" t="str">
        <x:f>IF(M196=N196,"不变",IF(N196=1,"由禁变允","由允变禁"))</x:f>
        <x:v>不变</x:v>
      </x:c>
      <x:c r="P196" s="51" t="str">
        <x:v>OSRM driving/car</x:v>
      </x:c>
      <x:c r="Q196" s="51" t="str">
        <x:v>2026-08-15</x:v>
      </x:c>
      <x:c r="R196" s="51" t="str">
        <x:v>C-开放路网计算；不是货车/危运合规路线</x:v>
      </x:c>
      <x:c r="S196" s="51" t="str">
        <x:v>https://routing.openstreetmap.de/routed-car/</x:v>
      </x:c>
    </x:row>
    <x:row r="197">
      <x:c r="A197" s="51" t="str">
        <x:v>A0193</x:v>
      </x:c>
      <x:c r="B197" s="51" t="str">
        <x:v>GD10</x:v>
      </x:c>
      <x:c r="C197" s="51" t="str">
        <x:v>source</x:v>
      </x:c>
      <x:c r="D197" s="51" t="str">
        <x:v>汕尾</x:v>
      </x:c>
      <x:c r="E197" s="51" t="str">
        <x:v>C04</x:v>
      </x:c>
      <x:c r="F197" s="51" t="str">
        <x:v>collection</x:v>
      </x:c>
      <x:c r="G197" s="51" t="str">
        <x:v>汕头虚拟回收/检测中心</x:v>
      </x:c>
      <x:c r="H197" s="52" t="n">
        <x:v>150.39117711768017</x:v>
      </x:c>
      <x:c r="I197" s="52" t="n">
        <x:v>165.9512</x:v>
      </x:c>
      <x:c r="J197" s="52" t="n">
        <x:v>128.4</x:v>
      </x:c>
      <x:c r="K197" s="52" t="n">
        <x:f>IFERROR(I197/H197,"")</x:f>
        <x:v>1.103463668418156</x:v>
      </x:c>
      <x:c r="L197" s="52" t="n">
        <x:v>150</x:v>
      </x:c>
      <x:c r="M197" s="65" t="n">
        <x:f>IF(H197&lt;=L197,1,0)</x:f>
        <x:v>0</x:v>
      </x:c>
      <x:c r="N197" s="65" t="n">
        <x:f>IF(I197&lt;=L197,1,0)</x:f>
        <x:v>0</x:v>
      </x:c>
      <x:c r="O197" s="51" t="str">
        <x:f>IF(M197=N197,"不变",IF(N197=1,"由禁变允","由允变禁"))</x:f>
        <x:v>不变</x:v>
      </x:c>
      <x:c r="P197" s="51" t="str">
        <x:v>OSRM driving/car</x:v>
      </x:c>
      <x:c r="Q197" s="51" t="str">
        <x:v>2026-08-15</x:v>
      </x:c>
      <x:c r="R197" s="51" t="str">
        <x:v>C-开放路网计算；不是货车/危运合规路线</x:v>
      </x:c>
      <x:c r="S197" s="51" t="str">
        <x:v>https://routing.openstreetmap.de/routed-car/</x:v>
      </x:c>
    </x:row>
    <x:row r="198">
      <x:c r="A198" s="51" t="str">
        <x:v>A0194</x:v>
      </x:c>
      <x:c r="B198" s="51" t="str">
        <x:v>GD10</x:v>
      </x:c>
      <x:c r="C198" s="51" t="str">
        <x:v>source</x:v>
      </x:c>
      <x:c r="D198" s="51" t="str">
        <x:v>汕尾</x:v>
      </x:c>
      <x:c r="E198" s="51" t="str">
        <x:v>C05</x:v>
      </x:c>
      <x:c r="F198" s="51" t="str">
        <x:v>collection</x:v>
      </x:c>
      <x:c r="G198" s="51" t="str">
        <x:v>佛山虚拟回收/检测中心</x:v>
      </x:c>
      <x:c r="H198" s="52" t="n">
        <x:v>294.0126610717624</x:v>
      </x:c>
      <x:c r="I198" s="52" t="n">
        <x:v>285.35409999999996</x:v>
      </x:c>
      <x:c r="J198" s="52" t="n">
        <x:v>206.15333333333334</x:v>
      </x:c>
      <x:c r="K198" s="52" t="n">
        <x:f>IFERROR(I198/H198,"")</x:f>
        <x:v>0.9705503802448525</x:v>
      </x:c>
      <x:c r="L198" s="52" t="n">
        <x:v>150</x:v>
      </x:c>
      <x:c r="M198" s="65" t="n">
        <x:f>IF(H198&lt;=L198,1,0)</x:f>
        <x:v>0</x:v>
      </x:c>
      <x:c r="N198" s="65" t="n">
        <x:f>IF(I198&lt;=L198,1,0)</x:f>
        <x:v>0</x:v>
      </x:c>
      <x:c r="O198" s="51" t="str">
        <x:f>IF(M198=N198,"不变",IF(N198=1,"由禁变允","由允变禁"))</x:f>
        <x:v>不变</x:v>
      </x:c>
      <x:c r="P198" s="51" t="str">
        <x:v>OSRM driving/car</x:v>
      </x:c>
      <x:c r="Q198" s="51" t="str">
        <x:v>2026-08-15</x:v>
      </x:c>
      <x:c r="R198" s="51" t="str">
        <x:v>C-开放路网计算；不是货车/危运合规路线</x:v>
      </x:c>
      <x:c r="S198" s="51" t="str">
        <x:v>https://routing.openstreetmap.de/routed-car/</x:v>
      </x:c>
    </x:row>
    <x:row r="199">
      <x:c r="A199" s="51" t="str">
        <x:v>A0195</x:v>
      </x:c>
      <x:c r="B199" s="51" t="str">
        <x:v>GD10</x:v>
      </x:c>
      <x:c r="C199" s="51" t="str">
        <x:v>source</x:v>
      </x:c>
      <x:c r="D199" s="51" t="str">
        <x:v>汕尾</x:v>
      </x:c>
      <x:c r="E199" s="51" t="str">
        <x:v>C06</x:v>
      </x:c>
      <x:c r="F199" s="51" t="str">
        <x:v>collection</x:v>
      </x:c>
      <x:c r="G199" s="51" t="str">
        <x:v>韶关虚拟回收/检测中心</x:v>
      </x:c>
      <x:c r="H199" s="52" t="n">
        <x:v>318.73774688823676</x:v>
      </x:c>
      <x:c r="I199" s="52" t="n">
        <x:v>377.7248</x:v>
      </x:c>
      <x:c r="J199" s="52" t="n">
        <x:v>278.22833333333335</x:v>
      </x:c>
      <x:c r="K199" s="52" t="n">
        <x:f>IFERROR(I199/H199,"")</x:f>
        <x:v>1.1850645356178873</x:v>
      </x:c>
      <x:c r="L199" s="52" t="n">
        <x:v>150</x:v>
      </x:c>
      <x:c r="M199" s="65" t="n">
        <x:f>IF(H199&lt;=L199,1,0)</x:f>
        <x:v>0</x:v>
      </x:c>
      <x:c r="N199" s="65" t="n">
        <x:f>IF(I199&lt;=L199,1,0)</x:f>
        <x:v>0</x:v>
      </x:c>
      <x:c r="O199" s="51" t="str">
        <x:f>IF(M199=N199,"不变",IF(N199=1,"由禁变允","由允变禁"))</x:f>
        <x:v>不变</x:v>
      </x:c>
      <x:c r="P199" s="51" t="str">
        <x:v>OSRM driving/car</x:v>
      </x:c>
      <x:c r="Q199" s="51" t="str">
        <x:v>2026-08-15</x:v>
      </x:c>
      <x:c r="R199" s="51" t="str">
        <x:v>C-开放路网计算；不是货车/危运合规路线</x:v>
      </x:c>
      <x:c r="S199" s="51" t="str">
        <x:v>https://routing.openstreetmap.de/routed-car/</x:v>
      </x:c>
    </x:row>
    <x:row r="200">
      <x:c r="A200" s="51" t="str">
        <x:v>A0196</x:v>
      </x:c>
      <x:c r="B200" s="51" t="str">
        <x:v>GD10</x:v>
      </x:c>
      <x:c r="C200" s="51" t="str">
        <x:v>source</x:v>
      </x:c>
      <x:c r="D200" s="51" t="str">
        <x:v>汕尾</x:v>
      </x:c>
      <x:c r="E200" s="51" t="str">
        <x:v>C07</x:v>
      </x:c>
      <x:c r="F200" s="51" t="str">
        <x:v>collection</x:v>
      </x:c>
      <x:c r="G200" s="51" t="str">
        <x:v>河源虚拟回收/检测中心</x:v>
      </x:c>
      <x:c r="H200" s="52" t="n">
        <x:v>155.4955738550505</x:v>
      </x:c>
      <x:c r="I200" s="52" t="n">
        <x:v>212.8117</x:v>
      </x:c>
      <x:c r="J200" s="52" t="n">
        <x:v>176.78333333333333</x:v>
      </x:c>
      <x:c r="K200" s="52" t="n">
        <x:f>IFERROR(I200/H200,"")</x:f>
        <x:v>1.3686029429903792</x:v>
      </x:c>
      <x:c r="L200" s="52" t="n">
        <x:v>150</x:v>
      </x:c>
      <x:c r="M200" s="65" t="n">
        <x:f>IF(H200&lt;=L200,1,0)</x:f>
        <x:v>0</x:v>
      </x:c>
      <x:c r="N200" s="65" t="n">
        <x:f>IF(I200&lt;=L200,1,0)</x:f>
        <x:v>0</x:v>
      </x:c>
      <x:c r="O200" s="51" t="str">
        <x:f>IF(M200=N200,"不变",IF(N200=1,"由禁变允","由允变禁"))</x:f>
        <x:v>不变</x:v>
      </x:c>
      <x:c r="P200" s="51" t="str">
        <x:v>OSRM driving/car</x:v>
      </x:c>
      <x:c r="Q200" s="51" t="str">
        <x:v>2026-08-15</x:v>
      </x:c>
      <x:c r="R200" s="51" t="str">
        <x:v>C-开放路网计算；不是货车/危运合规路线</x:v>
      </x:c>
      <x:c r="S200" s="51" t="str">
        <x:v>https://routing.openstreetmap.de/routed-car/</x:v>
      </x:c>
    </x:row>
    <x:row r="201">
      <x:c r="A201" s="51" t="str">
        <x:v>A0197</x:v>
      </x:c>
      <x:c r="B201" s="51" t="str">
        <x:v>GD10</x:v>
      </x:c>
      <x:c r="C201" s="51" t="str">
        <x:v>source</x:v>
      </x:c>
      <x:c r="D201" s="51" t="str">
        <x:v>汕尾</x:v>
      </x:c>
      <x:c r="E201" s="51" t="str">
        <x:v>C08</x:v>
      </x:c>
      <x:c r="F201" s="51" t="str">
        <x:v>collection</x:v>
      </x:c>
      <x:c r="G201" s="51" t="str">
        <x:v>梅州虚拟回收/检测中心</x:v>
      </x:c>
      <x:c r="H201" s="52" t="n">
        <x:v>186.1554692104985</x:v>
      </x:c>
      <x:c r="I201" s="52" t="n">
        <x:v>184.214</x:v>
      </x:c>
      <x:c r="J201" s="52" t="n">
        <x:v>138.21</x:v>
      </x:c>
      <x:c r="K201" s="52" t="n">
        <x:f>IFERROR(I201/H201,"")</x:f>
        <x:v>0.9895707108755255</x:v>
      </x:c>
      <x:c r="L201" s="52" t="n">
        <x:v>150</x:v>
      </x:c>
      <x:c r="M201" s="65" t="n">
        <x:f>IF(H201&lt;=L201,1,0)</x:f>
        <x:v>0</x:v>
      </x:c>
      <x:c r="N201" s="65" t="n">
        <x:f>IF(I201&lt;=L201,1,0)</x:f>
        <x:v>0</x:v>
      </x:c>
      <x:c r="O201" s="51" t="str">
        <x:f>IF(M201=N201,"不变",IF(N201=1,"由禁变允","由允变禁"))</x:f>
        <x:v>不变</x:v>
      </x:c>
      <x:c r="P201" s="51" t="str">
        <x:v>OSRM driving/car</x:v>
      </x:c>
      <x:c r="Q201" s="51" t="str">
        <x:v>2026-08-15</x:v>
      </x:c>
      <x:c r="R201" s="51" t="str">
        <x:v>C-开放路网计算；不是货车/危运合规路线</x:v>
      </x:c>
      <x:c r="S201" s="51" t="str">
        <x:v>https://routing.openstreetmap.de/routed-car/</x:v>
      </x:c>
    </x:row>
    <x:row r="202">
      <x:c r="A202" s="51" t="str">
        <x:v>A0198</x:v>
      </x:c>
      <x:c r="B202" s="51" t="str">
        <x:v>GD10</x:v>
      </x:c>
      <x:c r="C202" s="51" t="str">
        <x:v>source</x:v>
      </x:c>
      <x:c r="D202" s="51" t="str">
        <x:v>汕尾</x:v>
      </x:c>
      <x:c r="E202" s="51" t="str">
        <x:v>C09</x:v>
      </x:c>
      <x:c r="F202" s="51" t="str">
        <x:v>collection</x:v>
      </x:c>
      <x:c r="G202" s="51" t="str">
        <x:v>惠州虚拟回收/检测中心</x:v>
      </x:c>
      <x:c r="H202" s="52" t="n">
        <x:v>135.3751705679002</x:v>
      </x:c>
      <x:c r="I202" s="52" t="n">
        <x:v>131.9282</x:v>
      </x:c>
      <x:c r="J202" s="52" t="n">
        <x:v>107.83166666666666</x:v>
      </x:c>
      <x:c r="K202" s="52" t="n">
        <x:f>IFERROR(I202/H202,"")</x:f>
        <x:v>0.9745376456152179</x:v>
      </x:c>
      <x:c r="L202" s="52" t="n">
        <x:v>150</x:v>
      </x:c>
      <x:c r="M202" s="65" t="n">
        <x:f>IF(H202&lt;=L202,1,0)</x:f>
        <x:v>1</x:v>
      </x:c>
      <x:c r="N202" s="65" t="n">
        <x:f>IF(I202&lt;=L202,1,0)</x:f>
        <x:v>1</x:v>
      </x:c>
      <x:c r="O202" s="51" t="str">
        <x:f>IF(M202=N202,"不变",IF(N202=1,"由禁变允","由允变禁"))</x:f>
        <x:v>不变</x:v>
      </x:c>
      <x:c r="P202" s="51" t="str">
        <x:v>OSRM driving/car</x:v>
      </x:c>
      <x:c r="Q202" s="51" t="str">
        <x:v>2026-08-15</x:v>
      </x:c>
      <x:c r="R202" s="51" t="str">
        <x:v>C-开放路网计算；不是货车/危运合规路线</x:v>
      </x:c>
      <x:c r="S202" s="51" t="str">
        <x:v>https://routing.openstreetmap.de/routed-car/</x:v>
      </x:c>
    </x:row>
    <x:row r="203">
      <x:c r="A203" s="51" t="str">
        <x:v>A0199</x:v>
      </x:c>
      <x:c r="B203" s="51" t="str">
        <x:v>GD10</x:v>
      </x:c>
      <x:c r="C203" s="51" t="str">
        <x:v>source</x:v>
      </x:c>
      <x:c r="D203" s="51" t="str">
        <x:v>汕尾</x:v>
      </x:c>
      <x:c r="E203" s="51" t="str">
        <x:v>C10</x:v>
      </x:c>
      <x:c r="F203" s="51" t="str">
        <x:v>collection</x:v>
      </x:c>
      <x:c r="G203" s="51" t="str">
        <x:v>汕尾虚拟回收/检测中心</x:v>
      </x:c>
      <x:c r="H203" s="52" t="n">
        <x:v>0</x:v>
      </x:c>
      <x:c r="I203" s="52" t="n">
        <x:v>0</x:v>
      </x:c>
      <x:c r="J203" s="52" t="n">
        <x:v>0</x:v>
      </x:c>
      <x:c r="K203" s="52" t="str">
        <x:f>IFERROR(I203/H203,"")</x:f>
      </x:c>
      <x:c r="L203" s="52" t="n">
        <x:v>150</x:v>
      </x:c>
      <x:c r="M203" s="65" t="n">
        <x:f>IF(H203&lt;=L203,1,0)</x:f>
        <x:v>1</x:v>
      </x:c>
      <x:c r="N203" s="65" t="n">
        <x:f>IF(I203&lt;=L203,1,0)</x:f>
        <x:v>1</x:v>
      </x:c>
      <x:c r="O203" s="51" t="str">
        <x:f>IF(M203=N203,"不变",IF(N203=1,"由禁变允","由允变禁"))</x:f>
        <x:v>不变</x:v>
      </x:c>
      <x:c r="P203" s="51" t="str">
        <x:v>OSRM driving/car</x:v>
      </x:c>
      <x:c r="Q203" s="51" t="str">
        <x:v>2026-08-15</x:v>
      </x:c>
      <x:c r="R203" s="51" t="str">
        <x:v>C-开放路网计算；不是货车/危运合规路线</x:v>
      </x:c>
      <x:c r="S203" s="51" t="str">
        <x:v>https://routing.openstreetmap.de/routed-car/</x:v>
      </x:c>
    </x:row>
    <x:row r="204">
      <x:c r="A204" s="51" t="str">
        <x:v>A0200</x:v>
      </x:c>
      <x:c r="B204" s="51" t="str">
        <x:v>GD10</x:v>
      </x:c>
      <x:c r="C204" s="51" t="str">
        <x:v>source</x:v>
      </x:c>
      <x:c r="D204" s="51" t="str">
        <x:v>汕尾</x:v>
      </x:c>
      <x:c r="E204" s="51" t="str">
        <x:v>C11</x:v>
      </x:c>
      <x:c r="F204" s="51" t="str">
        <x:v>collection</x:v>
      </x:c>
      <x:c r="G204" s="51" t="str">
        <x:v>东莞虚拟回收/检测中心</x:v>
      </x:c>
      <x:c r="H204" s="52" t="n">
        <x:v>216.7349587353549</x:v>
      </x:c>
      <x:c r="I204" s="52" t="n">
        <x:v>207.5934</x:v>
      </x:c>
      <x:c r="J204" s="52" t="n">
        <x:v>150.48833333333332</x:v>
      </x:c>
      <x:c r="K204" s="52" t="n">
        <x:f>IFERROR(I204/H204,"")</x:f>
        <x:v>0.9578214848739873</x:v>
      </x:c>
      <x:c r="L204" s="52" t="n">
        <x:v>150</x:v>
      </x:c>
      <x:c r="M204" s="65" t="n">
        <x:f>IF(H204&lt;=L204,1,0)</x:f>
        <x:v>0</x:v>
      </x:c>
      <x:c r="N204" s="65" t="n">
        <x:f>IF(I204&lt;=L204,1,0)</x:f>
        <x:v>0</x:v>
      </x:c>
      <x:c r="O204" s="51" t="str">
        <x:f>IF(M204=N204,"不变",IF(N204=1,"由禁变允","由允变禁"))</x:f>
        <x:v>不变</x:v>
      </x:c>
      <x:c r="P204" s="51" t="str">
        <x:v>OSRM driving/car</x:v>
      </x:c>
      <x:c r="Q204" s="51" t="str">
        <x:v>2026-08-15</x:v>
      </x:c>
      <x:c r="R204" s="51" t="str">
        <x:v>C-开放路网计算；不是货车/危运合规路线</x:v>
      </x:c>
      <x:c r="S204" s="51" t="str">
        <x:v>https://routing.openstreetmap.de/routed-car/</x:v>
      </x:c>
    </x:row>
    <x:row r="205">
      <x:c r="A205" s="51" t="str">
        <x:v>A0201</x:v>
      </x:c>
      <x:c r="B205" s="51" t="str">
        <x:v>GD10</x:v>
      </x:c>
      <x:c r="C205" s="51" t="str">
        <x:v>source</x:v>
      </x:c>
      <x:c r="D205" s="51" t="str">
        <x:v>汕尾</x:v>
      </x:c>
      <x:c r="E205" s="51" t="str">
        <x:v>C12</x:v>
      </x:c>
      <x:c r="F205" s="51" t="str">
        <x:v>collection</x:v>
      </x:c>
      <x:c r="G205" s="51" t="str">
        <x:v>中山虚拟回收/检测中心</x:v>
      </x:c>
      <x:c r="H205" s="52" t="n">
        <x:v>269.3238430803518</x:v>
      </x:c>
      <x:c r="I205" s="52" t="n">
        <x:v>265.39779999999996</x:v>
      </x:c>
      <x:c r="J205" s="52" t="n">
        <x:v>197.47833333333335</x:v>
      </x:c>
      <x:c r="K205" s="52" t="n">
        <x:f>IFERROR(I205/H205,"")</x:f>
        <x:v>0.9854225937241637</x:v>
      </x:c>
      <x:c r="L205" s="52" t="n">
        <x:v>150</x:v>
      </x:c>
      <x:c r="M205" s="65" t="n">
        <x:f>IF(H205&lt;=L205,1,0)</x:f>
        <x:v>0</x:v>
      </x:c>
      <x:c r="N205" s="65" t="n">
        <x:f>IF(I205&lt;=L205,1,0)</x:f>
        <x:v>0</x:v>
      </x:c>
      <x:c r="O205" s="51" t="str">
        <x:f>IF(M205=N205,"不变",IF(N205=1,"由禁变允","由允变禁"))</x:f>
        <x:v>不变</x:v>
      </x:c>
      <x:c r="P205" s="51" t="str">
        <x:v>OSRM driving/car</x:v>
      </x:c>
      <x:c r="Q205" s="51" t="str">
        <x:v>2026-08-15</x:v>
      </x:c>
      <x:c r="R205" s="51" t="str">
        <x:v>C-开放路网计算；不是货车/危运合规路线</x:v>
      </x:c>
      <x:c r="S205" s="51" t="str">
        <x:v>https://routing.openstreetmap.de/routed-car/</x:v>
      </x:c>
    </x:row>
    <x:row r="206">
      <x:c r="A206" s="51" t="str">
        <x:v>A0202</x:v>
      </x:c>
      <x:c r="B206" s="51" t="str">
        <x:v>GD10</x:v>
      </x:c>
      <x:c r="C206" s="51" t="str">
        <x:v>source</x:v>
      </x:c>
      <x:c r="D206" s="51" t="str">
        <x:v>汕尾</x:v>
      </x:c>
      <x:c r="E206" s="51" t="str">
        <x:v>C13</x:v>
      </x:c>
      <x:c r="F206" s="51" t="str">
        <x:v>collection</x:v>
      </x:c>
      <x:c r="G206" s="51" t="str">
        <x:v>江门虚拟回收/检测中心</x:v>
      </x:c>
      <x:c r="H206" s="52" t="n">
        <x:v>304.8551803783433</x:v>
      </x:c>
      <x:c r="I206" s="52" t="n">
        <x:v>298.5161</x:v>
      </x:c>
      <x:c r="J206" s="52" t="n">
        <x:v>220.03833333333333</x:v>
      </x:c>
      <x:c r="K206" s="52" t="n">
        <x:f>IFERROR(I206/H206,"")</x:f>
        <x:v>0.9792062566544675</x:v>
      </x:c>
      <x:c r="L206" s="52" t="n">
        <x:v>150</x:v>
      </x:c>
      <x:c r="M206" s="65" t="n">
        <x:f>IF(H206&lt;=L206,1,0)</x:f>
        <x:v>0</x:v>
      </x:c>
      <x:c r="N206" s="65" t="n">
        <x:f>IF(I206&lt;=L206,1,0)</x:f>
        <x:v>0</x:v>
      </x:c>
      <x:c r="O206" s="51" t="str">
        <x:f>IF(M206=N206,"不变",IF(N206=1,"由禁变允","由允变禁"))</x:f>
        <x:v>不变</x:v>
      </x:c>
      <x:c r="P206" s="51" t="str">
        <x:v>OSRM driving/car</x:v>
      </x:c>
      <x:c r="Q206" s="51" t="str">
        <x:v>2026-08-15</x:v>
      </x:c>
      <x:c r="R206" s="51" t="str">
        <x:v>C-开放路网计算；不是货车/危运合规路线</x:v>
      </x:c>
      <x:c r="S206" s="51" t="str">
        <x:v>https://routing.openstreetmap.de/routed-car/</x:v>
      </x:c>
    </x:row>
    <x:row r="207">
      <x:c r="A207" s="51" t="str">
        <x:v>A0203</x:v>
      </x:c>
      <x:c r="B207" s="51" t="str">
        <x:v>GD10</x:v>
      </x:c>
      <x:c r="C207" s="51" t="str">
        <x:v>source</x:v>
      </x:c>
      <x:c r="D207" s="51" t="str">
        <x:v>汕尾</x:v>
      </x:c>
      <x:c r="E207" s="51" t="str">
        <x:v>C14</x:v>
      </x:c>
      <x:c r="F207" s="51" t="str">
        <x:v>collection</x:v>
      </x:c>
      <x:c r="G207" s="51" t="str">
        <x:v>阳江虚拟回收/检测中心</x:v>
      </x:c>
      <x:c r="H207" s="52" t="n">
        <x:v>475.24115449069046</x:v>
      </x:c>
      <x:c r="I207" s="52" t="n">
        <x:v>485.7015</x:v>
      </x:c>
      <x:c r="J207" s="52" t="n">
        <x:v>332.12333333333333</x:v>
      </x:c>
      <x:c r="K207" s="52" t="n">
        <x:f>IFERROR(I207/H207,"")</x:f>
        <x:v>1.022010605374696</x:v>
      </x:c>
      <x:c r="L207" s="52" t="n">
        <x:v>150</x:v>
      </x:c>
      <x:c r="M207" s="65" t="n">
        <x:f>IF(H207&lt;=L207,1,0)</x:f>
        <x:v>0</x:v>
      </x:c>
      <x:c r="N207" s="65" t="n">
        <x:f>IF(I207&lt;=L207,1,0)</x:f>
        <x:v>0</x:v>
      </x:c>
      <x:c r="O207" s="51" t="str">
        <x:f>IF(M207=N207,"不变",IF(N207=1,"由禁变允","由允变禁"))</x:f>
        <x:v>不变</x:v>
      </x:c>
      <x:c r="P207" s="51" t="str">
        <x:v>OSRM driving/car</x:v>
      </x:c>
      <x:c r="Q207" s="51" t="str">
        <x:v>2026-08-15</x:v>
      </x:c>
      <x:c r="R207" s="51" t="str">
        <x:v>C-开放路网计算；不是货车/危运合规路线</x:v>
      </x:c>
      <x:c r="S207" s="51" t="str">
        <x:v>https://routing.openstreetmap.de/routed-car/</x:v>
      </x:c>
    </x:row>
    <x:row r="208">
      <x:c r="A208" s="51" t="str">
        <x:v>A0204</x:v>
      </x:c>
      <x:c r="B208" s="51" t="str">
        <x:v>GD10</x:v>
      </x:c>
      <x:c r="C208" s="51" t="str">
        <x:v>source</x:v>
      </x:c>
      <x:c r="D208" s="51" t="str">
        <x:v>汕尾</x:v>
      </x:c>
      <x:c r="E208" s="51" t="str">
        <x:v>C15</x:v>
      </x:c>
      <x:c r="F208" s="51" t="str">
        <x:v>collection</x:v>
      </x:c>
      <x:c r="G208" s="51" t="str">
        <x:v>湛江虚拟回收/检测中心</x:v>
      </x:c>
      <x:c r="H208" s="52" t="n">
        <x:v>677.999715742461</x:v>
      </x:c>
      <x:c r="I208" s="52" t="n">
        <x:v>650.0929</x:v>
      </x:c>
      <x:c r="J208" s="52" t="n">
        <x:v>441.805</x:v>
      </x:c>
      <x:c r="K208" s="52" t="n">
        <x:f>IFERROR(I208/H208,"")</x:f>
        <x:v>0.9588394875477183</x:v>
      </x:c>
      <x:c r="L208" s="52" t="n">
        <x:v>150</x:v>
      </x:c>
      <x:c r="M208" s="65" t="n">
        <x:f>IF(H208&lt;=L208,1,0)</x:f>
        <x:v>0</x:v>
      </x:c>
      <x:c r="N208" s="65" t="n">
        <x:f>IF(I208&lt;=L208,1,0)</x:f>
        <x:v>0</x:v>
      </x:c>
      <x:c r="O208" s="51" t="str">
        <x:f>IF(M208=N208,"不变",IF(N208=1,"由禁变允","由允变禁"))</x:f>
        <x:v>不变</x:v>
      </x:c>
      <x:c r="P208" s="51" t="str">
        <x:v>OSRM driving/car</x:v>
      </x:c>
      <x:c r="Q208" s="51" t="str">
        <x:v>2026-08-15</x:v>
      </x:c>
      <x:c r="R208" s="51" t="str">
        <x:v>C-开放路网计算；不是货车/危运合规路线</x:v>
      </x:c>
      <x:c r="S208" s="51" t="str">
        <x:v>https://routing.openstreetmap.de/routed-car/</x:v>
      </x:c>
    </x:row>
    <x:row r="209">
      <x:c r="A209" s="51" t="str">
        <x:v>A0205</x:v>
      </x:c>
      <x:c r="B209" s="51" t="str">
        <x:v>GD10</x:v>
      </x:c>
      <x:c r="C209" s="51" t="str">
        <x:v>source</x:v>
      </x:c>
      <x:c r="D209" s="51" t="str">
        <x:v>汕尾</x:v>
      </x:c>
      <x:c r="E209" s="51" t="str">
        <x:v>C16</x:v>
      </x:c>
      <x:c r="F209" s="51" t="str">
        <x:v>collection</x:v>
      </x:c>
      <x:c r="G209" s="51" t="str">
        <x:v>茂名虚拟回收/检测中心</x:v>
      </x:c>
      <x:c r="H209" s="52" t="n">
        <x:v>594.1606647071775</x:v>
      </x:c>
      <x:c r="I209" s="52" t="n">
        <x:v>569.3435</x:v>
      </x:c>
      <x:c r="J209" s="52" t="n">
        <x:v>390.72</x:v>
      </x:c>
      <x:c r="K209" s="52" t="n">
        <x:f>IFERROR(I209/H209,"")</x:f>
        <x:v>0.9582315589346388</x:v>
      </x:c>
      <x:c r="L209" s="52" t="n">
        <x:v>150</x:v>
      </x:c>
      <x:c r="M209" s="65" t="n">
        <x:f>IF(H209&lt;=L209,1,0)</x:f>
        <x:v>0</x:v>
      </x:c>
      <x:c r="N209" s="65" t="n">
        <x:f>IF(I209&lt;=L209,1,0)</x:f>
        <x:v>0</x:v>
      </x:c>
      <x:c r="O209" s="51" t="str">
        <x:f>IF(M209=N209,"不变",IF(N209=1,"由禁变允","由允变禁"))</x:f>
        <x:v>不变</x:v>
      </x:c>
      <x:c r="P209" s="51" t="str">
        <x:v>OSRM driving/car</x:v>
      </x:c>
      <x:c r="Q209" s="51" t="str">
        <x:v>2026-08-15</x:v>
      </x:c>
      <x:c r="R209" s="51" t="str">
        <x:v>C-开放路网计算；不是货车/危运合规路线</x:v>
      </x:c>
      <x:c r="S209" s="51" t="str">
        <x:v>https://routing.openstreetmap.de/routed-car/</x:v>
      </x:c>
    </x:row>
    <x:row r="210">
      <x:c r="A210" s="51" t="str">
        <x:v>A0206</x:v>
      </x:c>
      <x:c r="B210" s="51" t="str">
        <x:v>GD10</x:v>
      </x:c>
      <x:c r="C210" s="51" t="str">
        <x:v>source</x:v>
      </x:c>
      <x:c r="D210" s="51" t="str">
        <x:v>汕尾</x:v>
      </x:c>
      <x:c r="E210" s="51" t="str">
        <x:v>C17</x:v>
      </x:c>
      <x:c r="F210" s="51" t="str">
        <x:v>collection</x:v>
      </x:c>
      <x:c r="G210" s="51" t="str">
        <x:v>肇庆虚拟回收/检测中心</x:v>
      </x:c>
      <x:c r="H210" s="52" t="n">
        <x:v>374.5160449794057</x:v>
      </x:c>
      <x:c r="I210" s="52" t="n">
        <x:v>369.4217</x:v>
      </x:c>
      <x:c r="J210" s="52" t="n">
        <x:v>265.345</x:v>
      </x:c>
      <x:c r="K210" s="52" t="n">
        <x:f>IFERROR(I210/H210,"")</x:f>
        <x:v>0.986397525425951</x:v>
      </x:c>
      <x:c r="L210" s="52" t="n">
        <x:v>150</x:v>
      </x:c>
      <x:c r="M210" s="65" t="n">
        <x:f>IF(H210&lt;=L210,1,0)</x:f>
        <x:v>0</x:v>
      </x:c>
      <x:c r="N210" s="65" t="n">
        <x:f>IF(I210&lt;=L210,1,0)</x:f>
        <x:v>0</x:v>
      </x:c>
      <x:c r="O210" s="51" t="str">
        <x:f>IF(M210=N210,"不变",IF(N210=1,"由禁变允","由允变禁"))</x:f>
        <x:v>不变</x:v>
      </x:c>
      <x:c r="P210" s="51" t="str">
        <x:v>OSRM driving/car</x:v>
      </x:c>
      <x:c r="Q210" s="51" t="str">
        <x:v>2026-08-15</x:v>
      </x:c>
      <x:c r="R210" s="51" t="str">
        <x:v>C-开放路网计算；不是货车/危运合规路线</x:v>
      </x:c>
      <x:c r="S210" s="51" t="str">
        <x:v>https://routing.openstreetmap.de/routed-car/</x:v>
      </x:c>
    </x:row>
    <x:row r="211">
      <x:c r="A211" s="51" t="str">
        <x:v>A0207</x:v>
      </x:c>
      <x:c r="B211" s="51" t="str">
        <x:v>GD10</x:v>
      </x:c>
      <x:c r="C211" s="51" t="str">
        <x:v>source</x:v>
      </x:c>
      <x:c r="D211" s="51" t="str">
        <x:v>汕尾</x:v>
      </x:c>
      <x:c r="E211" s="51" t="str">
        <x:v>C18</x:v>
      </x:c>
      <x:c r="F211" s="51" t="str">
        <x:v>collection</x:v>
      </x:c>
      <x:c r="G211" s="51" t="str">
        <x:v>清远虚拟回收/检测中心</x:v>
      </x:c>
      <x:c r="H211" s="52" t="n">
        <x:v>314.3082033676746</x:v>
      </x:c>
      <x:c r="I211" s="52" t="n">
        <x:v>314.1781</x:v>
      </x:c>
      <x:c r="J211" s="52" t="n">
        <x:v>229.19166666666666</x:v>
      </x:c>
      <x:c r="K211" s="52" t="n">
        <x:f>IFERROR(I211/H211,"")</x:f>
        <x:v>0.9995860643588662</x:v>
      </x:c>
      <x:c r="L211" s="52" t="n">
        <x:v>150</x:v>
      </x:c>
      <x:c r="M211" s="65" t="n">
        <x:f>IF(H211&lt;=L211,1,0)</x:f>
        <x:v>0</x:v>
      </x:c>
      <x:c r="N211" s="65" t="n">
        <x:f>IF(I211&lt;=L211,1,0)</x:f>
        <x:v>0</x:v>
      </x:c>
      <x:c r="O211" s="51" t="str">
        <x:f>IF(M211=N211,"不变",IF(N211=1,"由禁变允","由允变禁"))</x:f>
        <x:v>不变</x:v>
      </x:c>
      <x:c r="P211" s="51" t="str">
        <x:v>OSRM driving/car</x:v>
      </x:c>
      <x:c r="Q211" s="51" t="str">
        <x:v>2026-08-15</x:v>
      </x:c>
      <x:c r="R211" s="51" t="str">
        <x:v>C-开放路网计算；不是货车/危运合规路线</x:v>
      </x:c>
      <x:c r="S211" s="51" t="str">
        <x:v>https://routing.openstreetmap.de/routed-car/</x:v>
      </x:c>
    </x:row>
    <x:row r="212">
      <x:c r="A212" s="51" t="str">
        <x:v>A0208</x:v>
      </x:c>
      <x:c r="B212" s="51" t="str">
        <x:v>GD10</x:v>
      </x:c>
      <x:c r="C212" s="51" t="str">
        <x:v>source</x:v>
      </x:c>
      <x:c r="D212" s="51" t="str">
        <x:v>汕尾</x:v>
      </x:c>
      <x:c r="E212" s="51" t="str">
        <x:v>C19</x:v>
      </x:c>
      <x:c r="F212" s="51" t="str">
        <x:v>collection</x:v>
      </x:c>
      <x:c r="G212" s="51" t="str">
        <x:v>潮州虚拟回收/检测中心</x:v>
      </x:c>
      <x:c r="H212" s="52" t="n">
        <x:v>160.93051256166157</x:v>
      </x:c>
      <x:c r="I212" s="52" t="n">
        <x:v>160.64</x:v>
      </x:c>
      <x:c r="J212" s="52" t="n">
        <x:v>120.78666666666666</x:v>
      </x:c>
      <x:c r="K212" s="52" t="n">
        <x:f>IFERROR(I212/H212,"")</x:f>
        <x:v>0.9981947950265163</x:v>
      </x:c>
      <x:c r="L212" s="52" t="n">
        <x:v>150</x:v>
      </x:c>
      <x:c r="M212" s="65" t="n">
        <x:f>IF(H212&lt;=L212,1,0)</x:f>
        <x:v>0</x:v>
      </x:c>
      <x:c r="N212" s="65" t="n">
        <x:f>IF(I212&lt;=L212,1,0)</x:f>
        <x:v>0</x:v>
      </x:c>
      <x:c r="O212" s="51" t="str">
        <x:f>IF(M212=N212,"不变",IF(N212=1,"由禁变允","由允变禁"))</x:f>
        <x:v>不变</x:v>
      </x:c>
      <x:c r="P212" s="51" t="str">
        <x:v>OSRM driving/car</x:v>
      </x:c>
      <x:c r="Q212" s="51" t="str">
        <x:v>2026-08-15</x:v>
      </x:c>
      <x:c r="R212" s="51" t="str">
        <x:v>C-开放路网计算；不是货车/危运合规路线</x:v>
      </x:c>
      <x:c r="S212" s="51" t="str">
        <x:v>https://routing.openstreetmap.de/routed-car/</x:v>
      </x:c>
    </x:row>
    <x:row r="213">
      <x:c r="A213" s="51" t="str">
        <x:v>A0209</x:v>
      </x:c>
      <x:c r="B213" s="51" t="str">
        <x:v>GD10</x:v>
      </x:c>
      <x:c r="C213" s="51" t="str">
        <x:v>source</x:v>
      </x:c>
      <x:c r="D213" s="51" t="str">
        <x:v>汕尾</x:v>
      </x:c>
      <x:c r="E213" s="51" t="str">
        <x:v>C20</x:v>
      </x:c>
      <x:c r="F213" s="51" t="str">
        <x:v>collection</x:v>
      </x:c>
      <x:c r="G213" s="51" t="str">
        <x:v>揭阳虚拟回收/检测中心</x:v>
      </x:c>
      <x:c r="H213" s="52" t="n">
        <x:v>127.54320301757497</x:v>
      </x:c>
      <x:c r="I213" s="52" t="n">
        <x:v>127.7243</x:v>
      </x:c>
      <x:c r="J213" s="52" t="n">
        <x:v>102.765</x:v>
      </x:c>
      <x:c r="K213" s="52" t="n">
        <x:f>IFERROR(I213/H213,"")</x:f>
        <x:v>1.001419887364755</x:v>
      </x:c>
      <x:c r="L213" s="52" t="n">
        <x:v>150</x:v>
      </x:c>
      <x:c r="M213" s="65" t="n">
        <x:f>IF(H213&lt;=L213,1,0)</x:f>
        <x:v>1</x:v>
      </x:c>
      <x:c r="N213" s="65" t="n">
        <x:f>IF(I213&lt;=L213,1,0)</x:f>
        <x:v>1</x:v>
      </x:c>
      <x:c r="O213" s="51" t="str">
        <x:f>IF(M213=N213,"不变",IF(N213=1,"由禁变允","由允变禁"))</x:f>
        <x:v>不变</x:v>
      </x:c>
      <x:c r="P213" s="51" t="str">
        <x:v>OSRM driving/car</x:v>
      </x:c>
      <x:c r="Q213" s="51" t="str">
        <x:v>2026-08-15</x:v>
      </x:c>
      <x:c r="R213" s="51" t="str">
        <x:v>C-开放路网计算；不是货车/危运合规路线</x:v>
      </x:c>
      <x:c r="S213" s="51" t="str">
        <x:v>https://routing.openstreetmap.de/routed-car/</x:v>
      </x:c>
    </x:row>
    <x:row r="214">
      <x:c r="A214" s="51" t="str">
        <x:v>A0210</x:v>
      </x:c>
      <x:c r="B214" s="51" t="str">
        <x:v>GD10</x:v>
      </x:c>
      <x:c r="C214" s="51" t="str">
        <x:v>source</x:v>
      </x:c>
      <x:c r="D214" s="51" t="str">
        <x:v>汕尾</x:v>
      </x:c>
      <x:c r="E214" s="51" t="str">
        <x:v>C21</x:v>
      </x:c>
      <x:c r="F214" s="51" t="str">
        <x:v>collection</x:v>
      </x:c>
      <x:c r="G214" s="51" t="str">
        <x:v>云浮虚拟回收/检测中心</x:v>
      </x:c>
      <x:c r="H214" s="52" t="n">
        <x:v>455.41833629892034</x:v>
      </x:c>
      <x:c r="I214" s="52" t="n">
        <x:v>456.293</x:v>
      </x:c>
      <x:c r="J214" s="52" t="n">
        <x:v>319.52166666666665</x:v>
      </x:c>
      <x:c r="K214" s="52" t="n">
        <x:f>IFERROR(I214/H214,"")</x:f>
        <x:v>1.0019205719914306</x:v>
      </x:c>
      <x:c r="L214" s="52" t="n">
        <x:v>150</x:v>
      </x:c>
      <x:c r="M214" s="65" t="n">
        <x:f>IF(H214&lt;=L214,1,0)</x:f>
        <x:v>0</x:v>
      </x:c>
      <x:c r="N214" s="65" t="n">
        <x:f>IF(I214&lt;=L214,1,0)</x:f>
        <x:v>0</x:v>
      </x:c>
      <x:c r="O214" s="51" t="str">
        <x:f>IF(M214=N214,"不变",IF(N214=1,"由禁变允","由允变禁"))</x:f>
        <x:v>不变</x:v>
      </x:c>
      <x:c r="P214" s="51" t="str">
        <x:v>OSRM driving/car</x:v>
      </x:c>
      <x:c r="Q214" s="51" t="str">
        <x:v>2026-08-15</x:v>
      </x:c>
      <x:c r="R214" s="51" t="str">
        <x:v>C-开放路网计算；不是货车/危运合规路线</x:v>
      </x:c>
      <x:c r="S214" s="51" t="str">
        <x:v>https://routing.openstreetmap.de/routed-car/</x:v>
      </x:c>
    </x:row>
    <x:row r="215">
      <x:c r="A215" s="51" t="str">
        <x:v>A0211</x:v>
      </x:c>
      <x:c r="B215" s="51" t="str">
        <x:v>GD11</x:v>
      </x:c>
      <x:c r="C215" s="51" t="str">
        <x:v>source</x:v>
      </x:c>
      <x:c r="D215" s="51" t="str">
        <x:v>东莞</x:v>
      </x:c>
      <x:c r="E215" s="51" t="str">
        <x:v>C01</x:v>
      </x:c>
      <x:c r="F215" s="51" t="str">
        <x:v>collection</x:v>
      </x:c>
      <x:c r="G215" s="51" t="str">
        <x:v>广州虚拟回收/检测中心</x:v>
      </x:c>
      <x:c r="H215" s="52" t="n">
        <x:v>61.48835744881942</x:v>
      </x:c>
      <x:c r="I215" s="52" t="n">
        <x:v>63.0212</x:v>
      </x:c>
      <x:c r="J215" s="52" t="n">
        <x:v>47.281666666666666</x:v>
      </x:c>
      <x:c r="K215" s="52" t="n">
        <x:f>IFERROR(I215/H215,"")</x:f>
        <x:v>1.0249289884260848</x:v>
      </x:c>
      <x:c r="L215" s="52" t="n">
        <x:v>150</x:v>
      </x:c>
      <x:c r="M215" s="65" t="n">
        <x:f>IF(H215&lt;=L215,1,0)</x:f>
        <x:v>1</x:v>
      </x:c>
      <x:c r="N215" s="65" t="n">
        <x:f>IF(I215&lt;=L215,1,0)</x:f>
        <x:v>1</x:v>
      </x:c>
      <x:c r="O215" s="51" t="str">
        <x:f>IF(M215=N215,"不变",IF(N215=1,"由禁变允","由允变禁"))</x:f>
        <x:v>不变</x:v>
      </x:c>
      <x:c r="P215" s="51" t="str">
        <x:v>OSRM driving/car</x:v>
      </x:c>
      <x:c r="Q215" s="51" t="str">
        <x:v>2026-08-15</x:v>
      </x:c>
      <x:c r="R215" s="51" t="str">
        <x:v>C-开放路网计算；不是货车/危运合规路线</x:v>
      </x:c>
      <x:c r="S215" s="51" t="str">
        <x:v>https://routing.openstreetmap.de/routed-car/</x:v>
      </x:c>
    </x:row>
    <x:row r="216">
      <x:c r="A216" s="51" t="str">
        <x:v>A0212</x:v>
      </x:c>
      <x:c r="B216" s="51" t="str">
        <x:v>GD11</x:v>
      </x:c>
      <x:c r="C216" s="51" t="str">
        <x:v>source</x:v>
      </x:c>
      <x:c r="D216" s="51" t="str">
        <x:v>东莞</x:v>
      </x:c>
      <x:c r="E216" s="51" t="str">
        <x:v>C02</x:v>
      </x:c>
      <x:c r="F216" s="51" t="str">
        <x:v>collection</x:v>
      </x:c>
      <x:c r="G216" s="51" t="str">
        <x:v>深圳虚拟回收/检测中心</x:v>
      </x:c>
      <x:c r="H216" s="52" t="n">
        <x:v>73.7874966555125</x:v>
      </x:c>
      <x:c r="I216" s="52" t="n">
        <x:v>74.33330000000001</x:v>
      </x:c>
      <x:c r="J216" s="52" t="n">
        <x:v>55.55333333333333</x:v>
      </x:c>
      <x:c r="K216" s="52" t="n">
        <x:f>IFERROR(I216/H216,"")</x:f>
        <x:v>1.0073969624831653</x:v>
      </x:c>
      <x:c r="L216" s="52" t="n">
        <x:v>150</x:v>
      </x:c>
      <x:c r="M216" s="65" t="n">
        <x:f>IF(H216&lt;=L216,1,0)</x:f>
        <x:v>1</x:v>
      </x:c>
      <x:c r="N216" s="65" t="n">
        <x:f>IF(I216&lt;=L216,1,0)</x:f>
        <x:v>1</x:v>
      </x:c>
      <x:c r="O216" s="51" t="str">
        <x:f>IF(M216=N216,"不变",IF(N216=1,"由禁变允","由允变禁"))</x:f>
        <x:v>不变</x:v>
      </x:c>
      <x:c r="P216" s="51" t="str">
        <x:v>OSRM driving/car</x:v>
      </x:c>
      <x:c r="Q216" s="51" t="str">
        <x:v>2026-08-15</x:v>
      </x:c>
      <x:c r="R216" s="51" t="str">
        <x:v>C-开放路网计算；不是货车/危运合规路线</x:v>
      </x:c>
      <x:c r="S216" s="51" t="str">
        <x:v>https://routing.openstreetmap.de/routed-car/</x:v>
      </x:c>
    </x:row>
    <x:row r="217">
      <x:c r="A217" s="51" t="str">
        <x:v>A0213</x:v>
      </x:c>
      <x:c r="B217" s="51" t="str">
        <x:v>GD11</x:v>
      </x:c>
      <x:c r="C217" s="51" t="str">
        <x:v>source</x:v>
      </x:c>
      <x:c r="D217" s="51" t="str">
        <x:v>东莞</x:v>
      </x:c>
      <x:c r="E217" s="51" t="str">
        <x:v>C03</x:v>
      </x:c>
      <x:c r="F217" s="51" t="str">
        <x:v>collection</x:v>
      </x:c>
      <x:c r="G217" s="51" t="str">
        <x:v>珠海虚拟回收/检测中心</x:v>
      </x:c>
      <x:c r="H217" s="52" t="n">
        <x:v>101.6188477233397</x:v>
      </x:c>
      <x:c r="I217" s="52" t="n">
        <x:v>114.3817</x:v>
      </x:c>
      <x:c r="J217" s="52" t="n">
        <x:v>91.71166666666666</x:v>
      </x:c>
      <x:c r="K217" s="52" t="n">
        <x:f>IFERROR(I217/H217,"")</x:f>
        <x:v>1.125595325695953</x:v>
      </x:c>
      <x:c r="L217" s="52" t="n">
        <x:v>150</x:v>
      </x:c>
      <x:c r="M217" s="65" t="n">
        <x:f>IF(H217&lt;=L217,1,0)</x:f>
        <x:v>1</x:v>
      </x:c>
      <x:c r="N217" s="65" t="n">
        <x:f>IF(I217&lt;=L217,1,0)</x:f>
        <x:v>1</x:v>
      </x:c>
      <x:c r="O217" s="51" t="str">
        <x:f>IF(M217=N217,"不变",IF(N217=1,"由禁变允","由允变禁"))</x:f>
        <x:v>不变</x:v>
      </x:c>
      <x:c r="P217" s="51" t="str">
        <x:v>OSRM driving/car</x:v>
      </x:c>
      <x:c r="Q217" s="51" t="str">
        <x:v>2026-08-15</x:v>
      </x:c>
      <x:c r="R217" s="51" t="str">
        <x:v>C-开放路网计算；不是货车/危运合规路线</x:v>
      </x:c>
      <x:c r="S217" s="51" t="str">
        <x:v>https://routing.openstreetmap.de/routed-car/</x:v>
      </x:c>
    </x:row>
    <x:row r="218">
      <x:c r="A218" s="51" t="str">
        <x:v>A0214</x:v>
      </x:c>
      <x:c r="B218" s="51" t="str">
        <x:v>GD11</x:v>
      </x:c>
      <x:c r="C218" s="51" t="str">
        <x:v>source</x:v>
      </x:c>
      <x:c r="D218" s="51" t="str">
        <x:v>东莞</x:v>
      </x:c>
      <x:c r="E218" s="51" t="str">
        <x:v>C04</x:v>
      </x:c>
      <x:c r="F218" s="51" t="str">
        <x:v>collection</x:v>
      </x:c>
      <x:c r="G218" s="51" t="str">
        <x:v>汕头虚拟回收/检测中心</x:v>
      </x:c>
      <x:c r="H218" s="52" t="n">
        <x:v>362.4792813676039</x:v>
      </x:c>
      <x:c r="I218" s="52" t="n">
        <x:v>362.6879</x:v>
      </x:c>
      <x:c r="J218" s="52" t="n">
        <x:v>251.52166666666665</x:v>
      </x:c>
      <x:c r="K218" s="52" t="n">
        <x:f>IFERROR(I218/H218,"")</x:f>
        <x:v>1.000575532570052</x:v>
      </x:c>
      <x:c r="L218" s="52" t="n">
        <x:v>150</x:v>
      </x:c>
      <x:c r="M218" s="65" t="n">
        <x:f>IF(H218&lt;=L218,1,0)</x:f>
        <x:v>0</x:v>
      </x:c>
      <x:c r="N218" s="65" t="n">
        <x:f>IF(I218&lt;=L218,1,0)</x:f>
        <x:v>0</x:v>
      </x:c>
      <x:c r="O218" s="51" t="str">
        <x:f>IF(M218=N218,"不变",IF(N218=1,"由禁变允","由允变禁"))</x:f>
        <x:v>不变</x:v>
      </x:c>
      <x:c r="P218" s="51" t="str">
        <x:v>OSRM driving/car</x:v>
      </x:c>
      <x:c r="Q218" s="51" t="str">
        <x:v>2026-08-15</x:v>
      </x:c>
      <x:c r="R218" s="51" t="str">
        <x:v>C-开放路网计算；不是货车/危运合规路线</x:v>
      </x:c>
      <x:c r="S218" s="51" t="str">
        <x:v>https://routing.openstreetmap.de/routed-car/</x:v>
      </x:c>
    </x:row>
    <x:row r="219">
      <x:c r="A219" s="51" t="str">
        <x:v>A0215</x:v>
      </x:c>
      <x:c r="B219" s="51" t="str">
        <x:v>GD11</x:v>
      </x:c>
      <x:c r="C219" s="51" t="str">
        <x:v>source</x:v>
      </x:c>
      <x:c r="D219" s="51" t="str">
        <x:v>东莞</x:v>
      </x:c>
      <x:c r="E219" s="51" t="str">
        <x:v>C05</x:v>
      </x:c>
      <x:c r="F219" s="51" t="str">
        <x:v>collection</x:v>
      </x:c>
      <x:c r="G219" s="51" t="str">
        <x:v>佛山虚拟回收/检测中心</x:v>
      </x:c>
      <x:c r="H219" s="52" t="n">
        <x:v>77.28343572424338</x:v>
      </x:c>
      <x:c r="I219" s="52" t="n">
        <x:v>82.4602</x:v>
      </x:c>
      <x:c r="J219" s="52" t="n">
        <x:v>64.61666666666666</x:v>
      </x:c>
      <x:c r="K219" s="52" t="n">
        <x:f>IFERROR(I219/H219,"")</x:f>
        <x:v>1.0669841373800713</x:v>
      </x:c>
      <x:c r="L219" s="52" t="n">
        <x:v>150</x:v>
      </x:c>
      <x:c r="M219" s="65" t="n">
        <x:f>IF(H219&lt;=L219,1,0)</x:f>
        <x:v>1</x:v>
      </x:c>
      <x:c r="N219" s="65" t="n">
        <x:f>IF(I219&lt;=L219,1,0)</x:f>
        <x:v>1</x:v>
      </x:c>
      <x:c r="O219" s="51" t="str">
        <x:f>IF(M219=N219,"不变",IF(N219=1,"由禁变允","由允变禁"))</x:f>
        <x:v>不变</x:v>
      </x:c>
      <x:c r="P219" s="51" t="str">
        <x:v>OSRM driving/car</x:v>
      </x:c>
      <x:c r="Q219" s="51" t="str">
        <x:v>2026-08-15</x:v>
      </x:c>
      <x:c r="R219" s="51" t="str">
        <x:v>C-开放路网计算；不是货车/危运合规路线</x:v>
      </x:c>
      <x:c r="S219" s="51" t="str">
        <x:v>https://routing.openstreetmap.de/routed-car/</x:v>
      </x:c>
    </x:row>
    <x:row r="220">
      <x:c r="A220" s="51" t="str">
        <x:v>A0216</x:v>
      </x:c>
      <x:c r="B220" s="51" t="str">
        <x:v>GD11</x:v>
      </x:c>
      <x:c r="C220" s="51" t="str">
        <x:v>source</x:v>
      </x:c>
      <x:c r="D220" s="51" t="str">
        <x:v>东莞</x:v>
      </x:c>
      <x:c r="E220" s="51" t="str">
        <x:v>C06</x:v>
      </x:c>
      <x:c r="F220" s="51" t="str">
        <x:v>collection</x:v>
      </x:c>
      <x:c r="G220" s="51" t="str">
        <x:v>韶关虚拟回收/检测中心</x:v>
      </x:c>
      <x:c r="H220" s="52" t="n">
        <x:v>242.01314694033505</x:v>
      </x:c>
      <x:c r="I220" s="52" t="n">
        <x:v>274.1771</x:v>
      </x:c>
      <x:c r="J220" s="52" t="n">
        <x:v>194.16666666666666</x:v>
      </x:c>
      <x:c r="K220" s="52" t="n">
        <x:f>IFERROR(I220/H220,"")</x:f>
        <x:v>1.1329016768977205</x:v>
      </x:c>
      <x:c r="L220" s="52" t="n">
        <x:v>150</x:v>
      </x:c>
      <x:c r="M220" s="65" t="n">
        <x:f>IF(H220&lt;=L220,1,0)</x:f>
        <x:v>0</x:v>
      </x:c>
      <x:c r="N220" s="65" t="n">
        <x:f>IF(I220&lt;=L220,1,0)</x:f>
        <x:v>0</x:v>
      </x:c>
      <x:c r="O220" s="51" t="str">
        <x:f>IF(M220=N220,"不变",IF(N220=1,"由禁变允","由允变禁"))</x:f>
        <x:v>不变</x:v>
      </x:c>
      <x:c r="P220" s="51" t="str">
        <x:v>OSRM driving/car</x:v>
      </x:c>
      <x:c r="Q220" s="51" t="str">
        <x:v>2026-08-15</x:v>
      </x:c>
      <x:c r="R220" s="51" t="str">
        <x:v>C-开放路网计算；不是货车/危运合规路线</x:v>
      </x:c>
      <x:c r="S220" s="51" t="str">
        <x:v>https://routing.openstreetmap.de/routed-car/</x:v>
      </x:c>
    </x:row>
    <x:row r="221">
      <x:c r="A221" s="51" t="str">
        <x:v>A0217</x:v>
      </x:c>
      <x:c r="B221" s="51" t="str">
        <x:v>GD11</x:v>
      </x:c>
      <x:c r="C221" s="51" t="str">
        <x:v>source</x:v>
      </x:c>
      <x:c r="D221" s="51" t="str">
        <x:v>东莞</x:v>
      </x:c>
      <x:c r="E221" s="51" t="str">
        <x:v>C07</x:v>
      </x:c>
      <x:c r="F221" s="51" t="str">
        <x:v>collection</x:v>
      </x:c>
      <x:c r="G221" s="51" t="str">
        <x:v>河源虚拟回收/检测中心</x:v>
      </x:c>
      <x:c r="H221" s="52" t="n">
        <x:v>216.00434329045038</x:v>
      </x:c>
      <x:c r="I221" s="52" t="n">
        <x:v>236.09189999999998</x:v>
      </x:c>
      <x:c r="J221" s="52" t="n">
        <x:v>186.63166666666666</x:v>
      </x:c>
      <x:c r="K221" s="52" t="n">
        <x:f>IFERROR(I221/H221,"")</x:f>
        <x:v>1.0929960777804308</x:v>
      </x:c>
      <x:c r="L221" s="52" t="n">
        <x:v>150</x:v>
      </x:c>
      <x:c r="M221" s="65" t="n">
        <x:f>IF(H221&lt;=L221,1,0)</x:f>
        <x:v>0</x:v>
      </x:c>
      <x:c r="N221" s="65" t="n">
        <x:f>IF(I221&lt;=L221,1,0)</x:f>
        <x:v>0</x:v>
      </x:c>
      <x:c r="O221" s="51" t="str">
        <x:f>IF(M221=N221,"不变",IF(N221=1,"由禁变允","由允变禁"))</x:f>
        <x:v>不变</x:v>
      </x:c>
      <x:c r="P221" s="51" t="str">
        <x:v>OSRM driving/car</x:v>
      </x:c>
      <x:c r="Q221" s="51" t="str">
        <x:v>2026-08-15</x:v>
      </x:c>
      <x:c r="R221" s="51" t="str">
        <x:v>C-开放路网计算；不是货车/危运合规路线</x:v>
      </x:c>
      <x:c r="S221" s="51" t="str">
        <x:v>https://routing.openstreetmap.de/routed-car/</x:v>
      </x:c>
    </x:row>
    <x:row r="222">
      <x:c r="A222" s="51" t="str">
        <x:v>A0218</x:v>
      </x:c>
      <x:c r="B222" s="51" t="str">
        <x:v>GD11</x:v>
      </x:c>
      <x:c r="C222" s="51" t="str">
        <x:v>source</x:v>
      </x:c>
      <x:c r="D222" s="51" t="str">
        <x:v>东莞</x:v>
      </x:c>
      <x:c r="E222" s="51" t="str">
        <x:v>C08</x:v>
      </x:c>
      <x:c r="F222" s="51" t="str">
        <x:v>collection</x:v>
      </x:c>
      <x:c r="G222" s="51" t="str">
        <x:v>梅州虚拟回收/检测中心</x:v>
      </x:c>
      <x:c r="H222" s="52" t="n">
        <x:v>336.0205516382558</x:v>
      </x:c>
      <x:c r="I222" s="52" t="n">
        <x:v>344.968</x:v>
      </x:c>
      <x:c r="J222" s="52" t="n">
        <x:v>242.49166666666667</x:v>
      </x:c>
      <x:c r="K222" s="52" t="n">
        <x:f>IFERROR(I222/H222,"")</x:f>
        <x:v>1.026627681902554</x:v>
      </x:c>
      <x:c r="L222" s="52" t="n">
        <x:v>150</x:v>
      </x:c>
      <x:c r="M222" s="65" t="n">
        <x:f>IF(H222&lt;=L222,1,0)</x:f>
        <x:v>0</x:v>
      </x:c>
      <x:c r="N222" s="65" t="n">
        <x:f>IF(I222&lt;=L222,1,0)</x:f>
        <x:v>0</x:v>
      </x:c>
      <x:c r="O222" s="51" t="str">
        <x:f>IF(M222=N222,"不变",IF(N222=1,"由禁变允","由允变禁"))</x:f>
        <x:v>不变</x:v>
      </x:c>
      <x:c r="P222" s="51" t="str">
        <x:v>OSRM driving/car</x:v>
      </x:c>
      <x:c r="Q222" s="51" t="str">
        <x:v>2026-08-15</x:v>
      </x:c>
      <x:c r="R222" s="51" t="str">
        <x:v>C-开放路网计算；不是货车/危运合规路线</x:v>
      </x:c>
      <x:c r="S222" s="51" t="str">
        <x:v>https://routing.openstreetmap.de/routed-car/</x:v>
      </x:c>
    </x:row>
    <x:row r="223">
      <x:c r="A223" s="51" t="str">
        <x:v>A0219</x:v>
      </x:c>
      <x:c r="B223" s="51" t="str">
        <x:v>GD11</x:v>
      </x:c>
      <x:c r="C223" s="51" t="str">
        <x:v>source</x:v>
      </x:c>
      <x:c r="D223" s="51" t="str">
        <x:v>东莞</x:v>
      </x:c>
      <x:c r="E223" s="51" t="str">
        <x:v>C09</x:v>
      </x:c>
      <x:c r="F223" s="51" t="str">
        <x:v>collection</x:v>
      </x:c>
      <x:c r="G223" s="51" t="str">
        <x:v>惠州虚拟回收/检测中心</x:v>
      </x:c>
      <x:c r="H223" s="52" t="n">
        <x:v>82.90044805737128</x:v>
      </x:c>
      <x:c r="I223" s="52" t="n">
        <x:v>95.089</x:v>
      </x:c>
      <x:c r="J223" s="52" t="n">
        <x:v>71.56333333333333</x:v>
      </x:c>
      <x:c r="K223" s="52" t="n">
        <x:f>IFERROR(I223/H223,"")</x:f>
        <x:v>1.1470263699201435</x:v>
      </x:c>
      <x:c r="L223" s="52" t="n">
        <x:v>150</x:v>
      </x:c>
      <x:c r="M223" s="65" t="n">
        <x:f>IF(H223&lt;=L223,1,0)</x:f>
        <x:v>1</x:v>
      </x:c>
      <x:c r="N223" s="65" t="n">
        <x:f>IF(I223&lt;=L223,1,0)</x:f>
        <x:v>1</x:v>
      </x:c>
      <x:c r="O223" s="51" t="str">
        <x:f>IF(M223=N223,"不变",IF(N223=1,"由禁变允","由允变禁"))</x:f>
        <x:v>不变</x:v>
      </x:c>
      <x:c r="P223" s="51" t="str">
        <x:v>OSRM driving/car</x:v>
      </x:c>
      <x:c r="Q223" s="51" t="str">
        <x:v>2026-08-15</x:v>
      </x:c>
      <x:c r="R223" s="51" t="str">
        <x:v>C-开放路网计算；不是货车/危运合规路线</x:v>
      </x:c>
      <x:c r="S223" s="51" t="str">
        <x:v>https://routing.openstreetmap.de/routed-car/</x:v>
      </x:c>
    </x:row>
    <x:row r="224">
      <x:c r="A224" s="51" t="str">
        <x:v>A0220</x:v>
      </x:c>
      <x:c r="B224" s="51" t="str">
        <x:v>GD11</x:v>
      </x:c>
      <x:c r="C224" s="51" t="str">
        <x:v>source</x:v>
      </x:c>
      <x:c r="D224" s="51" t="str">
        <x:v>东莞</x:v>
      </x:c>
      <x:c r="E224" s="51" t="str">
        <x:v>C10</x:v>
      </x:c>
      <x:c r="F224" s="51" t="str">
        <x:v>collection</x:v>
      </x:c>
      <x:c r="G224" s="51" t="str">
        <x:v>汕尾虚拟回收/检测中心</x:v>
      </x:c>
      <x:c r="H224" s="52" t="n">
        <x:v>216.7349587353549</x:v>
      </x:c>
      <x:c r="I224" s="52" t="n">
        <x:v>212.8281</x:v>
      </x:c>
      <x:c r="J224" s="52" t="n">
        <x:v>165.58333333333334</x:v>
      </x:c>
      <x:c r="K224" s="52" t="n">
        <x:f>IFERROR(I224/H224,"")</x:f>
        <x:v>0.9819740259801587</x:v>
      </x:c>
      <x:c r="L224" s="52" t="n">
        <x:v>150</x:v>
      </x:c>
      <x:c r="M224" s="65" t="n">
        <x:f>IF(H224&lt;=L224,1,0)</x:f>
        <x:v>0</x:v>
      </x:c>
      <x:c r="N224" s="65" t="n">
        <x:f>IF(I224&lt;=L224,1,0)</x:f>
        <x:v>0</x:v>
      </x:c>
      <x:c r="O224" s="51" t="str">
        <x:f>IF(M224=N224,"不变",IF(N224=1,"由禁变允","由允变禁"))</x:f>
        <x:v>不变</x:v>
      </x:c>
      <x:c r="P224" s="51" t="str">
        <x:v>OSRM driving/car</x:v>
      </x:c>
      <x:c r="Q224" s="51" t="str">
        <x:v>2026-08-15</x:v>
      </x:c>
      <x:c r="R224" s="51" t="str">
        <x:v>C-开放路网计算；不是货车/危运合规路线</x:v>
      </x:c>
      <x:c r="S224" s="51" t="str">
        <x:v>https://routing.openstreetmap.de/routed-car/</x:v>
      </x:c>
    </x:row>
    <x:row r="225">
      <x:c r="A225" s="51" t="str">
        <x:v>A0221</x:v>
      </x:c>
      <x:c r="B225" s="51" t="str">
        <x:v>GD11</x:v>
      </x:c>
      <x:c r="C225" s="51" t="str">
        <x:v>source</x:v>
      </x:c>
      <x:c r="D225" s="51" t="str">
        <x:v>东莞</x:v>
      </x:c>
      <x:c r="E225" s="51" t="str">
        <x:v>C11</x:v>
      </x:c>
      <x:c r="F225" s="51" t="str">
        <x:v>collection</x:v>
      </x:c>
      <x:c r="G225" s="51" t="str">
        <x:v>东莞虚拟回收/检测中心</x:v>
      </x:c>
      <x:c r="H225" s="52" t="n">
        <x:v>0</x:v>
      </x:c>
      <x:c r="I225" s="52" t="n">
        <x:v>0</x:v>
      </x:c>
      <x:c r="J225" s="52" t="n">
        <x:v>0</x:v>
      </x:c>
      <x:c r="K225" s="52" t="str">
        <x:f>IFERROR(I225/H225,"")</x:f>
      </x:c>
      <x:c r="L225" s="52" t="n">
        <x:v>150</x:v>
      </x:c>
      <x:c r="M225" s="65" t="n">
        <x:f>IF(H225&lt;=L225,1,0)</x:f>
        <x:v>1</x:v>
      </x:c>
      <x:c r="N225" s="65" t="n">
        <x:f>IF(I225&lt;=L225,1,0)</x:f>
        <x:v>1</x:v>
      </x:c>
      <x:c r="O225" s="51" t="str">
        <x:f>IF(M225=N225,"不变",IF(N225=1,"由禁变允","由允变禁"))</x:f>
        <x:v>不变</x:v>
      </x:c>
      <x:c r="P225" s="51" t="str">
        <x:v>OSRM driving/car</x:v>
      </x:c>
      <x:c r="Q225" s="51" t="str">
        <x:v>2026-08-15</x:v>
      </x:c>
      <x:c r="R225" s="51" t="str">
        <x:v>C-开放路网计算；不是货车/危运合规路线</x:v>
      </x:c>
      <x:c r="S225" s="51" t="str">
        <x:v>https://routing.openstreetmap.de/routed-car/</x:v>
      </x:c>
    </x:row>
    <x:row r="226">
      <x:c r="A226" s="51" t="str">
        <x:v>A0222</x:v>
      </x:c>
      <x:c r="B226" s="51" t="str">
        <x:v>GD11</x:v>
      </x:c>
      <x:c r="C226" s="51" t="str">
        <x:v>source</x:v>
      </x:c>
      <x:c r="D226" s="51" t="str">
        <x:v>东莞</x:v>
      </x:c>
      <x:c r="E226" s="51" t="str">
        <x:v>C12</x:v>
      </x:c>
      <x:c r="F226" s="51" t="str">
        <x:v>collection</x:v>
      </x:c>
      <x:c r="G226" s="51" t="str">
        <x:v>中山虚拟回收/检测中心</x:v>
      </x:c>
      <x:c r="H226" s="52" t="n">
        <x:v>79.79519060047858</x:v>
      </x:c>
      <x:c r="I226" s="52" t="n">
        <x:v>80.7344</x:v>
      </x:c>
      <x:c r="J226" s="52" t="n">
        <x:v>67.88000000000001</x:v>
      </x:c>
      <x:c r="K226" s="52" t="n">
        <x:f>IFERROR(I226/H226,"")</x:f>
        <x:v>1.0117702507187918</x:v>
      </x:c>
      <x:c r="L226" s="52" t="n">
        <x:v>150</x:v>
      </x:c>
      <x:c r="M226" s="65" t="n">
        <x:f>IF(H226&lt;=L226,1,0)</x:f>
        <x:v>1</x:v>
      </x:c>
      <x:c r="N226" s="65" t="n">
        <x:f>IF(I226&lt;=L226,1,0)</x:f>
        <x:v>1</x:v>
      </x:c>
      <x:c r="O226" s="51" t="str">
        <x:f>IF(M226=N226,"不变",IF(N226=1,"由禁变允","由允变禁"))</x:f>
        <x:v>不变</x:v>
      </x:c>
      <x:c r="P226" s="51" t="str">
        <x:v>OSRM driving/car</x:v>
      </x:c>
      <x:c r="Q226" s="51" t="str">
        <x:v>2026-08-15</x:v>
      </x:c>
      <x:c r="R226" s="51" t="str">
        <x:v>C-开放路网计算；不是货车/危运合规路线</x:v>
      </x:c>
      <x:c r="S226" s="51" t="str">
        <x:v>https://routing.openstreetmap.de/routed-car/</x:v>
      </x:c>
    </x:row>
    <x:row r="227">
      <x:c r="A227" s="51" t="str">
        <x:v>A0223</x:v>
      </x:c>
      <x:c r="B227" s="51" t="str">
        <x:v>GD11</x:v>
      </x:c>
      <x:c r="C227" s="51" t="str">
        <x:v>source</x:v>
      </x:c>
      <x:c r="D227" s="51" t="str">
        <x:v>东莞</x:v>
      </x:c>
      <x:c r="E227" s="51" t="str">
        <x:v>C13</x:v>
      </x:c>
      <x:c r="F227" s="51" t="str">
        <x:v>collection</x:v>
      </x:c>
      <x:c r="G227" s="51" t="str">
        <x:v>江门虚拟回收/检测中心</x:v>
      </x:c>
      <x:c r="H227" s="52" t="n">
        <x:v>100.84581605844396</x:v>
      </x:c>
      <x:c r="I227" s="52" t="n">
        <x:v>112.4987</x:v>
      </x:c>
      <x:c r="J227" s="52" t="n">
        <x:v>84.56333333333333</x:v>
      </x:c>
      <x:c r="K227" s="52" t="n">
        <x:f>IFERROR(I227/H227,"")</x:f>
        <x:v>1.1155514863879208</x:v>
      </x:c>
      <x:c r="L227" s="52" t="n">
        <x:v>150</x:v>
      </x:c>
      <x:c r="M227" s="65" t="n">
        <x:f>IF(H227&lt;=L227,1,0)</x:f>
        <x:v>1</x:v>
      </x:c>
      <x:c r="N227" s="65" t="n">
        <x:f>IF(I227&lt;=L227,1,0)</x:f>
        <x:v>1</x:v>
      </x:c>
      <x:c r="O227" s="51" t="str">
        <x:f>IF(M227=N227,"不变",IF(N227=1,"由禁变允","由允变禁"))</x:f>
        <x:v>不变</x:v>
      </x:c>
      <x:c r="P227" s="51" t="str">
        <x:v>OSRM driving/car</x:v>
      </x:c>
      <x:c r="Q227" s="51" t="str">
        <x:v>2026-08-15</x:v>
      </x:c>
      <x:c r="R227" s="51" t="str">
        <x:v>C-开放路网计算；不是货车/危运合规路线</x:v>
      </x:c>
      <x:c r="S227" s="51" t="str">
        <x:v>https://routing.openstreetmap.de/routed-car/</x:v>
      </x:c>
    </x:row>
    <x:row r="228">
      <x:c r="A228" s="51" t="str">
        <x:v>A0224</x:v>
      </x:c>
      <x:c r="B228" s="51" t="str">
        <x:v>GD11</x:v>
      </x:c>
      <x:c r="C228" s="51" t="str">
        <x:v>source</x:v>
      </x:c>
      <x:c r="D228" s="51" t="str">
        <x:v>东莞</x:v>
      </x:c>
      <x:c r="E228" s="51" t="str">
        <x:v>C14</x:v>
      </x:c>
      <x:c r="F228" s="51" t="str">
        <x:v>collection</x:v>
      </x:c>
      <x:c r="G228" s="51" t="str">
        <x:v>阳江虚拟回收/检测中心</x:v>
      </x:c>
      <x:c r="H228" s="52" t="n">
        <x:v>271.30826923165324</x:v>
      </x:c>
      <x:c r="I228" s="52" t="n">
        <x:v>289.9951</x:v>
      </x:c>
      <x:c r="J228" s="52" t="n">
        <x:v>194.75666666666666</x:v>
      </x:c>
      <x:c r="K228" s="52" t="n">
        <x:f>IFERROR(I228/H228,"")</x:f>
        <x:v>1.0688767460765864</x:v>
      </x:c>
      <x:c r="L228" s="52" t="n">
        <x:v>150</x:v>
      </x:c>
      <x:c r="M228" s="65" t="n">
        <x:f>IF(H228&lt;=L228,1,0)</x:f>
        <x:v>0</x:v>
      </x:c>
      <x:c r="N228" s="65" t="n">
        <x:f>IF(I228&lt;=L228,1,0)</x:f>
        <x:v>0</x:v>
      </x:c>
      <x:c r="O228" s="51" t="str">
        <x:f>IF(M228=N228,"不变",IF(N228=1,"由禁变允","由允变禁"))</x:f>
        <x:v>不变</x:v>
      </x:c>
      <x:c r="P228" s="51" t="str">
        <x:v>OSRM driving/car</x:v>
      </x:c>
      <x:c r="Q228" s="51" t="str">
        <x:v>2026-08-15</x:v>
      </x:c>
      <x:c r="R228" s="51" t="str">
        <x:v>C-开放路网计算；不是货车/危运合规路线</x:v>
      </x:c>
      <x:c r="S228" s="51" t="str">
        <x:v>https://routing.openstreetmap.de/routed-car/</x:v>
      </x:c>
    </x:row>
    <x:row r="229">
      <x:c r="A229" s="51" t="str">
        <x:v>A0225</x:v>
      </x:c>
      <x:c r="B229" s="51" t="str">
        <x:v>GD11</x:v>
      </x:c>
      <x:c r="C229" s="51" t="str">
        <x:v>source</x:v>
      </x:c>
      <x:c r="D229" s="51" t="str">
        <x:v>东莞</x:v>
      </x:c>
      <x:c r="E229" s="51" t="str">
        <x:v>C15</x:v>
      </x:c>
      <x:c r="F229" s="51" t="str">
        <x:v>collection</x:v>
      </x:c>
      <x:c r="G229" s="51" t="str">
        <x:v>湛江虚拟回收/检测中心</x:v>
      </x:c>
      <x:c r="H229" s="52" t="n">
        <x:v>479.3156543516013</x:v>
      </x:c>
      <x:c r="I229" s="52" t="n">
        <x:v>454.3865</x:v>
      </x:c>
      <x:c r="J229" s="52" t="n">
        <x:v>304.43833333333333</x:v>
      </x:c>
      <x:c r="K229" s="52" t="n">
        <x:f>IFERROR(I229/H229,"")</x:f>
        <x:v>0.947990110222199</x:v>
      </x:c>
      <x:c r="L229" s="52" t="n">
        <x:v>150</x:v>
      </x:c>
      <x:c r="M229" s="65" t="n">
        <x:f>IF(H229&lt;=L229,1,0)</x:f>
        <x:v>0</x:v>
      </x:c>
      <x:c r="N229" s="65" t="n">
        <x:f>IF(I229&lt;=L229,1,0)</x:f>
        <x:v>0</x:v>
      </x:c>
      <x:c r="O229" s="51" t="str">
        <x:f>IF(M229=N229,"不变",IF(N229=1,"由禁变允","由允变禁"))</x:f>
        <x:v>不变</x:v>
      </x:c>
      <x:c r="P229" s="51" t="str">
        <x:v>OSRM driving/car</x:v>
      </x:c>
      <x:c r="Q229" s="51" t="str">
        <x:v>2026-08-15</x:v>
      </x:c>
      <x:c r="R229" s="51" t="str">
        <x:v>C-开放路网计算；不是货车/危运合规路线</x:v>
      </x:c>
      <x:c r="S229" s="51" t="str">
        <x:v>https://routing.openstreetmap.de/routed-car/</x:v>
      </x:c>
    </x:row>
    <x:row r="230">
      <x:c r="A230" s="51" t="str">
        <x:v>A0226</x:v>
      </x:c>
      <x:c r="B230" s="51" t="str">
        <x:v>GD11</x:v>
      </x:c>
      <x:c r="C230" s="51" t="str">
        <x:v>source</x:v>
      </x:c>
      <x:c r="D230" s="51" t="str">
        <x:v>东莞</x:v>
      </x:c>
      <x:c r="E230" s="51" t="str">
        <x:v>C16</x:v>
      </x:c>
      <x:c r="F230" s="51" t="str">
        <x:v>collection</x:v>
      </x:c>
      <x:c r="G230" s="51" t="str">
        <x:v>茂名虚拟回收/检测中心</x:v>
      </x:c>
      <x:c r="H230" s="52" t="n">
        <x:v>392.5078157037128</x:v>
      </x:c>
      <x:c r="I230" s="52" t="n">
        <x:v>373.6372</x:v>
      </x:c>
      <x:c r="J230" s="52" t="n">
        <x:v>253.35333333333335</x:v>
      </x:c>
      <x:c r="K230" s="52" t="n">
        <x:f>IFERROR(I230/H230,"")</x:f>
        <x:v>0.9519229555470624</x:v>
      </x:c>
      <x:c r="L230" s="52" t="n">
        <x:v>150</x:v>
      </x:c>
      <x:c r="M230" s="65" t="n">
        <x:f>IF(H230&lt;=L230,1,0)</x:f>
        <x:v>0</x:v>
      </x:c>
      <x:c r="N230" s="65" t="n">
        <x:f>IF(I230&lt;=L230,1,0)</x:f>
        <x:v>0</x:v>
      </x:c>
      <x:c r="O230" s="51" t="str">
        <x:f>IF(M230=N230,"不变",IF(N230=1,"由禁变允","由允变禁"))</x:f>
        <x:v>不变</x:v>
      </x:c>
      <x:c r="P230" s="51" t="str">
        <x:v>OSRM driving/car</x:v>
      </x:c>
      <x:c r="Q230" s="51" t="str">
        <x:v>2026-08-15</x:v>
      </x:c>
      <x:c r="R230" s="51" t="str">
        <x:v>C-开放路网计算；不是货车/危运合规路线</x:v>
      </x:c>
      <x:c r="S230" s="51" t="str">
        <x:v>https://routing.openstreetmap.de/routed-car/</x:v>
      </x:c>
    </x:row>
    <x:row r="231">
      <x:c r="A231" s="51" t="str">
        <x:v>A0227</x:v>
      </x:c>
      <x:c r="B231" s="51" t="str">
        <x:v>GD11</x:v>
      </x:c>
      <x:c r="C231" s="51" t="str">
        <x:v>source</x:v>
      </x:c>
      <x:c r="D231" s="51" t="str">
        <x:v>东莞</x:v>
      </x:c>
      <x:c r="E231" s="51" t="str">
        <x:v>C17</x:v>
      </x:c>
      <x:c r="F231" s="51" t="str">
        <x:v>collection</x:v>
      </x:c>
      <x:c r="G231" s="51" t="str">
        <x:v>肇庆虚拟回收/检测中心</x:v>
      </x:c>
      <x:c r="H231" s="52" t="n">
        <x:v>157.83268942296343</x:v>
      </x:c>
      <x:c r="I231" s="52" t="n">
        <x:v>154.5592</x:v>
      </x:c>
      <x:c r="J231" s="52" t="n">
        <x:v>118.72666666666667</x:v>
      </x:c>
      <x:c r="K231" s="52" t="n">
        <x:f>IFERROR(I231/H231,"")</x:f>
        <x:v>0.9792597500876954</x:v>
      </x:c>
      <x:c r="L231" s="52" t="n">
        <x:v>150</x:v>
      </x:c>
      <x:c r="M231" s="65" t="n">
        <x:f>IF(H231&lt;=L231,1,0)</x:f>
        <x:v>0</x:v>
      </x:c>
      <x:c r="N231" s="65" t="n">
        <x:f>IF(I231&lt;=L231,1,0)</x:f>
        <x:v>0</x:v>
      </x:c>
      <x:c r="O231" s="51" t="str">
        <x:f>IF(M231=N231,"不变",IF(N231=1,"由禁变允","由允变禁"))</x:f>
        <x:v>不变</x:v>
      </x:c>
      <x:c r="P231" s="51" t="str">
        <x:v>OSRM driving/car</x:v>
      </x:c>
      <x:c r="Q231" s="51" t="str">
        <x:v>2026-08-15</x:v>
      </x:c>
      <x:c r="R231" s="51" t="str">
        <x:v>C-开放路网计算；不是货车/危运合规路线</x:v>
      </x:c>
      <x:c r="S231" s="51" t="str">
        <x:v>https://routing.openstreetmap.de/routed-car/</x:v>
      </x:c>
    </x:row>
    <x:row r="232">
      <x:c r="A232" s="51" t="str">
        <x:v>A0228</x:v>
      </x:c>
      <x:c r="B232" s="51" t="str">
        <x:v>GD11</x:v>
      </x:c>
      <x:c r="C232" s="51" t="str">
        <x:v>source</x:v>
      </x:c>
      <x:c r="D232" s="51" t="str">
        <x:v>东莞</x:v>
      </x:c>
      <x:c r="E232" s="51" t="str">
        <x:v>C18</x:v>
      </x:c>
      <x:c r="F232" s="51" t="str">
        <x:v>collection</x:v>
      </x:c>
      <x:c r="G232" s="51" t="str">
        <x:v>清远虚拟回收/检测中心</x:v>
      </x:c>
      <x:c r="H232" s="52" t="n">
        <x:v>122.93685817460485</x:v>
      </x:c>
      <x:c r="I232" s="52" t="n">
        <x:v>129.1921</x:v>
      </x:c>
      <x:c r="J232" s="52" t="n">
        <x:v>98.33500000000001</x:v>
      </x:c>
      <x:c r="K232" s="52" t="n">
        <x:f>IFERROR(I232/H232,"")</x:f>
        <x:v>1.0508817446474106</x:v>
      </x:c>
      <x:c r="L232" s="52" t="n">
        <x:v>150</x:v>
      </x:c>
      <x:c r="M232" s="65" t="n">
        <x:f>IF(H232&lt;=L232,1,0)</x:f>
        <x:v>1</x:v>
      </x:c>
      <x:c r="N232" s="65" t="n">
        <x:f>IF(I232&lt;=L232,1,0)</x:f>
        <x:v>1</x:v>
      </x:c>
      <x:c r="O232" s="51" t="str">
        <x:f>IF(M232=N232,"不变",IF(N232=1,"由禁变允","由允变禁"))</x:f>
        <x:v>不变</x:v>
      </x:c>
      <x:c r="P232" s="51" t="str">
        <x:v>OSRM driving/car</x:v>
      </x:c>
      <x:c r="Q232" s="51" t="str">
        <x:v>2026-08-15</x:v>
      </x:c>
      <x:c r="R232" s="51" t="str">
        <x:v>C-开放路网计算；不是货车/危运合规路线</x:v>
      </x:c>
      <x:c r="S232" s="51" t="str">
        <x:v>https://routing.openstreetmap.de/routed-car/</x:v>
      </x:c>
    </x:row>
    <x:row r="233">
      <x:c r="A233" s="51" t="str">
        <x:v>A0229</x:v>
      </x:c>
      <x:c r="B233" s="51" t="str">
        <x:v>GD11</x:v>
      </x:c>
      <x:c r="C233" s="51" t="str">
        <x:v>source</x:v>
      </x:c>
      <x:c r="D233" s="51" t="str">
        <x:v>东莞</x:v>
      </x:c>
      <x:c r="E233" s="51" t="str">
        <x:v>C19</x:v>
      </x:c>
      <x:c r="F233" s="51" t="str">
        <x:v>collection</x:v>
      </x:c>
      <x:c r="G233" s="51" t="str">
        <x:v>潮州虚拟回收/检测中心</x:v>
      </x:c>
      <x:c r="H233" s="52" t="n">
        <x:v>362.40036847399165</x:v>
      </x:c>
      <x:c r="I233" s="52" t="n">
        <x:v>357.3766</x:v>
      </x:c>
      <x:c r="J233" s="52" t="n">
        <x:v>243.90833333333333</x:v>
      </x:c>
      <x:c r="K233" s="52" t="n">
        <x:f>IFERROR(I233/H233,"")</x:f>
        <x:v>0.9861375183056631</x:v>
      </x:c>
      <x:c r="L233" s="52" t="n">
        <x:v>150</x:v>
      </x:c>
      <x:c r="M233" s="65" t="n">
        <x:f>IF(H233&lt;=L233,1,0)</x:f>
        <x:v>0</x:v>
      </x:c>
      <x:c r="N233" s="65" t="n">
        <x:f>IF(I233&lt;=L233,1,0)</x:f>
        <x:v>0</x:v>
      </x:c>
      <x:c r="O233" s="51" t="str">
        <x:f>IF(M233=N233,"不变",IF(N233=1,"由禁变允","由允变禁"))</x:f>
        <x:v>不变</x:v>
      </x:c>
      <x:c r="P233" s="51" t="str">
        <x:v>OSRM driving/car</x:v>
      </x:c>
      <x:c r="Q233" s="51" t="str">
        <x:v>2026-08-15</x:v>
      </x:c>
      <x:c r="R233" s="51" t="str">
        <x:v>C-开放路网计算；不是货车/危运合规路线</x:v>
      </x:c>
      <x:c r="S233" s="51" t="str">
        <x:v>https://routing.openstreetmap.de/routed-car/</x:v>
      </x:c>
    </x:row>
    <x:row r="234">
      <x:c r="A234" s="51" t="str">
        <x:v>A0230</x:v>
      </x:c>
      <x:c r="B234" s="51" t="str">
        <x:v>GD11</x:v>
      </x:c>
      <x:c r="C234" s="51" t="str">
        <x:v>source</x:v>
      </x:c>
      <x:c r="D234" s="51" t="str">
        <x:v>东莞</x:v>
      </x:c>
      <x:c r="E234" s="51" t="str">
        <x:v>C20</x:v>
      </x:c>
      <x:c r="F234" s="51" t="str">
        <x:v>collection</x:v>
      </x:c>
      <x:c r="G234" s="51" t="str">
        <x:v>揭阳虚拟回收/检测中心</x:v>
      </x:c>
      <x:c r="H234" s="52" t="n">
        <x:v>329.2829682634781</x:v>
      </x:c>
      <x:c r="I234" s="52" t="n">
        <x:v>324.461</x:v>
      </x:c>
      <x:c r="J234" s="52" t="n">
        <x:v>225.88666666666668</x:v>
      </x:c>
      <x:c r="K234" s="52" t="n">
        <x:f>IFERROR(I234/H234,"")</x:f>
        <x:v>0.9853561564726308</x:v>
      </x:c>
      <x:c r="L234" s="52" t="n">
        <x:v>150</x:v>
      </x:c>
      <x:c r="M234" s="65" t="n">
        <x:f>IF(H234&lt;=L234,1,0)</x:f>
        <x:v>0</x:v>
      </x:c>
      <x:c r="N234" s="65" t="n">
        <x:f>IF(I234&lt;=L234,1,0)</x:f>
        <x:v>0</x:v>
      </x:c>
      <x:c r="O234" s="51" t="str">
        <x:f>IF(M234=N234,"不变",IF(N234=1,"由禁变允","由允变禁"))</x:f>
        <x:v>不变</x:v>
      </x:c>
      <x:c r="P234" s="51" t="str">
        <x:v>OSRM driving/car</x:v>
      </x:c>
      <x:c r="Q234" s="51" t="str">
        <x:v>2026-08-15</x:v>
      </x:c>
      <x:c r="R234" s="51" t="str">
        <x:v>C-开放路网计算；不是货车/危运合规路线</x:v>
      </x:c>
      <x:c r="S234" s="51" t="str">
        <x:v>https://routing.openstreetmap.de/routed-car/</x:v>
      </x:c>
    </x:row>
    <x:row r="235">
      <x:c r="A235" s="51" t="str">
        <x:v>A0231</x:v>
      </x:c>
      <x:c r="B235" s="51" t="str">
        <x:v>GD11</x:v>
      </x:c>
      <x:c r="C235" s="51" t="str">
        <x:v>source</x:v>
      </x:c>
      <x:c r="D235" s="51" t="str">
        <x:v>东莞</x:v>
      </x:c>
      <x:c r="E235" s="51" t="str">
        <x:v>C21</x:v>
      </x:c>
      <x:c r="F235" s="51" t="str">
        <x:v>collection</x:v>
      </x:c>
      <x:c r="G235" s="51" t="str">
        <x:v>云浮虚拟回收/检测中心</x:v>
      </x:c>
      <x:c r="H235" s="52" t="n">
        <x:v>239.07084014080786</x:v>
      </x:c>
      <x:c r="I235" s="52" t="n">
        <x:v>241.4305</x:v>
      </x:c>
      <x:c r="J235" s="52" t="n">
        <x:v>172.90333333333334</x:v>
      </x:c>
      <x:c r="K235" s="52" t="n">
        <x:f>IFERROR(I235/H235,"")</x:f>
        <x:v>1.0098701282757963</x:v>
      </x:c>
      <x:c r="L235" s="52" t="n">
        <x:v>150</x:v>
      </x:c>
      <x:c r="M235" s="65" t="n">
        <x:f>IF(H235&lt;=L235,1,0)</x:f>
        <x:v>0</x:v>
      </x:c>
      <x:c r="N235" s="65" t="n">
        <x:f>IF(I235&lt;=L235,1,0)</x:f>
        <x:v>0</x:v>
      </x:c>
      <x:c r="O235" s="51" t="str">
        <x:f>IF(M235=N235,"不变",IF(N235=1,"由禁变允","由允变禁"))</x:f>
        <x:v>不变</x:v>
      </x:c>
      <x:c r="P235" s="51" t="str">
        <x:v>OSRM driving/car</x:v>
      </x:c>
      <x:c r="Q235" s="51" t="str">
        <x:v>2026-08-15</x:v>
      </x:c>
      <x:c r="R235" s="51" t="str">
        <x:v>C-开放路网计算；不是货车/危运合规路线</x:v>
      </x:c>
      <x:c r="S235" s="51" t="str">
        <x:v>https://routing.openstreetmap.de/routed-car/</x:v>
      </x:c>
    </x:row>
    <x:row r="236">
      <x:c r="A236" s="51" t="str">
        <x:v>A0232</x:v>
      </x:c>
      <x:c r="B236" s="51" t="str">
        <x:v>GD12</x:v>
      </x:c>
      <x:c r="C236" s="51" t="str">
        <x:v>source</x:v>
      </x:c>
      <x:c r="D236" s="51" t="str">
        <x:v>中山</x:v>
      </x:c>
      <x:c r="E236" s="51" t="str">
        <x:v>C01</x:v>
      </x:c>
      <x:c r="F236" s="51" t="str">
        <x:v>collection</x:v>
      </x:c>
      <x:c r="G236" s="51" t="str">
        <x:v>广州虚拟回收/检测中心</x:v>
      </x:c>
      <x:c r="H236" s="52" t="n">
        <x:v>82.79613442153406</x:v>
      </x:c>
      <x:c r="I236" s="52" t="n">
        <x:v>82.532</x:v>
      </x:c>
      <x:c r="J236" s="52" t="n">
        <x:v>63.019999999999996</x:v>
      </x:c>
      <x:c r="K236" s="52" t="n">
        <x:f>IFERROR(I236/H236,"")</x:f>
        <x:v>0.9968098218186214</x:v>
      </x:c>
      <x:c r="L236" s="52" t="n">
        <x:v>150</x:v>
      </x:c>
      <x:c r="M236" s="65" t="n">
        <x:f>IF(H236&lt;=L236,1,0)</x:f>
        <x:v>1</x:v>
      </x:c>
      <x:c r="N236" s="65" t="n">
        <x:f>IF(I236&lt;=L236,1,0)</x:f>
        <x:v>1</x:v>
      </x:c>
      <x:c r="O236" s="51" t="str">
        <x:f>IF(M236=N236,"不变",IF(N236=1,"由禁变允","由允变禁"))</x:f>
        <x:v>不变</x:v>
      </x:c>
      <x:c r="P236" s="51" t="str">
        <x:v>OSRM driving/car</x:v>
      </x:c>
      <x:c r="Q236" s="51" t="str">
        <x:v>2026-08-15</x:v>
      </x:c>
      <x:c r="R236" s="51" t="str">
        <x:v>C-开放路网计算；不是货车/危运合规路线</x:v>
      </x:c>
      <x:c r="S236" s="51" t="str">
        <x:v>https://routing.openstreetmap.de/routed-car/</x:v>
      </x:c>
    </x:row>
    <x:row r="237">
      <x:c r="A237" s="51" t="str">
        <x:v>A0233</x:v>
      </x:c>
      <x:c r="B237" s="51" t="str">
        <x:v>GD12</x:v>
      </x:c>
      <x:c r="C237" s="51" t="str">
        <x:v>source</x:v>
      </x:c>
      <x:c r="D237" s="51" t="str">
        <x:v>中山</x:v>
      </x:c>
      <x:c r="E237" s="51" t="str">
        <x:v>C02</x:v>
      </x:c>
      <x:c r="F237" s="51" t="str">
        <x:v>collection</x:v>
      </x:c>
      <x:c r="G237" s="51" t="str">
        <x:v>深圳虚拟回收/检测中心</x:v>
      </x:c>
      <x:c r="H237" s="52" t="n">
        <x:v>82.31192214368541</x:v>
      </x:c>
      <x:c r="I237" s="52" t="n">
        <x:v>85.22619999999999</x:v>
      </x:c>
      <x:c r="J237" s="52" t="n">
        <x:v>68.96166666666666</x:v>
      </x:c>
      <x:c r="K237" s="52" t="n">
        <x:f>IFERROR(I237/H237,"")</x:f>
        <x:v>1.0354052946452563</x:v>
      </x:c>
      <x:c r="L237" s="52" t="n">
        <x:v>150</x:v>
      </x:c>
      <x:c r="M237" s="65" t="n">
        <x:f>IF(H237&lt;=L237,1,0)</x:f>
        <x:v>1</x:v>
      </x:c>
      <x:c r="N237" s="65" t="n">
        <x:f>IF(I237&lt;=L237,1,0)</x:f>
        <x:v>1</x:v>
      </x:c>
      <x:c r="O237" s="51" t="str">
        <x:f>IF(M237=N237,"不变",IF(N237=1,"由禁变允","由允变禁"))</x:f>
        <x:v>不变</x:v>
      </x:c>
      <x:c r="P237" s="51" t="str">
        <x:v>OSRM driving/car</x:v>
      </x:c>
      <x:c r="Q237" s="51" t="str">
        <x:v>2026-08-15</x:v>
      </x:c>
      <x:c r="R237" s="51" t="str">
        <x:v>C-开放路网计算；不是货车/危运合规路线</x:v>
      </x:c>
      <x:c r="S237" s="51" t="str">
        <x:v>https://routing.openstreetmap.de/routed-car/</x:v>
      </x:c>
    </x:row>
    <x:row r="238">
      <x:c r="A238" s="51" t="str">
        <x:v>A0234</x:v>
      </x:c>
      <x:c r="B238" s="51" t="str">
        <x:v>GD12</x:v>
      </x:c>
      <x:c r="C238" s="51" t="str">
        <x:v>source</x:v>
      </x:c>
      <x:c r="D238" s="51" t="str">
        <x:v>中山</x:v>
      </x:c>
      <x:c r="E238" s="51" t="str">
        <x:v>C03</x:v>
      </x:c>
      <x:c r="F238" s="51" t="str">
        <x:v>collection</x:v>
      </x:c>
      <x:c r="G238" s="51" t="str">
        <x:v>珠海虚拟回收/检测中心</x:v>
      </x:c>
      <x:c r="H238" s="52" t="n">
        <x:v>39.969720769320794</x:v>
      </x:c>
      <x:c r="I238" s="52" t="n">
        <x:v>43.703300000000006</x:v>
      </x:c>
      <x:c r="J238" s="52" t="n">
        <x:v>42.18333333333333</x:v>
      </x:c>
      <x:c r="K238" s="52" t="n">
        <x:f>IFERROR(I238/H238,"")</x:f>
        <x:v>1.0934101904846172</x:v>
      </x:c>
      <x:c r="L238" s="52" t="n">
        <x:v>150</x:v>
      </x:c>
      <x:c r="M238" s="65" t="n">
        <x:f>IF(H238&lt;=L238,1,0)</x:f>
        <x:v>1</x:v>
      </x:c>
      <x:c r="N238" s="65" t="n">
        <x:f>IF(I238&lt;=L238,1,0)</x:f>
        <x:v>1</x:v>
      </x:c>
      <x:c r="O238" s="51" t="str">
        <x:f>IF(M238=N238,"不变",IF(N238=1,"由禁变允","由允变禁"))</x:f>
        <x:v>不变</x:v>
      </x:c>
      <x:c r="P238" s="51" t="str">
        <x:v>OSRM driving/car</x:v>
      </x:c>
      <x:c r="Q238" s="51" t="str">
        <x:v>2026-08-15</x:v>
      </x:c>
      <x:c r="R238" s="51" t="str">
        <x:v>C-开放路网计算；不是货车/危运合规路线</x:v>
      </x:c>
      <x:c r="S238" s="51" t="str">
        <x:v>https://routing.openstreetmap.de/routed-car/</x:v>
      </x:c>
    </x:row>
    <x:row r="239">
      <x:c r="A239" s="51" t="str">
        <x:v>A0235</x:v>
      </x:c>
      <x:c r="B239" s="51" t="str">
        <x:v>GD12</x:v>
      </x:c>
      <x:c r="C239" s="51" t="str">
        <x:v>source</x:v>
      </x:c>
      <x:c r="D239" s="51" t="str">
        <x:v>中山</x:v>
      </x:c>
      <x:c r="E239" s="51" t="str">
        <x:v>C04</x:v>
      </x:c>
      <x:c r="F239" s="51" t="str">
        <x:v>collection</x:v>
      </x:c>
      <x:c r="G239" s="51" t="str">
        <x:v>汕头虚拟回收/检测中心</x:v>
      </x:c>
      <x:c r="H239" s="52" t="n">
        <x:v>419.44492112015877</x:v>
      </x:c>
      <x:c r="I239" s="52" t="n">
        <x:v>410.59090000000003</x:v>
      </x:c>
      <x:c r="J239" s="52" t="n">
        <x:v>290.86333333333334</x:v>
      </x:c>
      <x:c r="K239" s="52" t="n">
        <x:f>IFERROR(I239/H239,"")</x:f>
        <x:v>0.9788910994642314</x:v>
      </x:c>
      <x:c r="L239" s="52" t="n">
        <x:v>150</x:v>
      </x:c>
      <x:c r="M239" s="65" t="n">
        <x:f>IF(H239&lt;=L239,1,0)</x:f>
        <x:v>0</x:v>
      </x:c>
      <x:c r="N239" s="65" t="n">
        <x:f>IF(I239&lt;=L239,1,0)</x:f>
        <x:v>0</x:v>
      </x:c>
      <x:c r="O239" s="51" t="str">
        <x:f>IF(M239=N239,"不变",IF(N239=1,"由禁变允","由允变禁"))</x:f>
        <x:v>不变</x:v>
      </x:c>
      <x:c r="P239" s="51" t="str">
        <x:v>OSRM driving/car</x:v>
      </x:c>
      <x:c r="Q239" s="51" t="str">
        <x:v>2026-08-15</x:v>
      </x:c>
      <x:c r="R239" s="51" t="str">
        <x:v>C-开放路网计算；不是货车/危运合规路线</x:v>
      </x:c>
      <x:c r="S239" s="51" t="str">
        <x:v>https://routing.openstreetmap.de/routed-car/</x:v>
      </x:c>
    </x:row>
    <x:row r="240">
      <x:c r="A240" s="51" t="str">
        <x:v>A0236</x:v>
      </x:c>
      <x:c r="B240" s="51" t="str">
        <x:v>GD12</x:v>
      </x:c>
      <x:c r="C240" s="51" t="str">
        <x:v>source</x:v>
      </x:c>
      <x:c r="D240" s="51" t="str">
        <x:v>中山</x:v>
      </x:c>
      <x:c r="E240" s="51" t="str">
        <x:v>C05</x:v>
      </x:c>
      <x:c r="F240" s="51" t="str">
        <x:v>collection</x:v>
      </x:c>
      <x:c r="G240" s="51" t="str">
        <x:v>佛山虚拟回收/检测中心</x:v>
      </x:c>
      <x:c r="H240" s="52" t="n">
        <x:v>75.10964913262345</x:v>
      </x:c>
      <x:c r="I240" s="52" t="n">
        <x:v>75.559</x:v>
      </x:c>
      <x:c r="J240" s="52" t="n">
        <x:v>59.56166666666666</x:v>
      </x:c>
      <x:c r="K240" s="52" t="n">
        <x:f>IFERROR(I240/H240,"")</x:f>
        <x:v>1.0059825984086694</x:v>
      </x:c>
      <x:c r="L240" s="52" t="n">
        <x:v>150</x:v>
      </x:c>
      <x:c r="M240" s="65" t="n">
        <x:f>IF(H240&lt;=L240,1,0)</x:f>
        <x:v>1</x:v>
      </x:c>
      <x:c r="N240" s="65" t="n">
        <x:f>IF(I240&lt;=L240,1,0)</x:f>
        <x:v>1</x:v>
      </x:c>
      <x:c r="O240" s="51" t="str">
        <x:f>IF(M240=N240,"不变",IF(N240=1,"由禁变允","由允变禁"))</x:f>
        <x:v>不变</x:v>
      </x:c>
      <x:c r="P240" s="51" t="str">
        <x:v>OSRM driving/car</x:v>
      </x:c>
      <x:c r="Q240" s="51" t="str">
        <x:v>2026-08-15</x:v>
      </x:c>
      <x:c r="R240" s="51" t="str">
        <x:v>C-开放路网计算；不是货车/危运合规路线</x:v>
      </x:c>
      <x:c r="S240" s="51" t="str">
        <x:v>https://routing.openstreetmap.de/routed-car/</x:v>
      </x:c>
    </x:row>
    <x:row r="241">
      <x:c r="A241" s="51" t="str">
        <x:v>A0237</x:v>
      </x:c>
      <x:c r="B241" s="51" t="str">
        <x:v>GD12</x:v>
      </x:c>
      <x:c r="C241" s="51" t="str">
        <x:v>source</x:v>
      </x:c>
      <x:c r="D241" s="51" t="str">
        <x:v>中山</x:v>
      </x:c>
      <x:c r="E241" s="51" t="str">
        <x:v>C06</x:v>
      </x:c>
      <x:c r="F241" s="51" t="str">
        <x:v>collection</x:v>
      </x:c>
      <x:c r="G241" s="51" t="str">
        <x:v>韶关虚拟回收/检测中心</x:v>
      </x:c>
      <x:c r="H241" s="52" t="n">
        <x:v>312.80688178629845</x:v>
      </x:c>
      <x:c r="I241" s="52" t="n">
        <x:v>315.4167</x:v>
      </x:c>
      <x:c r="J241" s="52" t="n">
        <x:v>227.55333333333334</x:v>
      </x:c>
      <x:c r="K241" s="52" t="n">
        <x:f>IFERROR(I241/H241,"")</x:f>
        <x:v>1.0083432250556574</x:v>
      </x:c>
      <x:c r="L241" s="52" t="n">
        <x:v>150</x:v>
      </x:c>
      <x:c r="M241" s="65" t="n">
        <x:f>IF(H241&lt;=L241,1,0)</x:f>
        <x:v>0</x:v>
      </x:c>
      <x:c r="N241" s="65" t="n">
        <x:f>IF(I241&lt;=L241,1,0)</x:f>
        <x:v>0</x:v>
      </x:c>
      <x:c r="O241" s="51" t="str">
        <x:f>IF(M241=N241,"不变",IF(N241=1,"由禁变允","由允变禁"))</x:f>
        <x:v>不变</x:v>
      </x:c>
      <x:c r="P241" s="51" t="str">
        <x:v>OSRM driving/car</x:v>
      </x:c>
      <x:c r="Q241" s="51" t="str">
        <x:v>2026-08-15</x:v>
      </x:c>
      <x:c r="R241" s="51" t="str">
        <x:v>C-开放路网计算；不是货车/危运合规路线</x:v>
      </x:c>
      <x:c r="S241" s="51" t="str">
        <x:v>https://routing.openstreetmap.de/routed-car/</x:v>
      </x:c>
    </x:row>
    <x:row r="242">
      <x:c r="A242" s="51" t="str">
        <x:v>A0238</x:v>
      </x:c>
      <x:c r="B242" s="51" t="str">
        <x:v>GD12</x:v>
      </x:c>
      <x:c r="C242" s="51" t="str">
        <x:v>source</x:v>
      </x:c>
      <x:c r="D242" s="51" t="str">
        <x:v>中山</x:v>
      </x:c>
      <x:c r="E242" s="51" t="str">
        <x:v>C07</x:v>
      </x:c>
      <x:c r="F242" s="51" t="str">
        <x:v>collection</x:v>
      </x:c>
      <x:c r="G242" s="51" t="str">
        <x:v>河源虚拟回收/检测中心</x:v>
      </x:c>
      <x:c r="H242" s="52" t="n">
        <x:v>294.02113032666034</x:v>
      </x:c>
      <x:c r="I242" s="52" t="n">
        <x:v>305.7668</x:v>
      </x:c>
      <x:c r="J242" s="52" t="n">
        <x:v>239.43666666666667</x:v>
      </x:c>
      <x:c r="K242" s="52" t="n">
        <x:f>IFERROR(I242/H242,"")</x:f>
        <x:v>1.039948386227514</x:v>
      </x:c>
      <x:c r="L242" s="52" t="n">
        <x:v>150</x:v>
      </x:c>
      <x:c r="M242" s="65" t="n">
        <x:f>IF(H242&lt;=L242,1,0)</x:f>
        <x:v>0</x:v>
      </x:c>
      <x:c r="N242" s="65" t="n">
        <x:f>IF(I242&lt;=L242,1,0)</x:f>
        <x:v>0</x:v>
      </x:c>
      <x:c r="O242" s="51" t="str">
        <x:f>IF(M242=N242,"不变",IF(N242=1,"由禁变允","由允变禁"))</x:f>
        <x:v>不变</x:v>
      </x:c>
      <x:c r="P242" s="51" t="str">
        <x:v>OSRM driving/car</x:v>
      </x:c>
      <x:c r="Q242" s="51" t="str">
        <x:v>2026-08-15</x:v>
      </x:c>
      <x:c r="R242" s="51" t="str">
        <x:v>C-开放路网计算；不是货车/危运合规路线</x:v>
      </x:c>
      <x:c r="S242" s="51" t="str">
        <x:v>https://routing.openstreetmap.de/routed-car/</x:v>
      </x:c>
    </x:row>
    <x:row r="243">
      <x:c r="A243" s="51" t="str">
        <x:v>A0239</x:v>
      </x:c>
      <x:c r="B243" s="51" t="str">
        <x:v>GD12</x:v>
      </x:c>
      <x:c r="C243" s="51" t="str">
        <x:v>source</x:v>
      </x:c>
      <x:c r="D243" s="51" t="str">
        <x:v>中山</x:v>
      </x:c>
      <x:c r="E243" s="51" t="str">
        <x:v>C08</x:v>
      </x:c>
      <x:c r="F243" s="51" t="str">
        <x:v>collection</x:v>
      </x:c>
      <x:c r="G243" s="51" t="str">
        <x:v>梅州虚拟回收/检测中心</x:v>
      </x:c>
      <x:c r="H243" s="52" t="n">
        <x:v>409.44693839547136</x:v>
      </x:c>
      <x:c r="I243" s="52" t="n">
        <x:v>414.6429</x:v>
      </x:c>
      <x:c r="J243" s="52" t="n">
        <x:v>295.2966666666667</x:v>
      </x:c>
      <x:c r="K243" s="52" t="n">
        <x:f>IFERROR(I243/H243,"")</x:f>
        <x:v>1.0126901952787593</x:v>
      </x:c>
      <x:c r="L243" s="52" t="n">
        <x:v>150</x:v>
      </x:c>
      <x:c r="M243" s="65" t="n">
        <x:f>IF(H243&lt;=L243,1,0)</x:f>
        <x:v>0</x:v>
      </x:c>
      <x:c r="N243" s="65" t="n">
        <x:f>IF(I243&lt;=L243,1,0)</x:f>
        <x:v>0</x:v>
      </x:c>
      <x:c r="O243" s="51" t="str">
        <x:f>IF(M243=N243,"不变",IF(N243=1,"由禁变允","由允变禁"))</x:f>
        <x:v>不变</x:v>
      </x:c>
      <x:c r="P243" s="51" t="str">
        <x:v>OSRM driving/car</x:v>
      </x:c>
      <x:c r="Q243" s="51" t="str">
        <x:v>2026-08-15</x:v>
      </x:c>
      <x:c r="R243" s="51" t="str">
        <x:v>C-开放路网计算；不是货车/危运合规路线</x:v>
      </x:c>
      <x:c r="S243" s="51" t="str">
        <x:v>https://routing.openstreetmap.de/routed-car/</x:v>
      </x:c>
    </x:row>
    <x:row r="244">
      <x:c r="A244" s="51" t="str">
        <x:v>A0240</x:v>
      </x:c>
      <x:c r="B244" s="51" t="str">
        <x:v>GD12</x:v>
      </x:c>
      <x:c r="C244" s="51" t="str">
        <x:v>source</x:v>
      </x:c>
      <x:c r="D244" s="51" t="str">
        <x:v>中山</x:v>
      </x:c>
      <x:c r="E244" s="51" t="str">
        <x:v>C09</x:v>
      </x:c>
      <x:c r="F244" s="51" t="str">
        <x:v>collection</x:v>
      </x:c>
      <x:c r="G244" s="51" t="str">
        <x:v>惠州虚拟回收/检测中心</x:v>
      </x:c>
      <x:c r="H244" s="52" t="n">
        <x:v>148.87711821877198</x:v>
      </x:c>
      <x:c r="I244" s="52" t="n">
        <x:v>146.90079999999998</x:v>
      </x:c>
      <x:c r="J244" s="52" t="n">
        <x:v>116.59666666666666</x:v>
      </x:c>
      <x:c r="K244" s="52" t="n">
        <x:f>IFERROR(I244/H244,"")</x:f>
        <x:v>0.986725171454032</x:v>
      </x:c>
      <x:c r="L244" s="52" t="n">
        <x:v>150</x:v>
      </x:c>
      <x:c r="M244" s="65" t="n">
        <x:f>IF(H244&lt;=L244,1,0)</x:f>
        <x:v>1</x:v>
      </x:c>
      <x:c r="N244" s="65" t="n">
        <x:f>IF(I244&lt;=L244,1,0)</x:f>
        <x:v>1</x:v>
      </x:c>
      <x:c r="O244" s="51" t="str">
        <x:f>IF(M244=N244,"不变",IF(N244=1,"由禁变允","由允变禁"))</x:f>
        <x:v>不变</x:v>
      </x:c>
      <x:c r="P244" s="51" t="str">
        <x:v>OSRM driving/car</x:v>
      </x:c>
      <x:c r="Q244" s="51" t="str">
        <x:v>2026-08-15</x:v>
      </x:c>
      <x:c r="R244" s="51" t="str">
        <x:v>C-开放路网计算；不是货车/危运合规路线</x:v>
      </x:c>
      <x:c r="S244" s="51" t="str">
        <x:v>https://routing.openstreetmap.de/routed-car/</x:v>
      </x:c>
    </x:row>
    <x:row r="245">
      <x:c r="A245" s="51" t="str">
        <x:v>A0241</x:v>
      </x:c>
      <x:c r="B245" s="51" t="str">
        <x:v>GD12</x:v>
      </x:c>
      <x:c r="C245" s="51" t="str">
        <x:v>source</x:v>
      </x:c>
      <x:c r="D245" s="51" t="str">
        <x:v>中山</x:v>
      </x:c>
      <x:c r="E245" s="51" t="str">
        <x:v>C10</x:v>
      </x:c>
      <x:c r="F245" s="51" t="str">
        <x:v>collection</x:v>
      </x:c>
      <x:c r="G245" s="51" t="str">
        <x:v>汕尾虚拟回收/检测中心</x:v>
      </x:c>
      <x:c r="H245" s="52" t="n">
        <x:v>269.3238430803518</x:v>
      </x:c>
      <x:c r="I245" s="52" t="n">
        <x:v>268.8607</x:v>
      </x:c>
      <x:c r="J245" s="52" t="n">
        <x:v>209.50833333333333</x:v>
      </x:c>
      <x:c r="K245" s="52" t="n">
        <x:f>IFERROR(I245/H245,"")</x:f>
        <x:v>0.9982803487613474</x:v>
      </x:c>
      <x:c r="L245" s="52" t="n">
        <x:v>150</x:v>
      </x:c>
      <x:c r="M245" s="65" t="n">
        <x:f>IF(H245&lt;=L245,1,0)</x:f>
        <x:v>0</x:v>
      </x:c>
      <x:c r="N245" s="65" t="n">
        <x:f>IF(I245&lt;=L245,1,0)</x:f>
        <x:v>0</x:v>
      </x:c>
      <x:c r="O245" s="51" t="str">
        <x:f>IF(M245=N245,"不变",IF(N245=1,"由禁变允","由允变禁"))</x:f>
        <x:v>不变</x:v>
      </x:c>
      <x:c r="P245" s="51" t="str">
        <x:v>OSRM driving/car</x:v>
      </x:c>
      <x:c r="Q245" s="51" t="str">
        <x:v>2026-08-15</x:v>
      </x:c>
      <x:c r="R245" s="51" t="str">
        <x:v>C-开放路网计算；不是货车/危运合规路线</x:v>
      </x:c>
      <x:c r="S245" s="51" t="str">
        <x:v>https://routing.openstreetmap.de/routed-car/</x:v>
      </x:c>
    </x:row>
    <x:row r="246">
      <x:c r="A246" s="51" t="str">
        <x:v>A0242</x:v>
      </x:c>
      <x:c r="B246" s="51" t="str">
        <x:v>GD12</x:v>
      </x:c>
      <x:c r="C246" s="51" t="str">
        <x:v>source</x:v>
      </x:c>
      <x:c r="D246" s="51" t="str">
        <x:v>中山</x:v>
      </x:c>
      <x:c r="E246" s="51" t="str">
        <x:v>C11</x:v>
      </x:c>
      <x:c r="F246" s="51" t="str">
        <x:v>collection</x:v>
      </x:c>
      <x:c r="G246" s="51" t="str">
        <x:v>东莞虚拟回收/检测中心</x:v>
      </x:c>
      <x:c r="H246" s="52" t="n">
        <x:v>79.79519060047858</x:v>
      </x:c>
      <x:c r="I246" s="52" t="n">
        <x:v>81.4106</x:v>
      </x:c>
      <x:c r="J246" s="52" t="n">
        <x:v>72.66000000000001</x:v>
      </x:c>
      <x:c r="K246" s="52" t="n">
        <x:f>IFERROR(I246/H246,"")</x:f>
        <x:v>1.020244445653492</x:v>
      </x:c>
      <x:c r="L246" s="52" t="n">
        <x:v>150</x:v>
      </x:c>
      <x:c r="M246" s="65" t="n">
        <x:f>IF(H246&lt;=L246,1,0)</x:f>
        <x:v>1</x:v>
      </x:c>
      <x:c r="N246" s="65" t="n">
        <x:f>IF(I246&lt;=L246,1,0)</x:f>
        <x:v>1</x:v>
      </x:c>
      <x:c r="O246" s="51" t="str">
        <x:f>IF(M246=N246,"不变",IF(N246=1,"由禁变允","由允变禁"))</x:f>
        <x:v>不变</x:v>
      </x:c>
      <x:c r="P246" s="51" t="str">
        <x:v>OSRM driving/car</x:v>
      </x:c>
      <x:c r="Q246" s="51" t="str">
        <x:v>2026-08-15</x:v>
      </x:c>
      <x:c r="R246" s="51" t="str">
        <x:v>C-开放路网计算；不是货车/危运合规路线</x:v>
      </x:c>
      <x:c r="S246" s="51" t="str">
        <x:v>https://routing.openstreetmap.de/routed-car/</x:v>
      </x:c>
    </x:row>
    <x:row r="247">
      <x:c r="A247" s="51" t="str">
        <x:v>A0243</x:v>
      </x:c>
      <x:c r="B247" s="51" t="str">
        <x:v>GD12</x:v>
      </x:c>
      <x:c r="C247" s="51" t="str">
        <x:v>source</x:v>
      </x:c>
      <x:c r="D247" s="51" t="str">
        <x:v>中山</x:v>
      </x:c>
      <x:c r="E247" s="51" t="str">
        <x:v>C12</x:v>
      </x:c>
      <x:c r="F247" s="51" t="str">
        <x:v>collection</x:v>
      </x:c>
      <x:c r="G247" s="51" t="str">
        <x:v>中山虚拟回收/检测中心</x:v>
      </x:c>
      <x:c r="H247" s="52" t="n">
        <x:v>0</x:v>
      </x:c>
      <x:c r="I247" s="52" t="n">
        <x:v>0</x:v>
      </x:c>
      <x:c r="J247" s="52" t="n">
        <x:v>0</x:v>
      </x:c>
      <x:c r="K247" s="52" t="str">
        <x:f>IFERROR(I247/H247,"")</x:f>
      </x:c>
      <x:c r="L247" s="52" t="n">
        <x:v>150</x:v>
      </x:c>
      <x:c r="M247" s="65" t="n">
        <x:f>IF(H247&lt;=L247,1,0)</x:f>
        <x:v>1</x:v>
      </x:c>
      <x:c r="N247" s="65" t="n">
        <x:f>IF(I247&lt;=L247,1,0)</x:f>
        <x:v>1</x:v>
      </x:c>
      <x:c r="O247" s="51" t="str">
        <x:f>IF(M247=N247,"不变",IF(N247=1,"由禁变允","由允变禁"))</x:f>
        <x:v>不变</x:v>
      </x:c>
      <x:c r="P247" s="51" t="str">
        <x:v>OSRM driving/car</x:v>
      </x:c>
      <x:c r="Q247" s="51" t="str">
        <x:v>2026-08-15</x:v>
      </x:c>
      <x:c r="R247" s="51" t="str">
        <x:v>C-开放路网计算；不是货车/危运合规路线</x:v>
      </x:c>
      <x:c r="S247" s="51" t="str">
        <x:v>https://routing.openstreetmap.de/routed-car/</x:v>
      </x:c>
    </x:row>
    <x:row r="248">
      <x:c r="A248" s="51" t="str">
        <x:v>A0244</x:v>
      </x:c>
      <x:c r="B248" s="51" t="str">
        <x:v>GD12</x:v>
      </x:c>
      <x:c r="C248" s="51" t="str">
        <x:v>source</x:v>
      </x:c>
      <x:c r="D248" s="51" t="str">
        <x:v>中山</x:v>
      </x:c>
      <x:c r="E248" s="51" t="str">
        <x:v>C13</x:v>
      </x:c>
      <x:c r="F248" s="51" t="str">
        <x:v>collection</x:v>
      </x:c>
      <x:c r="G248" s="51" t="str">
        <x:v>江门虚拟回收/检测中心</x:v>
      </x:c>
      <x:c r="H248" s="52" t="n">
        <x:v>39.22129266425868</x:v>
      </x:c>
      <x:c r="I248" s="52" t="n">
        <x:v>39.5464</x:v>
      </x:c>
      <x:c r="J248" s="52" t="n">
        <x:v>35.535</x:v>
      </x:c>
      <x:c r="K248" s="52" t="n">
        <x:f>IFERROR(I248/H248,"")</x:f>
        <x:v>1.0082890520341667</x:v>
      </x:c>
      <x:c r="L248" s="52" t="n">
        <x:v>150</x:v>
      </x:c>
      <x:c r="M248" s="65" t="n">
        <x:f>IF(H248&lt;=L248,1,0)</x:f>
        <x:v>1</x:v>
      </x:c>
      <x:c r="N248" s="65" t="n">
        <x:f>IF(I248&lt;=L248,1,0)</x:f>
        <x:v>1</x:v>
      </x:c>
      <x:c r="O248" s="51" t="str">
        <x:f>IF(M248=N248,"不变",IF(N248=1,"由禁变允","由允变禁"))</x:f>
        <x:v>不变</x:v>
      </x:c>
      <x:c r="P248" s="51" t="str">
        <x:v>OSRM driving/car</x:v>
      </x:c>
      <x:c r="Q248" s="51" t="str">
        <x:v>2026-08-15</x:v>
      </x:c>
      <x:c r="R248" s="51" t="str">
        <x:v>C-开放路网计算；不是货车/危运合规路线</x:v>
      </x:c>
      <x:c r="S248" s="51" t="str">
        <x:v>https://routing.openstreetmap.de/routed-car/</x:v>
      </x:c>
    </x:row>
    <x:row r="249">
      <x:c r="A249" s="51" t="str">
        <x:v>A0245</x:v>
      </x:c>
      <x:c r="B249" s="51" t="str">
        <x:v>GD12</x:v>
      </x:c>
      <x:c r="C249" s="51" t="str">
        <x:v>source</x:v>
      </x:c>
      <x:c r="D249" s="51" t="str">
        <x:v>中山</x:v>
      </x:c>
      <x:c r="E249" s="51" t="str">
        <x:v>C14</x:v>
      </x:c>
      <x:c r="F249" s="51" t="str">
        <x:v>collection</x:v>
      </x:c>
      <x:c r="G249" s="51" t="str">
        <x:v>阳江虚拟回收/检测中心</x:v>
      </x:c>
      <x:c r="H249" s="52" t="n">
        <x:v>205.9387801343193</x:v>
      </x:c>
      <x:c r="I249" s="52" t="n">
        <x:v>216.03920000000002</x:v>
      </x:c>
      <x:c r="J249" s="52" t="n">
        <x:v>151.02166666666665</x:v>
      </x:c>
      <x:c r="K249" s="52" t="n">
        <x:f>IFERROR(I249/H249,"")</x:f>
        <x:v>1.0490457399965802</x:v>
      </x:c>
      <x:c r="L249" s="52" t="n">
        <x:v>150</x:v>
      </x:c>
      <x:c r="M249" s="65" t="n">
        <x:f>IF(H249&lt;=L249,1,0)</x:f>
        <x:v>0</x:v>
      </x:c>
      <x:c r="N249" s="65" t="n">
        <x:f>IF(I249&lt;=L249,1,0)</x:f>
        <x:v>0</x:v>
      </x:c>
      <x:c r="O249" s="51" t="str">
        <x:f>IF(M249=N249,"不变",IF(N249=1,"由禁变允","由允变禁"))</x:f>
        <x:v>不变</x:v>
      </x:c>
      <x:c r="P249" s="51" t="str">
        <x:v>OSRM driving/car</x:v>
      </x:c>
      <x:c r="Q249" s="51" t="str">
        <x:v>2026-08-15</x:v>
      </x:c>
      <x:c r="R249" s="51" t="str">
        <x:v>C-开放路网计算；不是货车/危运合规路线</x:v>
      </x:c>
      <x:c r="S249" s="51" t="str">
        <x:v>https://routing.openstreetmap.de/routed-car/</x:v>
      </x:c>
    </x:row>
    <x:row r="250">
      <x:c r="A250" s="51" t="str">
        <x:v>A0246</x:v>
      </x:c>
      <x:c r="B250" s="51" t="str">
        <x:v>GD12</x:v>
      </x:c>
      <x:c r="C250" s="51" t="str">
        <x:v>source</x:v>
      </x:c>
      <x:c r="D250" s="51" t="str">
        <x:v>中山</x:v>
      </x:c>
      <x:c r="E250" s="51" t="str">
        <x:v>C15</x:v>
      </x:c>
      <x:c r="F250" s="51" t="str">
        <x:v>collection</x:v>
      </x:c>
      <x:c r="G250" s="51" t="str">
        <x:v>湛江虚拟回收/检测中心</x:v>
      </x:c>
      <x:c r="H250" s="52" t="n">
        <x:v>410.5848719535726</x:v>
      </x:c>
      <x:c r="I250" s="52" t="n">
        <x:v>387.822</x:v>
      </x:c>
      <x:c r="J250" s="52" t="n">
        <x:v>261.39500000000004</x:v>
      </x:c>
      <x:c r="K250" s="52" t="n">
        <x:f>IFERROR(I250/H250,"")</x:f>
        <x:v>0.9445598863755834</x:v>
      </x:c>
      <x:c r="L250" s="52" t="n">
        <x:v>150</x:v>
      </x:c>
      <x:c r="M250" s="65" t="n">
        <x:f>IF(H250&lt;=L250,1,0)</x:f>
        <x:v>0</x:v>
      </x:c>
      <x:c r="N250" s="65" t="n">
        <x:f>IF(I250&lt;=L250,1,0)</x:f>
        <x:v>0</x:v>
      </x:c>
      <x:c r="O250" s="51" t="str">
        <x:f>IF(M250=N250,"不变",IF(N250=1,"由禁变允","由允变禁"))</x:f>
        <x:v>不变</x:v>
      </x:c>
      <x:c r="P250" s="51" t="str">
        <x:v>OSRM driving/car</x:v>
      </x:c>
      <x:c r="Q250" s="51" t="str">
        <x:v>2026-08-15</x:v>
      </x:c>
      <x:c r="R250" s="51" t="str">
        <x:v>C-开放路网计算；不是货车/危运合规路线</x:v>
      </x:c>
      <x:c r="S250" s="51" t="str">
        <x:v>https://routing.openstreetmap.de/routed-car/</x:v>
      </x:c>
    </x:row>
    <x:row r="251">
      <x:c r="A251" s="51" t="str">
        <x:v>A0247</x:v>
      </x:c>
      <x:c r="B251" s="51" t="str">
        <x:v>GD12</x:v>
      </x:c>
      <x:c r="C251" s="51" t="str">
        <x:v>source</x:v>
      </x:c>
      <x:c r="D251" s="51" t="str">
        <x:v>中山</x:v>
      </x:c>
      <x:c r="E251" s="51" t="str">
        <x:v>C16</x:v>
      </x:c>
      <x:c r="F251" s="51" t="str">
        <x:v>collection</x:v>
      </x:c>
      <x:c r="G251" s="51" t="str">
        <x:v>茂名虚拟回收/检测中心</x:v>
      </x:c>
      <x:c r="H251" s="52" t="n">
        <x:v>325.5130888831378</x:v>
      </x:c>
      <x:c r="I251" s="52" t="n">
        <x:v>307.07259999999997</x:v>
      </x:c>
      <x:c r="J251" s="52" t="n">
        <x:v>210.31</x:v>
      </x:c>
      <x:c r="K251" s="52" t="n">
        <x:f>IFERROR(I251/H251,"")</x:f>
        <x:v>0.9433494703810262</x:v>
      </x:c>
      <x:c r="L251" s="52" t="n">
        <x:v>150</x:v>
      </x:c>
      <x:c r="M251" s="65" t="n">
        <x:f>IF(H251&lt;=L251,1,0)</x:f>
        <x:v>0</x:v>
      </x:c>
      <x:c r="N251" s="65" t="n">
        <x:f>IF(I251&lt;=L251,1,0)</x:f>
        <x:v>0</x:v>
      </x:c>
      <x:c r="O251" s="51" t="str">
        <x:f>IF(M251=N251,"不变",IF(N251=1,"由禁变允","由允变禁"))</x:f>
        <x:v>不变</x:v>
      </x:c>
      <x:c r="P251" s="51" t="str">
        <x:v>OSRM driving/car</x:v>
      </x:c>
      <x:c r="Q251" s="51" t="str">
        <x:v>2026-08-15</x:v>
      </x:c>
      <x:c r="R251" s="51" t="str">
        <x:v>C-开放路网计算；不是货车/危运合规路线</x:v>
      </x:c>
      <x:c r="S251" s="51" t="str">
        <x:v>https://routing.openstreetmap.de/routed-car/</x:v>
      </x:c>
    </x:row>
    <x:row r="252">
      <x:c r="A252" s="51" t="str">
        <x:v>A0248</x:v>
      </x:c>
      <x:c r="B252" s="51" t="str">
        <x:v>GD12</x:v>
      </x:c>
      <x:c r="C252" s="51" t="str">
        <x:v>source</x:v>
      </x:c>
      <x:c r="D252" s="51" t="str">
        <x:v>中山</x:v>
      </x:c>
      <x:c r="E252" s="51" t="str">
        <x:v>C17</x:v>
      </x:c>
      <x:c r="F252" s="51" t="str">
        <x:v>collection</x:v>
      </x:c>
      <x:c r="G252" s="51" t="str">
        <x:v>肇庆虚拟回收/检测中心</x:v>
      </x:c>
      <x:c r="H252" s="52" t="n">
        <x:v>134.2064883138392</x:v>
      </x:c>
      <x:c r="I252" s="52" t="n">
        <x:v>141.1441</x:v>
      </x:c>
      <x:c r="J252" s="52" t="n">
        <x:v>108.295</x:v>
      </x:c>
      <x:c r="K252" s="52" t="n">
        <x:f>IFERROR(I252/H252,"")</x:f>
        <x:v>1.051693563950033</x:v>
      </x:c>
      <x:c r="L252" s="52" t="n">
        <x:v>150</x:v>
      </x:c>
      <x:c r="M252" s="65" t="n">
        <x:f>IF(H252&lt;=L252,1,0)</x:f>
        <x:v>1</x:v>
      </x:c>
      <x:c r="N252" s="65" t="n">
        <x:f>IF(I252&lt;=L252,1,0)</x:f>
        <x:v>1</x:v>
      </x:c>
      <x:c r="O252" s="51" t="str">
        <x:f>IF(M252=N252,"不变",IF(N252=1,"由禁变允","由允变禁"))</x:f>
        <x:v>不变</x:v>
      </x:c>
      <x:c r="P252" s="51" t="str">
        <x:v>OSRM driving/car</x:v>
      </x:c>
      <x:c r="Q252" s="51" t="str">
        <x:v>2026-08-15</x:v>
      </x:c>
      <x:c r="R252" s="51" t="str">
        <x:v>C-开放路网计算；不是货车/危运合规路线</x:v>
      </x:c>
      <x:c r="S252" s="51" t="str">
        <x:v>https://routing.openstreetmap.de/routed-car/</x:v>
      </x:c>
    </x:row>
    <x:row r="253">
      <x:c r="A253" s="51" t="str">
        <x:v>A0249</x:v>
      </x:c>
      <x:c r="B253" s="51" t="str">
        <x:v>GD12</x:v>
      </x:c>
      <x:c r="C253" s="51" t="str">
        <x:v>source</x:v>
      </x:c>
      <x:c r="D253" s="51" t="str">
        <x:v>中山</x:v>
      </x:c>
      <x:c r="E253" s="51" t="str">
        <x:v>C18</x:v>
      </x:c>
      <x:c r="F253" s="51" t="str">
        <x:v>collection</x:v>
      </x:c>
      <x:c r="G253" s="51" t="str">
        <x:v>清远虚拟回收/检测中心</x:v>
      </x:c>
      <x:c r="H253" s="52" t="n">
        <x:v>160.66540404712987</x:v>
      </x:c>
      <x:c r="I253" s="52" t="n">
        <x:v>156.5989</x:v>
      </x:c>
      <x:c r="J253" s="52" t="n">
        <x:v>117.08999999999999</x:v>
      </x:c>
      <x:c r="K253" s="52" t="n">
        <x:f>IFERROR(I253/H253,"")</x:f>
        <x:v>0.9746896099303556</x:v>
      </x:c>
      <x:c r="L253" s="52" t="n">
        <x:v>150</x:v>
      </x:c>
      <x:c r="M253" s="65" t="n">
        <x:f>IF(H253&lt;=L253,1,0)</x:f>
        <x:v>0</x:v>
      </x:c>
      <x:c r="N253" s="65" t="n">
        <x:f>IF(I253&lt;=L253,1,0)</x:f>
        <x:v>0</x:v>
      </x:c>
      <x:c r="O253" s="51" t="str">
        <x:f>IF(M253=N253,"不变",IF(N253=1,"由禁变允","由允变禁"))</x:f>
        <x:v>不变</x:v>
      </x:c>
      <x:c r="P253" s="51" t="str">
        <x:v>OSRM driving/car</x:v>
      </x:c>
      <x:c r="Q253" s="51" t="str">
        <x:v>2026-08-15</x:v>
      </x:c>
      <x:c r="R253" s="51" t="str">
        <x:v>C-开放路网计算；不是货车/危运合规路线</x:v>
      </x:c>
      <x:c r="S253" s="51" t="str">
        <x:v>https://routing.openstreetmap.de/routed-car/</x:v>
      </x:c>
    </x:row>
    <x:row r="254">
      <x:c r="A254" s="51" t="str">
        <x:v>A0250</x:v>
      </x:c>
      <x:c r="B254" s="51" t="str">
        <x:v>GD12</x:v>
      </x:c>
      <x:c r="C254" s="51" t="str">
        <x:v>source</x:v>
      </x:c>
      <x:c r="D254" s="51" t="str">
        <x:v>中山</x:v>
      </x:c>
      <x:c r="E254" s="51" t="str">
        <x:v>C19</x:v>
      </x:c>
      <x:c r="F254" s="51" t="str">
        <x:v>collection</x:v>
      </x:c>
      <x:c r="G254" s="51" t="str">
        <x:v>潮州虚拟回收/检测中心</x:v>
      </x:c>
      <x:c r="H254" s="52" t="n">
        <x:v>424.85020930041117</x:v>
      </x:c>
      <x:c r="I254" s="52" t="n">
        <x:v>413.4093</x:v>
      </x:c>
      <x:c r="J254" s="52" t="n">
        <x:v>287.8333333333333</x:v>
      </x:c>
      <x:c r="K254" s="52" t="n">
        <x:f>IFERROR(I254/H254,"")</x:f>
        <x:v>0.97307072222172</x:v>
      </x:c>
      <x:c r="L254" s="52" t="n">
        <x:v>150</x:v>
      </x:c>
      <x:c r="M254" s="65" t="n">
        <x:f>IF(H254&lt;=L254,1,0)</x:f>
        <x:v>0</x:v>
      </x:c>
      <x:c r="N254" s="65" t="n">
        <x:f>IF(I254&lt;=L254,1,0)</x:f>
        <x:v>0</x:v>
      </x:c>
      <x:c r="O254" s="51" t="str">
        <x:f>IF(M254=N254,"不变",IF(N254=1,"由禁变允","由允变禁"))</x:f>
        <x:v>不变</x:v>
      </x:c>
      <x:c r="P254" s="51" t="str">
        <x:v>OSRM driving/car</x:v>
      </x:c>
      <x:c r="Q254" s="51" t="str">
        <x:v>2026-08-15</x:v>
      </x:c>
      <x:c r="R254" s="51" t="str">
        <x:v>C-开放路网计算；不是货车/危运合规路线</x:v>
      </x:c>
      <x:c r="S254" s="51" t="str">
        <x:v>https://routing.openstreetmap.de/routed-car/</x:v>
      </x:c>
    </x:row>
    <x:row r="255">
      <x:c r="A255" s="51" t="str">
        <x:v>A0251</x:v>
      </x:c>
      <x:c r="B255" s="51" t="str">
        <x:v>GD12</x:v>
      </x:c>
      <x:c r="C255" s="51" t="str">
        <x:v>source</x:v>
      </x:c>
      <x:c r="D255" s="51" t="str">
        <x:v>中山</x:v>
      </x:c>
      <x:c r="E255" s="51" t="str">
        <x:v>C20</x:v>
      </x:c>
      <x:c r="F255" s="51" t="str">
        <x:v>collection</x:v>
      </x:c>
      <x:c r="G255" s="51" t="str">
        <x:v>揭阳虚拟回收/检测中心</x:v>
      </x:c>
      <x:c r="H255" s="52" t="n">
        <x:v>391.1244551256192</x:v>
      </x:c>
      <x:c r="I255" s="52" t="n">
        <x:v>380.49359999999996</x:v>
      </x:c>
      <x:c r="J255" s="52" t="n">
        <x:v>269.81166666666667</x:v>
      </x:c>
      <x:c r="K255" s="52" t="n">
        <x:f>IFERROR(I255/H255,"")</x:f>
        <x:v>0.972819763667795</x:v>
      </x:c>
      <x:c r="L255" s="52" t="n">
        <x:v>150</x:v>
      </x:c>
      <x:c r="M255" s="65" t="n">
        <x:f>IF(H255&lt;=L255,1,0)</x:f>
        <x:v>0</x:v>
      </x:c>
      <x:c r="N255" s="65" t="n">
        <x:f>IF(I255&lt;=L255,1,0)</x:f>
        <x:v>0</x:v>
      </x:c>
      <x:c r="O255" s="51" t="str">
        <x:f>IF(M255=N255,"不变",IF(N255=1,"由禁变允","由允变禁"))</x:f>
        <x:v>不变</x:v>
      </x:c>
      <x:c r="P255" s="51" t="str">
        <x:v>OSRM driving/car</x:v>
      </x:c>
      <x:c r="Q255" s="51" t="str">
        <x:v>2026-08-15</x:v>
      </x:c>
      <x:c r="R255" s="51" t="str">
        <x:v>C-开放路网计算；不是货车/危运合规路线</x:v>
      </x:c>
      <x:c r="S255" s="51" t="str">
        <x:v>https://routing.openstreetmap.de/routed-car/</x:v>
      </x:c>
    </x:row>
    <x:row r="256">
      <x:c r="A256" s="51" t="str">
        <x:v>A0252</x:v>
      </x:c>
      <x:c r="B256" s="51" t="str">
        <x:v>GD12</x:v>
      </x:c>
      <x:c r="C256" s="51" t="str">
        <x:v>source</x:v>
      </x:c>
      <x:c r="D256" s="51" t="str">
        <x:v>中山</x:v>
      </x:c>
      <x:c r="E256" s="51" t="str">
        <x:v>C21</x:v>
      </x:c>
      <x:c r="F256" s="51" t="str">
        <x:v>collection</x:v>
      </x:c>
      <x:c r="G256" s="51" t="str">
        <x:v>云浮虚拟回收/检测中心</x:v>
      </x:c>
      <x:c r="H256" s="52" t="n">
        <x:v>199.50503646734242</x:v>
      </x:c>
      <x:c r="I256" s="52" t="n">
        <x:v>206.90179999999998</x:v>
      </x:c>
      <x:c r="J256" s="52" t="n">
        <x:v>151.51000000000002</x:v>
      </x:c>
      <x:c r="K256" s="52" t="n">
        <x:f>IFERROR(I256/H256,"")</x:f>
        <x:v>1.0370755729460912</x:v>
      </x:c>
      <x:c r="L256" s="52" t="n">
        <x:v>150</x:v>
      </x:c>
      <x:c r="M256" s="65" t="n">
        <x:f>IF(H256&lt;=L256,1,0)</x:f>
        <x:v>0</x:v>
      </x:c>
      <x:c r="N256" s="65" t="n">
        <x:f>IF(I256&lt;=L256,1,0)</x:f>
        <x:v>0</x:v>
      </x:c>
      <x:c r="O256" s="51" t="str">
        <x:f>IF(M256=N256,"不变",IF(N256=1,"由禁变允","由允变禁"))</x:f>
        <x:v>不变</x:v>
      </x:c>
      <x:c r="P256" s="51" t="str">
        <x:v>OSRM driving/car</x:v>
      </x:c>
      <x:c r="Q256" s="51" t="str">
        <x:v>2026-08-15</x:v>
      </x:c>
      <x:c r="R256" s="51" t="str">
        <x:v>C-开放路网计算；不是货车/危运合规路线</x:v>
      </x:c>
      <x:c r="S256" s="51" t="str">
        <x:v>https://routing.openstreetmap.de/routed-car/</x:v>
      </x:c>
    </x:row>
    <x:row r="257">
      <x:c r="A257" s="51" t="str">
        <x:v>A0253</x:v>
      </x:c>
      <x:c r="B257" s="51" t="str">
        <x:v>GD13</x:v>
      </x:c>
      <x:c r="C257" s="51" t="str">
        <x:v>source</x:v>
      </x:c>
      <x:c r="D257" s="51" t="str">
        <x:v>江门</x:v>
      </x:c>
      <x:c r="E257" s="51" t="str">
        <x:v>C01</x:v>
      </x:c>
      <x:c r="F257" s="51" t="str">
        <x:v>collection</x:v>
      </x:c>
      <x:c r="G257" s="51" t="str">
        <x:v>广州虚拟回收/检测中心</x:v>
      </x:c>
      <x:c r="H257" s="52" t="n">
        <x:v>76.3956958586808</x:v>
      </x:c>
      <x:c r="I257" s="52" t="n">
        <x:v>82.7962</x:v>
      </x:c>
      <x:c r="J257" s="52" t="n">
        <x:v>65.80833333333334</x:v>
      </x:c>
      <x:c r="K257" s="52" t="n">
        <x:f>IFERROR(I257/H257,"")</x:f>
        <x:v>1.0837809521777124</x:v>
      </x:c>
      <x:c r="L257" s="52" t="n">
        <x:v>150</x:v>
      </x:c>
      <x:c r="M257" s="65" t="n">
        <x:f>IF(H257&lt;=L257,1,0)</x:f>
        <x:v>1</x:v>
      </x:c>
      <x:c r="N257" s="65" t="n">
        <x:f>IF(I257&lt;=L257,1,0)</x:f>
        <x:v>1</x:v>
      </x:c>
      <x:c r="O257" s="51" t="str">
        <x:f>IF(M257=N257,"不变",IF(N257=1,"由禁变允","由允变禁"))</x:f>
        <x:v>不变</x:v>
      </x:c>
      <x:c r="P257" s="51" t="str">
        <x:v>OSRM driving/car</x:v>
      </x:c>
      <x:c r="Q257" s="51" t="str">
        <x:v>2026-08-15</x:v>
      </x:c>
      <x:c r="R257" s="51" t="str">
        <x:v>C-开放路网计算；不是货车/危运合规路线</x:v>
      </x:c>
      <x:c r="S257" s="51" t="str">
        <x:v>https://routing.openstreetmap.de/routed-car/</x:v>
      </x:c>
    </x:row>
    <x:row r="258">
      <x:c r="A258" s="51" t="str">
        <x:v>A0254</x:v>
      </x:c>
      <x:c r="B258" s="51" t="str">
        <x:v>GD13</x:v>
      </x:c>
      <x:c r="C258" s="51" t="str">
        <x:v>source</x:v>
      </x:c>
      <x:c r="D258" s="51" t="str">
        <x:v>江门</x:v>
      </x:c>
      <x:c r="E258" s="51" t="str">
        <x:v>C02</x:v>
      </x:c>
      <x:c r="F258" s="51" t="str">
        <x:v>collection</x:v>
      </x:c>
      <x:c r="G258" s="51" t="str">
        <x:v>深圳虚拟回收/检测中心</x:v>
      </x:c>
      <x:c r="H258" s="52" t="n">
        <x:v>120.66466151382667</x:v>
      </x:c>
      <x:c r="I258" s="52" t="n">
        <x:v>126.42660000000001</x:v>
      </x:c>
      <x:c r="J258" s="52" t="n">
        <x:v>94.32666666666667</x:v>
      </x:c>
      <x:c r="K258" s="52" t="n">
        <x:f>IFERROR(I258/H258,"")</x:f>
        <x:v>1.0477516649355791</x:v>
      </x:c>
      <x:c r="L258" s="52" t="n">
        <x:v>150</x:v>
      </x:c>
      <x:c r="M258" s="65" t="n">
        <x:f>IF(H258&lt;=L258,1,0)</x:f>
        <x:v>1</x:v>
      </x:c>
      <x:c r="N258" s="65" t="n">
        <x:f>IF(I258&lt;=L258,1,0)</x:f>
        <x:v>1</x:v>
      </x:c>
      <x:c r="O258" s="51" t="str">
        <x:f>IF(M258=N258,"不变",IF(N258=1,"由禁变允","由允变禁"))</x:f>
        <x:v>不变</x:v>
      </x:c>
      <x:c r="P258" s="51" t="str">
        <x:v>OSRM driving/car</x:v>
      </x:c>
      <x:c r="Q258" s="51" t="str">
        <x:v>2026-08-15</x:v>
      </x:c>
      <x:c r="R258" s="51" t="str">
        <x:v>C-开放路网计算；不是货车/危运合规路线</x:v>
      </x:c>
      <x:c r="S258" s="51" t="str">
        <x:v>https://routing.openstreetmap.de/routed-car/</x:v>
      </x:c>
    </x:row>
    <x:row r="259">
      <x:c r="A259" s="51" t="str">
        <x:v>A0255</x:v>
      </x:c>
      <x:c r="B259" s="51" t="str">
        <x:v>GD13</x:v>
      </x:c>
      <x:c r="C259" s="51" t="str">
        <x:v>source</x:v>
      </x:c>
      <x:c r="D259" s="51" t="str">
        <x:v>江门</x:v>
      </x:c>
      <x:c r="E259" s="51" t="str">
        <x:v>C03</x:v>
      </x:c>
      <x:c r="F259" s="51" t="str">
        <x:v>collection</x:v>
      </x:c>
      <x:c r="G259" s="51" t="str">
        <x:v>珠海虚拟回收/检测中心</x:v>
      </x:c>
      <x:c r="H259" s="52" t="n">
        <x:v>73.6969883389518</x:v>
      </x:c>
      <x:c r="I259" s="52" t="n">
        <x:v>82.6083</x:v>
      </x:c>
      <x:c r="J259" s="52" t="n">
        <x:v>62.593333333333334</x:v>
      </x:c>
      <x:c r="K259" s="52" t="n">
        <x:f>IFERROR(I259/H259,"")</x:f>
        <x:v>1.1209182608665464</x:v>
      </x:c>
      <x:c r="L259" s="52" t="n">
        <x:v>150</x:v>
      </x:c>
      <x:c r="M259" s="65" t="n">
        <x:f>IF(H259&lt;=L259,1,0)</x:f>
        <x:v>1</x:v>
      </x:c>
      <x:c r="N259" s="65" t="n">
        <x:f>IF(I259&lt;=L259,1,0)</x:f>
        <x:v>1</x:v>
      </x:c>
      <x:c r="O259" s="51" t="str">
        <x:f>IF(M259=N259,"不变",IF(N259=1,"由禁变允","由允变禁"))</x:f>
        <x:v>不变</x:v>
      </x:c>
      <x:c r="P259" s="51" t="str">
        <x:v>OSRM driving/car</x:v>
      </x:c>
      <x:c r="Q259" s="51" t="str">
        <x:v>2026-08-15</x:v>
      </x:c>
      <x:c r="R259" s="51" t="str">
        <x:v>C-开放路网计算；不是货车/危运合规路线</x:v>
      </x:c>
      <x:c r="S259" s="51" t="str">
        <x:v>https://routing.openstreetmap.de/routed-car/</x:v>
      </x:c>
    </x:row>
    <x:row r="260">
      <x:c r="A260" s="51" t="str">
        <x:v>A0256</x:v>
      </x:c>
      <x:c r="B260" s="51" t="str">
        <x:v>GD13</x:v>
      </x:c>
      <x:c r="C260" s="51" t="str">
        <x:v>source</x:v>
      </x:c>
      <x:c r="D260" s="51" t="str">
        <x:v>江门</x:v>
      </x:c>
      <x:c r="E260" s="51" t="str">
        <x:v>C04</x:v>
      </x:c>
      <x:c r="F260" s="51" t="str">
        <x:v>collection</x:v>
      </x:c>
      <x:c r="G260" s="51" t="str">
        <x:v>汕头虚拟回收/检测中心</x:v>
      </x:c>
      <x:c r="H260" s="52" t="n">
        <x:v>454.35854812853415</x:v>
      </x:c>
      <x:c r="I260" s="52" t="n">
        <x:v>451.7913</x:v>
      </x:c>
      <x:c r="J260" s="52" t="n">
        <x:v>316.22833333333335</x:v>
      </x:c>
      <x:c r="K260" s="52" t="n">
        <x:f>IFERROR(I260/H260,"")</x:f>
        <x:v>0.9943497307597525</x:v>
      </x:c>
      <x:c r="L260" s="52" t="n">
        <x:v>150</x:v>
      </x:c>
      <x:c r="M260" s="65" t="n">
        <x:f>IF(H260&lt;=L260,1,0)</x:f>
        <x:v>0</x:v>
      </x:c>
      <x:c r="N260" s="65" t="n">
        <x:f>IF(I260&lt;=L260,1,0)</x:f>
        <x:v>0</x:v>
      </x:c>
      <x:c r="O260" s="51" t="str">
        <x:f>IF(M260=N260,"不变",IF(N260=1,"由禁变允","由允变禁"))</x:f>
        <x:v>不变</x:v>
      </x:c>
      <x:c r="P260" s="51" t="str">
        <x:v>OSRM driving/car</x:v>
      </x:c>
      <x:c r="Q260" s="51" t="str">
        <x:v>2026-08-15</x:v>
      </x:c>
      <x:c r="R260" s="51" t="str">
        <x:v>C-开放路网计算；不是货车/危运合规路线</x:v>
      </x:c>
      <x:c r="S260" s="51" t="str">
        <x:v>https://routing.openstreetmap.de/routed-car/</x:v>
      </x:c>
    </x:row>
    <x:row r="261">
      <x:c r="A261" s="51" t="str">
        <x:v>A0257</x:v>
      </x:c>
      <x:c r="B261" s="51" t="str">
        <x:v>GD13</x:v>
      </x:c>
      <x:c r="C261" s="51" t="str">
        <x:v>source</x:v>
      </x:c>
      <x:c r="D261" s="51" t="str">
        <x:v>江门</x:v>
      </x:c>
      <x:c r="E261" s="51" t="str">
        <x:v>C05</x:v>
      </x:c>
      <x:c r="F261" s="51" t="str">
        <x:v>collection</x:v>
      </x:c>
      <x:c r="G261" s="51" t="str">
        <x:v>佛山虚拟回收/检测中心</x:v>
      </x:c>
      <x:c r="H261" s="52" t="n">
        <x:v>59.22325916789457</x:v>
      </x:c>
      <x:c r="I261" s="52" t="n">
        <x:v>67.43960000000001</x:v>
      </x:c>
      <x:c r="J261" s="52" t="n">
        <x:v>53.09166666666667</x:v>
      </x:c>
      <x:c r="K261" s="52" t="n">
        <x:f>IFERROR(I261/H261,"")</x:f>
        <x:v>1.138735033288401</x:v>
      </x:c>
      <x:c r="L261" s="52" t="n">
        <x:v>150</x:v>
      </x:c>
      <x:c r="M261" s="65" t="n">
        <x:f>IF(H261&lt;=L261,1,0)</x:f>
        <x:v>1</x:v>
      </x:c>
      <x:c r="N261" s="65" t="n">
        <x:f>IF(I261&lt;=L261,1,0)</x:f>
        <x:v>1</x:v>
      </x:c>
      <x:c r="O261" s="51" t="str">
        <x:f>IF(M261=N261,"不变",IF(N261=1,"由禁变允","由允变禁"))</x:f>
        <x:v>不变</x:v>
      </x:c>
      <x:c r="P261" s="51" t="str">
        <x:v>OSRM driving/car</x:v>
      </x:c>
      <x:c r="Q261" s="51" t="str">
        <x:v>2026-08-15</x:v>
      </x:c>
      <x:c r="R261" s="51" t="str">
        <x:v>C-开放路网计算；不是货车/危运合规路线</x:v>
      </x:c>
      <x:c r="S261" s="51" t="str">
        <x:v>https://routing.openstreetmap.de/routed-car/</x:v>
      </x:c>
    </x:row>
    <x:row r="262">
      <x:c r="A262" s="51" t="str">
        <x:v>A0258</x:v>
      </x:c>
      <x:c r="B262" s="51" t="str">
        <x:v>GD13</x:v>
      </x:c>
      <x:c r="C262" s="51" t="str">
        <x:v>source</x:v>
      </x:c>
      <x:c r="D262" s="51" t="str">
        <x:v>江门</x:v>
      </x:c>
      <x:c r="E262" s="51" t="str">
        <x:v>C06</x:v>
      </x:c>
      <x:c r="F262" s="51" t="str">
        <x:v>collection</x:v>
      </x:c>
      <x:c r="G262" s="51" t="str">
        <x:v>韶关虚拟回收/检测中心</x:v>
      </x:c>
      <x:c r="H262" s="52" t="n">
        <x:v>313.42946331342586</x:v>
      </x:c>
      <x:c r="I262" s="52" t="n">
        <x:v>316.6007</x:v>
      </x:c>
      <x:c r="J262" s="52" t="n">
        <x:v>228.19166666666666</x:v>
      </x:c>
      <x:c r="K262" s="52" t="n">
        <x:f>IFERROR(I262/H262,"")</x:f>
        <x:v>1.010117864010133</x:v>
      </x:c>
      <x:c r="L262" s="52" t="n">
        <x:v>150</x:v>
      </x:c>
      <x:c r="M262" s="65" t="n">
        <x:f>IF(H262&lt;=L262,1,0)</x:f>
        <x:v>0</x:v>
      </x:c>
      <x:c r="N262" s="65" t="n">
        <x:f>IF(I262&lt;=L262,1,0)</x:f>
        <x:v>0</x:v>
      </x:c>
      <x:c r="O262" s="51" t="str">
        <x:f>IF(M262=N262,"不变",IF(N262=1,"由禁变允","由允变禁"))</x:f>
        <x:v>不变</x:v>
      </x:c>
      <x:c r="P262" s="51" t="str">
        <x:v>OSRM driving/car</x:v>
      </x:c>
      <x:c r="Q262" s="51" t="str">
        <x:v>2026-08-15</x:v>
      </x:c>
      <x:c r="R262" s="51" t="str">
        <x:v>C-开放路网计算；不是货车/危运合规路线</x:v>
      </x:c>
      <x:c r="S262" s="51" t="str">
        <x:v>https://routing.openstreetmap.de/routed-car/</x:v>
      </x:c>
    </x:row>
    <x:row r="263">
      <x:c r="A263" s="51" t="str">
        <x:v>A0259</x:v>
      </x:c>
      <x:c r="B263" s="51" t="str">
        <x:v>GD13</x:v>
      </x:c>
      <x:c r="C263" s="51" t="str">
        <x:v>source</x:v>
      </x:c>
      <x:c r="D263" s="51" t="str">
        <x:v>江门</x:v>
      </x:c>
      <x:c r="E263" s="51" t="str">
        <x:v>C07</x:v>
      </x:c>
      <x:c r="F263" s="51" t="str">
        <x:v>collection</x:v>
      </x:c>
      <x:c r="G263" s="51" t="str">
        <x:v>河源虚拟回收/检测中心</x:v>
      </x:c>
      <x:c r="H263" s="52" t="n">
        <x:v>316.3240228712952</x:v>
      </x:c>
      <x:c r="I263" s="52" t="n">
        <x:v>344.6677</x:v>
      </x:c>
      <x:c r="J263" s="52" t="n">
        <x:v>260.24666666666667</x:v>
      </x:c>
      <x:c r="K263" s="52" t="n">
        <x:f>IFERROR(I263/H263,"")</x:f>
        <x:v>1.0896033025611753</x:v>
      </x:c>
      <x:c r="L263" s="52" t="n">
        <x:v>150</x:v>
      </x:c>
      <x:c r="M263" s="65" t="n">
        <x:f>IF(H263&lt;=L263,1,0)</x:f>
        <x:v>0</x:v>
      </x:c>
      <x:c r="N263" s="65" t="n">
        <x:f>IF(I263&lt;=L263,1,0)</x:f>
        <x:v>0</x:v>
      </x:c>
      <x:c r="O263" s="51" t="str">
        <x:f>IF(M263=N263,"不变",IF(N263=1,"由禁变允","由允变禁"))</x:f>
        <x:v>不变</x:v>
      </x:c>
      <x:c r="P263" s="51" t="str">
        <x:v>OSRM driving/car</x:v>
      </x:c>
      <x:c r="Q263" s="51" t="str">
        <x:v>2026-08-15</x:v>
      </x:c>
      <x:c r="R263" s="51" t="str">
        <x:v>C-开放路网计算；不是货车/危运合规路线</x:v>
      </x:c>
      <x:c r="S263" s="51" t="str">
        <x:v>https://routing.openstreetmap.de/routed-car/</x:v>
      </x:c>
    </x:row>
    <x:row r="264">
      <x:c r="A264" s="51" t="str">
        <x:v>A0260</x:v>
      </x:c>
      <x:c r="B264" s="51" t="str">
        <x:v>GD13</x:v>
      </x:c>
      <x:c r="C264" s="51" t="str">
        <x:v>source</x:v>
      </x:c>
      <x:c r="D264" s="51" t="str">
        <x:v>江门</x:v>
      </x:c>
      <x:c r="E264" s="51" t="str">
        <x:v>C08</x:v>
      </x:c>
      <x:c r="F264" s="51" t="str">
        <x:v>collection</x:v>
      </x:c>
      <x:c r="G264" s="51" t="str">
        <x:v>梅州虚拟回收/检测中心</x:v>
      </x:c>
      <x:c r="H264" s="52" t="n">
        <x:v>436.6461010859192</x:v>
      </x:c>
      <x:c r="I264" s="52" t="n">
        <x:v>453.5438</x:v>
      </x:c>
      <x:c r="J264" s="52" t="n">
        <x:v>316.1066666666667</x:v>
      </x:c>
      <x:c r="K264" s="52" t="n">
        <x:f>IFERROR(I264/H264,"")</x:f>
        <x:v>1.0386988430036521</x:v>
      </x:c>
      <x:c r="L264" s="52" t="n">
        <x:v>150</x:v>
      </x:c>
      <x:c r="M264" s="65" t="n">
        <x:f>IF(H264&lt;=L264,1,0)</x:f>
        <x:v>0</x:v>
      </x:c>
      <x:c r="N264" s="65" t="n">
        <x:f>IF(I264&lt;=L264,1,0)</x:f>
        <x:v>0</x:v>
      </x:c>
      <x:c r="O264" s="51" t="str">
        <x:f>IF(M264=N264,"不变",IF(N264=1,"由禁变允","由允变禁"))</x:f>
        <x:v>不变</x:v>
      </x:c>
      <x:c r="P264" s="51" t="str">
        <x:v>OSRM driving/car</x:v>
      </x:c>
      <x:c r="Q264" s="51" t="str">
        <x:v>2026-08-15</x:v>
      </x:c>
      <x:c r="R264" s="51" t="str">
        <x:v>C-开放路网计算；不是货车/危运合规路线</x:v>
      </x:c>
      <x:c r="S264" s="51" t="str">
        <x:v>https://routing.openstreetmap.de/routed-car/</x:v>
      </x:c>
    </x:row>
    <x:row r="265">
      <x:c r="A265" s="51" t="str">
        <x:v>A0261</x:v>
      </x:c>
      <x:c r="B265" s="51" t="str">
        <x:v>GD13</x:v>
      </x:c>
      <x:c r="C265" s="51" t="str">
        <x:v>source</x:v>
      </x:c>
      <x:c r="D265" s="51" t="str">
        <x:v>江门</x:v>
      </x:c>
      <x:c r="E265" s="51" t="str">
        <x:v>C09</x:v>
      </x:c>
      <x:c r="F265" s="51" t="str">
        <x:v>collection</x:v>
      </x:c>
      <x:c r="G265" s="51" t="str">
        <x:v>惠州虚拟回收/检测中心</x:v>
      </x:c>
      <x:c r="H265" s="52" t="n">
        <x:v>178.96752942018048</x:v>
      </x:c>
      <x:c r="I265" s="52" t="n">
        <x:v>185.8017</x:v>
      </x:c>
      <x:c r="J265" s="52" t="n">
        <x:v>137.40666666666667</x:v>
      </x:c>
      <x:c r="K265" s="52" t="n">
        <x:f>IFERROR(I265/H265,"")</x:f>
        <x:v>1.038186650963786</x:v>
      </x:c>
      <x:c r="L265" s="52" t="n">
        <x:v>150</x:v>
      </x:c>
      <x:c r="M265" s="65" t="n">
        <x:f>IF(H265&lt;=L265,1,0)</x:f>
        <x:v>0</x:v>
      </x:c>
      <x:c r="N265" s="65" t="n">
        <x:f>IF(I265&lt;=L265,1,0)</x:f>
        <x:v>0</x:v>
      </x:c>
      <x:c r="O265" s="51" t="str">
        <x:f>IF(M265=N265,"不变",IF(N265=1,"由禁变允","由允变禁"))</x:f>
        <x:v>不变</x:v>
      </x:c>
      <x:c r="P265" s="51" t="str">
        <x:v>OSRM driving/car</x:v>
      </x:c>
      <x:c r="Q265" s="51" t="str">
        <x:v>2026-08-15</x:v>
      </x:c>
      <x:c r="R265" s="51" t="str">
        <x:v>C-开放路网计算；不是货车/危运合规路线</x:v>
      </x:c>
      <x:c r="S265" s="51" t="str">
        <x:v>https://routing.openstreetmap.de/routed-car/</x:v>
      </x:c>
    </x:row>
    <x:row r="266">
      <x:c r="A266" s="51" t="str">
        <x:v>A0262</x:v>
      </x:c>
      <x:c r="B266" s="51" t="str">
        <x:v>GD13</x:v>
      </x:c>
      <x:c r="C266" s="51" t="str">
        <x:v>source</x:v>
      </x:c>
      <x:c r="D266" s="51" t="str">
        <x:v>江门</x:v>
      </x:c>
      <x:c r="E266" s="51" t="str">
        <x:v>C10</x:v>
      </x:c>
      <x:c r="F266" s="51" t="str">
        <x:v>collection</x:v>
      </x:c>
      <x:c r="G266" s="51" t="str">
        <x:v>汕尾虚拟回收/检测中心</x:v>
      </x:c>
      <x:c r="H266" s="52" t="n">
        <x:v>304.8551803783433</x:v>
      </x:c>
      <x:c r="I266" s="52" t="n">
        <x:v>307.7616</x:v>
      </x:c>
      <x:c r="J266" s="52" t="n">
        <x:v>230.31833333333333</x:v>
      </x:c>
      <x:c r="K266" s="52" t="n">
        <x:f>IFERROR(I266/H266,"")</x:f>
        <x:v>1.0095337714715875</x:v>
      </x:c>
      <x:c r="L266" s="52" t="n">
        <x:v>150</x:v>
      </x:c>
      <x:c r="M266" s="65" t="n">
        <x:f>IF(H266&lt;=L266,1,0)</x:f>
        <x:v>0</x:v>
      </x:c>
      <x:c r="N266" s="65" t="n">
        <x:f>IF(I266&lt;=L266,1,0)</x:f>
        <x:v>0</x:v>
      </x:c>
      <x:c r="O266" s="51" t="str">
        <x:f>IF(M266=N266,"不变",IF(N266=1,"由禁变允","由允变禁"))</x:f>
        <x:v>不变</x:v>
      </x:c>
      <x:c r="P266" s="51" t="str">
        <x:v>OSRM driving/car</x:v>
      </x:c>
      <x:c r="Q266" s="51" t="str">
        <x:v>2026-08-15</x:v>
      </x:c>
      <x:c r="R266" s="51" t="str">
        <x:v>C-开放路网计算；不是货车/危运合规路线</x:v>
      </x:c>
      <x:c r="S266" s="51" t="str">
        <x:v>https://routing.openstreetmap.de/routed-car/</x:v>
      </x:c>
    </x:row>
    <x:row r="267">
      <x:c r="A267" s="51" t="str">
        <x:v>A0263</x:v>
      </x:c>
      <x:c r="B267" s="51" t="str">
        <x:v>GD13</x:v>
      </x:c>
      <x:c r="C267" s="51" t="str">
        <x:v>source</x:v>
      </x:c>
      <x:c r="D267" s="51" t="str">
        <x:v>江门</x:v>
      </x:c>
      <x:c r="E267" s="51" t="str">
        <x:v>C11</x:v>
      </x:c>
      <x:c r="F267" s="51" t="str">
        <x:v>collection</x:v>
      </x:c>
      <x:c r="G267" s="51" t="str">
        <x:v>东莞虚拟回收/检测中心</x:v>
      </x:c>
      <x:c r="H267" s="52" t="n">
        <x:v>100.84581605844396</x:v>
      </x:c>
      <x:c r="I267" s="52" t="n">
        <x:v>123.1212</x:v>
      </x:c>
      <x:c r="J267" s="52" t="n">
        <x:v>92.67166666666667</x:v>
      </x:c>
      <x:c r="K267" s="52" t="n">
        <x:f>IFERROR(I267/H267,"")</x:f>
        <x:v>1.2208855539296406</x:v>
      </x:c>
      <x:c r="L267" s="52" t="n">
        <x:v>150</x:v>
      </x:c>
      <x:c r="M267" s="65" t="n">
        <x:f>IF(H267&lt;=L267,1,0)</x:f>
        <x:v>1</x:v>
      </x:c>
      <x:c r="N267" s="65" t="n">
        <x:f>IF(I267&lt;=L267,1,0)</x:f>
        <x:v>1</x:v>
      </x:c>
      <x:c r="O267" s="51" t="str">
        <x:f>IF(M267=N267,"不变",IF(N267=1,"由禁变允","由允变禁"))</x:f>
        <x:v>不变</x:v>
      </x:c>
      <x:c r="P267" s="51" t="str">
        <x:v>OSRM driving/car</x:v>
      </x:c>
      <x:c r="Q267" s="51" t="str">
        <x:v>2026-08-15</x:v>
      </x:c>
      <x:c r="R267" s="51" t="str">
        <x:v>C-开放路网计算；不是货车/危运合规路线</x:v>
      </x:c>
      <x:c r="S267" s="51" t="str">
        <x:v>https://routing.openstreetmap.de/routed-car/</x:v>
      </x:c>
    </x:row>
    <x:row r="268">
      <x:c r="A268" s="51" t="str">
        <x:v>A0264</x:v>
      </x:c>
      <x:c r="B268" s="51" t="str">
        <x:v>GD13</x:v>
      </x:c>
      <x:c r="C268" s="51" t="str">
        <x:v>source</x:v>
      </x:c>
      <x:c r="D268" s="51" t="str">
        <x:v>江门</x:v>
      </x:c>
      <x:c r="E268" s="51" t="str">
        <x:v>C12</x:v>
      </x:c>
      <x:c r="F268" s="51" t="str">
        <x:v>collection</x:v>
      </x:c>
      <x:c r="G268" s="51" t="str">
        <x:v>中山虚拟回收/检测中心</x:v>
      </x:c>
      <x:c r="H268" s="52" t="n">
        <x:v>39.22129266425868</x:v>
      </x:c>
      <x:c r="I268" s="52" t="n">
        <x:v>40.658</x:v>
      </x:c>
      <x:c r="J268" s="52" t="n">
        <x:v>37.01166666666666</x:v>
      </x:c>
      <x:c r="K268" s="52" t="n">
        <x:f>IFERROR(I268/H268,"")</x:f>
        <x:v>1.0366308002145619</x:v>
      </x:c>
      <x:c r="L268" s="52" t="n">
        <x:v>150</x:v>
      </x:c>
      <x:c r="M268" s="65" t="n">
        <x:f>IF(H268&lt;=L268,1,0)</x:f>
        <x:v>1</x:v>
      </x:c>
      <x:c r="N268" s="65" t="n">
        <x:f>IF(I268&lt;=L268,1,0)</x:f>
        <x:v>1</x:v>
      </x:c>
      <x:c r="O268" s="51" t="str">
        <x:f>IF(M268=N268,"不变",IF(N268=1,"由禁变允","由允变禁"))</x:f>
        <x:v>不变</x:v>
      </x:c>
      <x:c r="P268" s="51" t="str">
        <x:v>OSRM driving/car</x:v>
      </x:c>
      <x:c r="Q268" s="51" t="str">
        <x:v>2026-08-15</x:v>
      </x:c>
      <x:c r="R268" s="51" t="str">
        <x:v>C-开放路网计算；不是货车/危运合规路线</x:v>
      </x:c>
      <x:c r="S268" s="51" t="str">
        <x:v>https://routing.openstreetmap.de/routed-car/</x:v>
      </x:c>
    </x:row>
    <x:row r="269">
      <x:c r="A269" s="51" t="str">
        <x:v>A0265</x:v>
      </x:c>
      <x:c r="B269" s="51" t="str">
        <x:v>GD13</x:v>
      </x:c>
      <x:c r="C269" s="51" t="str">
        <x:v>source</x:v>
      </x:c>
      <x:c r="D269" s="51" t="str">
        <x:v>江门</x:v>
      </x:c>
      <x:c r="E269" s="51" t="str">
        <x:v>C13</x:v>
      </x:c>
      <x:c r="F269" s="51" t="str">
        <x:v>collection</x:v>
      </x:c>
      <x:c r="G269" s="51" t="str">
        <x:v>江门虚拟回收/检测中心</x:v>
      </x:c>
      <x:c r="H269" s="52" t="n">
        <x:v>0</x:v>
      </x:c>
      <x:c r="I269" s="52" t="n">
        <x:v>0</x:v>
      </x:c>
      <x:c r="J269" s="52" t="n">
        <x:v>0</x:v>
      </x:c>
      <x:c r="K269" s="52" t="str">
        <x:f>IFERROR(I269/H269,"")</x:f>
      </x:c>
      <x:c r="L269" s="52" t="n">
        <x:v>150</x:v>
      </x:c>
      <x:c r="M269" s="65" t="n">
        <x:f>IF(H269&lt;=L269,1,0)</x:f>
        <x:v>1</x:v>
      </x:c>
      <x:c r="N269" s="65" t="n">
        <x:f>IF(I269&lt;=L269,1,0)</x:f>
        <x:v>1</x:v>
      </x:c>
      <x:c r="O269" s="51" t="str">
        <x:f>IF(M269=N269,"不变",IF(N269=1,"由禁变允","由允变禁"))</x:f>
        <x:v>不变</x:v>
      </x:c>
      <x:c r="P269" s="51" t="str">
        <x:v>OSRM driving/car</x:v>
      </x:c>
      <x:c r="Q269" s="51" t="str">
        <x:v>2026-08-15</x:v>
      </x:c>
      <x:c r="R269" s="51" t="str">
        <x:v>C-开放路网计算；不是货车/危运合规路线</x:v>
      </x:c>
      <x:c r="S269" s="51" t="str">
        <x:v>https://routing.openstreetmap.de/routed-car/</x:v>
      </x:c>
    </x:row>
    <x:row r="270">
      <x:c r="A270" s="51" t="str">
        <x:v>A0266</x:v>
      </x:c>
      <x:c r="B270" s="51" t="str">
        <x:v>GD13</x:v>
      </x:c>
      <x:c r="C270" s="51" t="str">
        <x:v>source</x:v>
      </x:c>
      <x:c r="D270" s="51" t="str">
        <x:v>江门</x:v>
      </x:c>
      <x:c r="E270" s="51" t="str">
        <x:v>C14</x:v>
      </x:c>
      <x:c r="F270" s="51" t="str">
        <x:v>collection</x:v>
      </x:c>
      <x:c r="G270" s="51" t="str">
        <x:v>阳江虚拟回收/检测中心</x:v>
      </x:c>
      <x:c r="H270" s="52" t="n">
        <x:v>172.24234503832372</x:v>
      </x:c>
      <x:c r="I270" s="52" t="n">
        <x:v>190.8956</x:v>
      </x:c>
      <x:c r="J270" s="52" t="n">
        <x:v>127.66333333333334</x:v>
      </x:c>
      <x:c r="K270" s="52" t="n">
        <x:f>IFERROR(I270/H270,"")</x:f>
        <x:v>1.1082965687533222</x:v>
      </x:c>
      <x:c r="L270" s="52" t="n">
        <x:v>150</x:v>
      </x:c>
      <x:c r="M270" s="65" t="n">
        <x:f>IF(H270&lt;=L270,1,0)</x:f>
        <x:v>0</x:v>
      </x:c>
      <x:c r="N270" s="65" t="n">
        <x:f>IF(I270&lt;=L270,1,0)</x:f>
        <x:v>0</x:v>
      </x:c>
      <x:c r="O270" s="51" t="str">
        <x:f>IF(M270=N270,"不变",IF(N270=1,"由禁变允","由允变禁"))</x:f>
        <x:v>不变</x:v>
      </x:c>
      <x:c r="P270" s="51" t="str">
        <x:v>OSRM driving/car</x:v>
      </x:c>
      <x:c r="Q270" s="51" t="str">
        <x:v>2026-08-15</x:v>
      </x:c>
      <x:c r="R270" s="51" t="str">
        <x:v>C-开放路网计算；不是货车/危运合规路线</x:v>
      </x:c>
      <x:c r="S270" s="51" t="str">
        <x:v>https://routing.openstreetmap.de/routed-car/</x:v>
      </x:c>
    </x:row>
    <x:row r="271">
      <x:c r="A271" s="51" t="str">
        <x:v>A0267</x:v>
      </x:c>
      <x:c r="B271" s="51" t="str">
        <x:v>GD13</x:v>
      </x:c>
      <x:c r="C271" s="51" t="str">
        <x:v>source</x:v>
      </x:c>
      <x:c r="D271" s="51" t="str">
        <x:v>江门</x:v>
      </x:c>
      <x:c r="E271" s="51" t="str">
        <x:v>C15</x:v>
      </x:c>
      <x:c r="F271" s="51" t="str">
        <x:v>collection</x:v>
      </x:c>
      <x:c r="G271" s="51" t="str">
        <x:v>湛江虚拟回收/检测中心</x:v>
      </x:c>
      <x:c r="H271" s="52" t="n">
        <x:v>379.3560995691944</x:v>
      </x:c>
      <x:c r="I271" s="52" t="n">
        <x:v>355.287</x:v>
      </x:c>
      <x:c r="J271" s="52" t="n">
        <x:v>237.345</x:v>
      </x:c>
      <x:c r="K271" s="52" t="n">
        <x:f>IFERROR(I271/H271,"")</x:f>
        <x:v>0.9365527545318822</x:v>
      </x:c>
      <x:c r="L271" s="52" t="n">
        <x:v>150</x:v>
      </x:c>
      <x:c r="M271" s="65" t="n">
        <x:f>IF(H271&lt;=L271,1,0)</x:f>
        <x:v>0</x:v>
      </x:c>
      <x:c r="N271" s="65" t="n">
        <x:f>IF(I271&lt;=L271,1,0)</x:f>
        <x:v>0</x:v>
      </x:c>
      <x:c r="O271" s="51" t="str">
        <x:f>IF(M271=N271,"不变",IF(N271=1,"由禁变允","由允变禁"))</x:f>
        <x:v>不变</x:v>
      </x:c>
      <x:c r="P271" s="51" t="str">
        <x:v>OSRM driving/car</x:v>
      </x:c>
      <x:c r="Q271" s="51" t="str">
        <x:v>2026-08-15</x:v>
      </x:c>
      <x:c r="R271" s="51" t="str">
        <x:v>C-开放路网计算；不是货车/危运合规路线</x:v>
      </x:c>
      <x:c r="S271" s="51" t="str">
        <x:v>https://routing.openstreetmap.de/routed-car/</x:v>
      </x:c>
    </x:row>
    <x:row r="272">
      <x:c r="A272" s="51" t="str">
        <x:v>A0268</x:v>
      </x:c>
      <x:c r="B272" s="51" t="str">
        <x:v>GD13</x:v>
      </x:c>
      <x:c r="C272" s="51" t="str">
        <x:v>source</x:v>
      </x:c>
      <x:c r="D272" s="51" t="str">
        <x:v>江门</x:v>
      </x:c>
      <x:c r="E272" s="51" t="str">
        <x:v>C16</x:v>
      </x:c>
      <x:c r="F272" s="51" t="str">
        <x:v>collection</x:v>
      </x:c>
      <x:c r="G272" s="51" t="str">
        <x:v>茂名虚拟回收/检测中心</x:v>
      </x:c>
      <x:c r="H272" s="52" t="n">
        <x:v>293.09106494828376</x:v>
      </x:c>
      <x:c r="I272" s="52" t="n">
        <x:v>274.5376</x:v>
      </x:c>
      <x:c r="J272" s="52" t="n">
        <x:v>186.26000000000002</x:v>
      </x:c>
      <x:c r="K272" s="52" t="n">
        <x:f>IFERROR(I272/H272,"")</x:f>
        <x:v>0.9366972686405246</x:v>
      </x:c>
      <x:c r="L272" s="52" t="n">
        <x:v>150</x:v>
      </x:c>
      <x:c r="M272" s="65" t="n">
        <x:f>IF(H272&lt;=L272,1,0)</x:f>
        <x:v>0</x:v>
      </x:c>
      <x:c r="N272" s="65" t="n">
        <x:f>IF(I272&lt;=L272,1,0)</x:f>
        <x:v>0</x:v>
      </x:c>
      <x:c r="O272" s="51" t="str">
        <x:f>IF(M272=N272,"不变",IF(N272=1,"由禁变允","由允变禁"))</x:f>
        <x:v>不变</x:v>
      </x:c>
      <x:c r="P272" s="51" t="str">
        <x:v>OSRM driving/car</x:v>
      </x:c>
      <x:c r="Q272" s="51" t="str">
        <x:v>2026-08-15</x:v>
      </x:c>
      <x:c r="R272" s="51" t="str">
        <x:v>C-开放路网计算；不是货车/危运合规路线</x:v>
      </x:c>
      <x:c r="S272" s="51" t="str">
        <x:v>https://routing.openstreetmap.de/routed-car/</x:v>
      </x:c>
    </x:row>
    <x:row r="273">
      <x:c r="A273" s="51" t="str">
        <x:v>A0269</x:v>
      </x:c>
      <x:c r="B273" s="51" t="str">
        <x:v>GD13</x:v>
      </x:c>
      <x:c r="C273" s="51" t="str">
        <x:v>source</x:v>
      </x:c>
      <x:c r="D273" s="51" t="str">
        <x:v>江门</x:v>
      </x:c>
      <x:c r="E273" s="51" t="str">
        <x:v>C17</x:v>
      </x:c>
      <x:c r="F273" s="51" t="str">
        <x:v>collection</x:v>
      </x:c>
      <x:c r="G273" s="51" t="str">
        <x:v>肇庆虚拟回收/检测中心</x:v>
      </x:c>
      <x:c r="H273" s="52" t="n">
        <x:v>98.20082167156956</x:v>
      </x:c>
      <x:c r="I273" s="52" t="n">
        <x:v>104.22710000000001</x:v>
      </x:c>
      <x:c r="J273" s="52" t="n">
        <x:v>80.53833333333334</x:v>
      </x:c>
      <x:c r="K273" s="52" t="n">
        <x:f>IFERROR(I273/H273,"")</x:f>
        <x:v>1.0613668829430492</x:v>
      </x:c>
      <x:c r="L273" s="52" t="n">
        <x:v>150</x:v>
      </x:c>
      <x:c r="M273" s="65" t="n">
        <x:f>IF(H273&lt;=L273,1,0)</x:f>
        <x:v>1</x:v>
      </x:c>
      <x:c r="N273" s="65" t="n">
        <x:f>IF(I273&lt;=L273,1,0)</x:f>
        <x:v>1</x:v>
      </x:c>
      <x:c r="O273" s="51" t="str">
        <x:f>IF(M273=N273,"不变",IF(N273=1,"由禁变允","由允变禁"))</x:f>
        <x:v>不变</x:v>
      </x:c>
      <x:c r="P273" s="51" t="str">
        <x:v>OSRM driving/car</x:v>
      </x:c>
      <x:c r="Q273" s="51" t="str">
        <x:v>2026-08-15</x:v>
      </x:c>
      <x:c r="R273" s="51" t="str">
        <x:v>C-开放路网计算；不是货车/危运合规路线</x:v>
      </x:c>
      <x:c r="S273" s="51" t="str">
        <x:v>https://routing.openstreetmap.de/routed-car/</x:v>
      </x:c>
    </x:row>
    <x:row r="274">
      <x:c r="A274" s="51" t="str">
        <x:v>A0270</x:v>
      </x:c>
      <x:c r="B274" s="51" t="str">
        <x:v>GD13</x:v>
      </x:c>
      <x:c r="C274" s="51" t="str">
        <x:v>source</x:v>
      </x:c>
      <x:c r="D274" s="51" t="str">
        <x:v>江门</x:v>
      </x:c>
      <x:c r="E274" s="51" t="str">
        <x:v>C18</x:v>
      </x:c>
      <x:c r="F274" s="51" t="str">
        <x:v>collection</x:v>
      </x:c>
      <x:c r="G274" s="51" t="str">
        <x:v>清远虚拟回收/检测中心</x:v>
      </x:c>
      <x:c r="H274" s="52" t="n">
        <x:v>147.02898541450745</x:v>
      </x:c>
      <x:c r="I274" s="52" t="n">
        <x:v>144.4254</x:v>
      </x:c>
      <x:c r="J274" s="52" t="n">
        <x:v>114.02666666666667</x:v>
      </x:c>
      <x:c r="K274" s="52" t="n">
        <x:f>IFERROR(I274/H274,"")</x:f>
        <x:v>0.9822920262479717</x:v>
      </x:c>
      <x:c r="L274" s="52" t="n">
        <x:v>150</x:v>
      </x:c>
      <x:c r="M274" s="65" t="n">
        <x:f>IF(H274&lt;=L274,1,0)</x:f>
        <x:v>1</x:v>
      </x:c>
      <x:c r="N274" s="65" t="n">
        <x:f>IF(I274&lt;=L274,1,0)</x:f>
        <x:v>1</x:v>
      </x:c>
      <x:c r="O274" s="51" t="str">
        <x:f>IF(M274=N274,"不变",IF(N274=1,"由禁变允","由允变禁"))</x:f>
        <x:v>不变</x:v>
      </x:c>
      <x:c r="P274" s="51" t="str">
        <x:v>OSRM driving/car</x:v>
      </x:c>
      <x:c r="Q274" s="51" t="str">
        <x:v>2026-08-15</x:v>
      </x:c>
      <x:c r="R274" s="51" t="str">
        <x:v>C-开放路网计算；不是货车/危运合规路线</x:v>
      </x:c>
      <x:c r="S274" s="51" t="str">
        <x:v>https://routing.openstreetmap.de/routed-car/</x:v>
      </x:c>
    </x:row>
    <x:row r="275">
      <x:c r="A275" s="51" t="str">
        <x:v>A0271</x:v>
      </x:c>
      <x:c r="B275" s="51" t="str">
        <x:v>GD13</x:v>
      </x:c>
      <x:c r="C275" s="51" t="str">
        <x:v>source</x:v>
      </x:c>
      <x:c r="D275" s="51" t="str">
        <x:v>江门</x:v>
      </x:c>
      <x:c r="E275" s="51" t="str">
        <x:v>C19</x:v>
      </x:c>
      <x:c r="F275" s="51" t="str">
        <x:v>collection</x:v>
      </x:c>
      <x:c r="G275" s="51" t="str">
        <x:v>潮州虚拟回收/检测中心</x:v>
      </x:c>
      <x:c r="H275" s="52" t="n">
        <x:v>457.9707384090611</x:v>
      </x:c>
      <x:c r="I275" s="52" t="n">
        <x:v>452.3102</x:v>
      </x:c>
      <x:c r="J275" s="52" t="n">
        <x:v>308.6433333333333</x:v>
      </x:c>
      <x:c r="K275" s="52" t="n">
        <x:f>IFERROR(I275/H275,"")</x:f>
        <x:v>0.987639956149327</x:v>
      </x:c>
      <x:c r="L275" s="52" t="n">
        <x:v>150</x:v>
      </x:c>
      <x:c r="M275" s="65" t="n">
        <x:f>IF(H275&lt;=L275,1,0)</x:f>
        <x:v>0</x:v>
      </x:c>
      <x:c r="N275" s="65" t="n">
        <x:f>IF(I275&lt;=L275,1,0)</x:f>
        <x:v>0</x:v>
      </x:c>
      <x:c r="O275" s="51" t="str">
        <x:f>IF(M275=N275,"不变",IF(N275=1,"由禁变允","由允变禁"))</x:f>
        <x:v>不变</x:v>
      </x:c>
      <x:c r="P275" s="51" t="str">
        <x:v>OSRM driving/car</x:v>
      </x:c>
      <x:c r="Q275" s="51" t="str">
        <x:v>2026-08-15</x:v>
      </x:c>
      <x:c r="R275" s="51" t="str">
        <x:v>C-开放路网计算；不是货车/危运合规路线</x:v>
      </x:c>
      <x:c r="S275" s="51" t="str">
        <x:v>https://routing.openstreetmap.de/routed-car/</x:v>
      </x:c>
    </x:row>
    <x:row r="276">
      <x:c r="A276" s="51" t="str">
        <x:v>A0272</x:v>
      </x:c>
      <x:c r="B276" s="51" t="str">
        <x:v>GD13</x:v>
      </x:c>
      <x:c r="C276" s="51" t="str">
        <x:v>source</x:v>
      </x:c>
      <x:c r="D276" s="51" t="str">
        <x:v>江门</x:v>
      </x:c>
      <x:c r="E276" s="51" t="str">
        <x:v>C20</x:v>
      </x:c>
      <x:c r="F276" s="51" t="str">
        <x:v>collection</x:v>
      </x:c>
      <x:c r="G276" s="51" t="str">
        <x:v>揭阳虚拟回收/检测中心</x:v>
      </x:c>
      <x:c r="H276" s="52" t="n">
        <x:v>424.40000183942857</x:v>
      </x:c>
      <x:c r="I276" s="52" t="n">
        <x:v>419.3945</x:v>
      </x:c>
      <x:c r="J276" s="52" t="n">
        <x:v>290.62166666666667</x:v>
      </x:c>
      <x:c r="K276" s="52" t="n">
        <x:f>IFERROR(I276/H276,"")</x:f>
        <x:v>0.9882056978846989</x:v>
      </x:c>
      <x:c r="L276" s="52" t="n">
        <x:v>150</x:v>
      </x:c>
      <x:c r="M276" s="65" t="n">
        <x:f>IF(H276&lt;=L276,1,0)</x:f>
        <x:v>0</x:v>
      </x:c>
      <x:c r="N276" s="65" t="n">
        <x:f>IF(I276&lt;=L276,1,0)</x:f>
        <x:v>0</x:v>
      </x:c>
      <x:c r="O276" s="51" t="str">
        <x:f>IF(M276=N276,"不变",IF(N276=1,"由禁变允","由允变禁"))</x:f>
        <x:v>不变</x:v>
      </x:c>
      <x:c r="P276" s="51" t="str">
        <x:v>OSRM driving/car</x:v>
      </x:c>
      <x:c r="Q276" s="51" t="str">
        <x:v>2026-08-15</x:v>
      </x:c>
      <x:c r="R276" s="51" t="str">
        <x:v>C-开放路网计算；不是货车/危运合规路线</x:v>
      </x:c>
      <x:c r="S276" s="51" t="str">
        <x:v>https://routing.openstreetmap.de/routed-car/</x:v>
      </x:c>
    </x:row>
    <x:row r="277">
      <x:c r="A277" s="51" t="str">
        <x:v>A0273</x:v>
      </x:c>
      <x:c r="B277" s="51" t="str">
        <x:v>GD13</x:v>
      </x:c>
      <x:c r="C277" s="51" t="str">
        <x:v>source</x:v>
      </x:c>
      <x:c r="D277" s="51" t="str">
        <x:v>江门</x:v>
      </x:c>
      <x:c r="E277" s="51" t="str">
        <x:v>C21</x:v>
      </x:c>
      <x:c r="F277" s="51" t="str">
        <x:v>collection</x:v>
      </x:c>
      <x:c r="G277" s="51" t="str">
        <x:v>云浮虚拟回收/检测中心</x:v>
      </x:c>
      <x:c r="H277" s="52" t="n">
        <x:v>160.29151114661695</x:v>
      </x:c>
      <x:c r="I277" s="52" t="n">
        <x:v>167.8536</x:v>
      </x:c>
      <x:c r="J277" s="52" t="n">
        <x:v>123.01333333333334</x:v>
      </x:c>
      <x:c r="K277" s="52" t="n">
        <x:f>IFERROR(I277/H277,"")</x:f>
        <x:v>1.047177101265619</x:v>
      </x:c>
      <x:c r="L277" s="52" t="n">
        <x:v>150</x:v>
      </x:c>
      <x:c r="M277" s="65" t="n">
        <x:f>IF(H277&lt;=L277,1,0)</x:f>
        <x:v>0</x:v>
      </x:c>
      <x:c r="N277" s="65" t="n">
        <x:f>IF(I277&lt;=L277,1,0)</x:f>
        <x:v>0</x:v>
      </x:c>
      <x:c r="O277" s="51" t="str">
        <x:f>IF(M277=N277,"不变",IF(N277=1,"由禁变允","由允变禁"))</x:f>
        <x:v>不变</x:v>
      </x:c>
      <x:c r="P277" s="51" t="str">
        <x:v>OSRM driving/car</x:v>
      </x:c>
      <x:c r="Q277" s="51" t="str">
        <x:v>2026-08-15</x:v>
      </x:c>
      <x:c r="R277" s="51" t="str">
        <x:v>C-开放路网计算；不是货车/危运合规路线</x:v>
      </x:c>
      <x:c r="S277" s="51" t="str">
        <x:v>https://routing.openstreetmap.de/routed-car/</x:v>
      </x:c>
    </x:row>
    <x:row r="278">
      <x:c r="A278" s="51" t="str">
        <x:v>A0274</x:v>
      </x:c>
      <x:c r="B278" s="51" t="str">
        <x:v>GD14</x:v>
      </x:c>
      <x:c r="C278" s="51" t="str">
        <x:v>source</x:v>
      </x:c>
      <x:c r="D278" s="51" t="str">
        <x:v>阳江</x:v>
      </x:c>
      <x:c r="E278" s="51" t="str">
        <x:v>C01</x:v>
      </x:c>
      <x:c r="F278" s="51" t="str">
        <x:v>collection</x:v>
      </x:c>
      <x:c r="G278" s="51" t="str">
        <x:v>广州虚拟回收/检测中心</x:v>
      </x:c>
      <x:c r="H278" s="52" t="n">
        <x:v>228.13253822875888</x:v>
      </x:c>
      <x:c r="I278" s="52" t="n">
        <x:v>233.70170000000002</x:v>
      </x:c>
      <x:c r="J278" s="52" t="n">
        <x:v>163.39</x:v>
      </x:c>
      <x:c r="K278" s="52" t="n">
        <x:f>IFERROR(I278/H278,"")</x:f>
        <x:v>1.0244119572529224</x:v>
      </x:c>
      <x:c r="L278" s="52" t="n">
        <x:v>150</x:v>
      </x:c>
      <x:c r="M278" s="65" t="n">
        <x:f>IF(H278&lt;=L278,1,0)</x:f>
        <x:v>0</x:v>
      </x:c>
      <x:c r="N278" s="65" t="n">
        <x:f>IF(I278&lt;=L278,1,0)</x:f>
        <x:v>0</x:v>
      </x:c>
      <x:c r="O278" s="51" t="str">
        <x:f>IF(M278=N278,"不变",IF(N278=1,"由禁变允","由允变禁"))</x:f>
        <x:v>不变</x:v>
      </x:c>
      <x:c r="P278" s="51" t="str">
        <x:v>OSRM driving/car</x:v>
      </x:c>
      <x:c r="Q278" s="51" t="str">
        <x:v>2026-08-15</x:v>
      </x:c>
      <x:c r="R278" s="51" t="str">
        <x:v>C-开放路网计算；不是货车/危运合规路线</x:v>
      </x:c>
      <x:c r="S278" s="51" t="str">
        <x:v>https://routing.openstreetmap.de/routed-car/</x:v>
      </x:c>
    </x:row>
    <x:row r="279">
      <x:c r="A279" s="51" t="str">
        <x:v>A0275</x:v>
      </x:c>
      <x:c r="B279" s="51" t="str">
        <x:v>GD14</x:v>
      </x:c>
      <x:c r="C279" s="51" t="str">
        <x:v>source</x:v>
      </x:c>
      <x:c r="D279" s="51" t="str">
        <x:v>阳江</x:v>
      </x:c>
      <x:c r="E279" s="51" t="str">
        <x:v>C02</x:v>
      </x:c>
      <x:c r="F279" s="51" t="str">
        <x:v>collection</x:v>
      </x:c>
      <x:c r="G279" s="51" t="str">
        <x:v>深圳虚拟回收/检测中心</x:v>
      </x:c>
      <x:c r="H279" s="52" t="n">
        <x:v>286.6932251227238</x:v>
      </x:c>
      <x:c r="I279" s="52" t="n">
        <x:v>285.0773</x:v>
      </x:c>
      <x:c r="J279" s="52" t="n">
        <x:v>198.73166666666665</x:v>
      </x:c>
      <x:c r="K279" s="52" t="n">
        <x:f>IFERROR(I279/H279,"")</x:f>
        <x:v>0.9943635740885328</x:v>
      </x:c>
      <x:c r="L279" s="52" t="n">
        <x:v>150</x:v>
      </x:c>
      <x:c r="M279" s="65" t="n">
        <x:f>IF(H279&lt;=L279,1,0)</x:f>
        <x:v>0</x:v>
      </x:c>
      <x:c r="N279" s="65" t="n">
        <x:f>IF(I279&lt;=L279,1,0)</x:f>
        <x:v>0</x:v>
      </x:c>
      <x:c r="O279" s="51" t="str">
        <x:f>IF(M279=N279,"不变",IF(N279=1,"由禁变允","由允变禁"))</x:f>
        <x:v>不变</x:v>
      </x:c>
      <x:c r="P279" s="51" t="str">
        <x:v>OSRM driving/car</x:v>
      </x:c>
      <x:c r="Q279" s="51" t="str">
        <x:v>2026-08-15</x:v>
      </x:c>
      <x:c r="R279" s="51" t="str">
        <x:v>C-开放路网计算；不是货车/危运合规路线</x:v>
      </x:c>
      <x:c r="S279" s="51" t="str">
        <x:v>https://routing.openstreetmap.de/routed-car/</x:v>
      </x:c>
    </x:row>
    <x:row r="280">
      <x:c r="A280" s="51" t="str">
        <x:v>A0276</x:v>
      </x:c>
      <x:c r="B280" s="51" t="str">
        <x:v>GD14</x:v>
      </x:c>
      <x:c r="C280" s="51" t="str">
        <x:v>source</x:v>
      </x:c>
      <x:c r="D280" s="51" t="str">
        <x:v>阳江</x:v>
      </x:c>
      <x:c r="E280" s="51" t="str">
        <x:v>C03</x:v>
      </x:c>
      <x:c r="F280" s="51" t="str">
        <x:v>collection</x:v>
      </x:c>
      <x:c r="G280" s="51" t="str">
        <x:v>珠海虚拟回收/检测中心</x:v>
      </x:c>
      <x:c r="H280" s="52" t="n">
        <x:v>222.31046381687938</x:v>
      </x:c>
      <x:c r="I280" s="52" t="n">
        <x:v>242.77429999999998</x:v>
      </x:c>
      <x:c r="J280" s="52" t="n">
        <x:v>167.715</x:v>
      </x:c>
      <x:c r="K280" s="52" t="n">
        <x:f>IFERROR(I280/H280,"")</x:f>
        <x:v>1.092050710667299</x:v>
      </x:c>
      <x:c r="L280" s="52" t="n">
        <x:v>150</x:v>
      </x:c>
      <x:c r="M280" s="65" t="n">
        <x:f>IF(H280&lt;=L280,1,0)</x:f>
        <x:v>0</x:v>
      </x:c>
      <x:c r="N280" s="65" t="n">
        <x:f>IF(I280&lt;=L280,1,0)</x:f>
        <x:v>0</x:v>
      </x:c>
      <x:c r="O280" s="51" t="str">
        <x:f>IF(M280=N280,"不变",IF(N280=1,"由禁变允","由允变禁"))</x:f>
        <x:v>不变</x:v>
      </x:c>
      <x:c r="P280" s="51" t="str">
        <x:v>OSRM driving/car</x:v>
      </x:c>
      <x:c r="Q280" s="51" t="str">
        <x:v>2026-08-15</x:v>
      </x:c>
      <x:c r="R280" s="51" t="str">
        <x:v>C-开放路网计算；不是货车/危运合规路线</x:v>
      </x:c>
      <x:c r="S280" s="51" t="str">
        <x:v>https://routing.openstreetmap.de/routed-car/</x:v>
      </x:c>
    </x:row>
    <x:row r="281">
      <x:c r="A281" s="51" t="str">
        <x:v>A0277</x:v>
      </x:c>
      <x:c r="B281" s="51" t="str">
        <x:v>GD14</x:v>
      </x:c>
      <x:c r="C281" s="51" t="str">
        <x:v>source</x:v>
      </x:c>
      <x:c r="D281" s="51" t="str">
        <x:v>阳江</x:v>
      </x:c>
      <x:c r="E281" s="51" t="str">
        <x:v>C04</x:v>
      </x:c>
      <x:c r="F281" s="51" t="str">
        <x:v>collection</x:v>
      </x:c>
      <x:c r="G281" s="51" t="str">
        <x:v>汕头虚拟回收/检测中心</x:v>
      </x:c>
      <x:c r="H281" s="52" t="n">
        <x:v>625.3796721915959</x:v>
      </x:c>
      <x:c r="I281" s="52" t="n">
        <x:v>610.4419</x:v>
      </x:c>
      <x:c r="J281" s="52" t="n">
        <x:v>420.6333333333333</x:v>
      </x:c>
      <x:c r="K281" s="52" t="n">
        <x:f>IFERROR(I281/H281,"")</x:f>
        <x:v>0.9761140746080736</x:v>
      </x:c>
      <x:c r="L281" s="52" t="n">
        <x:v>150</x:v>
      </x:c>
      <x:c r="M281" s="65" t="n">
        <x:f>IF(H281&lt;=L281,1,0)</x:f>
        <x:v>0</x:v>
      </x:c>
      <x:c r="N281" s="65" t="n">
        <x:f>IF(I281&lt;=L281,1,0)</x:f>
        <x:v>0</x:v>
      </x:c>
      <x:c r="O281" s="51" t="str">
        <x:f>IF(M281=N281,"不变",IF(N281=1,"由禁变允","由允变禁"))</x:f>
        <x:v>不变</x:v>
      </x:c>
      <x:c r="P281" s="51" t="str">
        <x:v>OSRM driving/car</x:v>
      </x:c>
      <x:c r="Q281" s="51" t="str">
        <x:v>2026-08-15</x:v>
      </x:c>
      <x:c r="R281" s="51" t="str">
        <x:v>C-开放路网计算；不是货车/危运合规路线</x:v>
      </x:c>
      <x:c r="S281" s="51" t="str">
        <x:v>https://routing.openstreetmap.de/routed-car/</x:v>
      </x:c>
    </x:row>
    <x:row r="282">
      <x:c r="A282" s="51" t="str">
        <x:v>A0278</x:v>
      </x:c>
      <x:c r="B282" s="51" t="str">
        <x:v>GD14</x:v>
      </x:c>
      <x:c r="C282" s="51" t="str">
        <x:v>source</x:v>
      </x:c>
      <x:c r="D282" s="51" t="str">
        <x:v>阳江</x:v>
      </x:c>
      <x:c r="E282" s="51" t="str">
        <x:v>C05</x:v>
      </x:c>
      <x:c r="F282" s="51" t="str">
        <x:v>collection</x:v>
      </x:c>
      <x:c r="G282" s="51" t="str">
        <x:v>佛山虚拟回收/检测中心</x:v>
      </x:c>
      <x:c r="H282" s="52" t="n">
        <x:v>205.69397617582445</x:v>
      </x:c>
      <x:c r="I282" s="52" t="n">
        <x:v>210.554</x:v>
      </x:c>
      <x:c r="J282" s="52" t="n">
        <x:v>144.70499999999998</x:v>
      </x:c>
      <x:c r="K282" s="52" t="n">
        <x:f>IFERROR(I282/H282,"")</x:f>
        <x:v>1.0236274484772527</x:v>
      </x:c>
      <x:c r="L282" s="52" t="n">
        <x:v>150</x:v>
      </x:c>
      <x:c r="M282" s="65" t="n">
        <x:f>IF(H282&lt;=L282,1,0)</x:f>
        <x:v>0</x:v>
      </x:c>
      <x:c r="N282" s="65" t="n">
        <x:f>IF(I282&lt;=L282,1,0)</x:f>
        <x:v>0</x:v>
      </x:c>
      <x:c r="O282" s="51" t="str">
        <x:f>IF(M282=N282,"不变",IF(N282=1,"由禁变允","由允变禁"))</x:f>
        <x:v>不变</x:v>
      </x:c>
      <x:c r="P282" s="51" t="str">
        <x:v>OSRM driving/car</x:v>
      </x:c>
      <x:c r="Q282" s="51" t="str">
        <x:v>2026-08-15</x:v>
      </x:c>
      <x:c r="R282" s="51" t="str">
        <x:v>C-开放路网计算；不是货车/危运合规路线</x:v>
      </x:c>
      <x:c r="S282" s="51" t="str">
        <x:v>https://routing.openstreetmap.de/routed-car/</x:v>
      </x:c>
    </x:row>
    <x:row r="283">
      <x:c r="A283" s="51" t="str">
        <x:v>A0279</x:v>
      </x:c>
      <x:c r="B283" s="51" t="str">
        <x:v>GD14</x:v>
      </x:c>
      <x:c r="C283" s="51" t="str">
        <x:v>source</x:v>
      </x:c>
      <x:c r="D283" s="51" t="str">
        <x:v>阳江</x:v>
      </x:c>
      <x:c r="E283" s="51" t="str">
        <x:v>C06</x:v>
      </x:c>
      <x:c r="F283" s="51" t="str">
        <x:v>collection</x:v>
      </x:c>
      <x:c r="G283" s="51" t="str">
        <x:v>韶关虚拟回收/检测中心</x:v>
      </x:c>
      <x:c r="H283" s="52" t="n">
        <x:v>441.6558572790621</x:v>
      </x:c>
      <x:c r="I283" s="52" t="n">
        <x:v>436.28479999999996</x:v>
      </x:c>
      <x:c r="J283" s="52" t="n">
        <x:v>310.92333333333335</x:v>
      </x:c>
      <x:c r="K283" s="52" t="n">
        <x:f>IFERROR(I283/H283,"")</x:f>
        <x:v>0.9878388179607717</x:v>
      </x:c>
      <x:c r="L283" s="52" t="n">
        <x:v>150</x:v>
      </x:c>
      <x:c r="M283" s="65" t="n">
        <x:f>IF(H283&lt;=L283,1,0)</x:f>
        <x:v>0</x:v>
      </x:c>
      <x:c r="N283" s="65" t="n">
        <x:f>IF(I283&lt;=L283,1,0)</x:f>
        <x:v>0</x:v>
      </x:c>
      <x:c r="O283" s="51" t="str">
        <x:f>IF(M283=N283,"不变",IF(N283=1,"由禁变允","由允变禁"))</x:f>
        <x:v>不变</x:v>
      </x:c>
      <x:c r="P283" s="51" t="str">
        <x:v>OSRM driving/car</x:v>
      </x:c>
      <x:c r="Q283" s="51" t="str">
        <x:v>2026-08-15</x:v>
      </x:c>
      <x:c r="R283" s="51" t="str">
        <x:v>C-开放路网计算；不是货车/危运合规路线</x:v>
      </x:c>
      <x:c r="S283" s="51" t="str">
        <x:v>https://routing.openstreetmap.de/routed-car/</x:v>
      </x:c>
    </x:row>
    <x:row r="284">
      <x:c r="A284" s="51" t="str">
        <x:v>A0280</x:v>
      </x:c>
      <x:c r="B284" s="51" t="str">
        <x:v>GD14</x:v>
      </x:c>
      <x:c r="C284" s="51" t="str">
        <x:v>source</x:v>
      </x:c>
      <x:c r="D284" s="51" t="str">
        <x:v>阳江</x:v>
      </x:c>
      <x:c r="E284" s="51" t="str">
        <x:v>C07</x:v>
      </x:c>
      <x:c r="F284" s="51" t="str">
        <x:v>collection</x:v>
      </x:c>
      <x:c r="G284" s="51" t="str">
        <x:v>河源虚拟回收/检测中心</x:v>
      </x:c>
      <x:c r="H284" s="52" t="n">
        <x:v>482.83039770554365</x:v>
      </x:c>
      <x:c r="I284" s="52" t="n">
        <x:v>506.9669</x:v>
      </x:c>
      <x:c r="J284" s="52" t="n">
        <x:v>364.88666666666666</x:v>
      </x:c>
      <x:c r="K284" s="52" t="n">
        <x:f>IFERROR(I284/H284,"")</x:f>
        <x:v>1.049989607964112</x:v>
      </x:c>
      <x:c r="L284" s="52" t="n">
        <x:v>150</x:v>
      </x:c>
      <x:c r="M284" s="65" t="n">
        <x:f>IF(H284&lt;=L284,1,0)</x:f>
        <x:v>0</x:v>
      </x:c>
      <x:c r="N284" s="65" t="n">
        <x:f>IF(I284&lt;=L284,1,0)</x:f>
        <x:v>0</x:v>
      </x:c>
      <x:c r="O284" s="51" t="str">
        <x:f>IF(M284=N284,"不变",IF(N284=1,"由禁变允","由允变禁"))</x:f>
        <x:v>不变</x:v>
      </x:c>
      <x:c r="P284" s="51" t="str">
        <x:v>OSRM driving/car</x:v>
      </x:c>
      <x:c r="Q284" s="51" t="str">
        <x:v>2026-08-15</x:v>
      </x:c>
      <x:c r="R284" s="51" t="str">
        <x:v>C-开放路网计算；不是货车/危运合规路线</x:v>
      </x:c>
      <x:c r="S284" s="51" t="str">
        <x:v>https://routing.openstreetmap.de/routed-car/</x:v>
      </x:c>
    </x:row>
    <x:row r="285">
      <x:c r="A285" s="51" t="str">
        <x:v>A0281</x:v>
      </x:c>
      <x:c r="B285" s="51" t="str">
        <x:v>GD14</x:v>
      </x:c>
      <x:c r="C285" s="51" t="str">
        <x:v>source</x:v>
      </x:c>
      <x:c r="D285" s="51" t="str">
        <x:v>阳江</x:v>
      </x:c>
      <x:c r="E285" s="51" t="str">
        <x:v>C08</x:v>
      </x:c>
      <x:c r="F285" s="51" t="str">
        <x:v>collection</x:v>
      </x:c>
      <x:c r="G285" s="51" t="str">
        <x:v>梅州虚拟回收/检测中心</x:v>
      </x:c>
      <x:c r="H285" s="52" t="n">
        <x:v>606.9165436644514</x:v>
      </x:c>
      <x:c r="I285" s="52" t="n">
        <x:v>604.6553</x:v>
      </x:c>
      <x:c r="J285" s="52" t="n">
        <x:v>418.7683333333333</x:v>
      </x:c>
      <x:c r="K285" s="52" t="n">
        <x:f>IFERROR(I285/H285,"")</x:f>
        <x:v>0.9962742098760425</x:v>
      </x:c>
      <x:c r="L285" s="52" t="n">
        <x:v>150</x:v>
      </x:c>
      <x:c r="M285" s="65" t="n">
        <x:f>IF(H285&lt;=L285,1,0)</x:f>
        <x:v>0</x:v>
      </x:c>
      <x:c r="N285" s="65" t="n">
        <x:f>IF(I285&lt;=L285,1,0)</x:f>
        <x:v>0</x:v>
      </x:c>
      <x:c r="O285" s="51" t="str">
        <x:f>IF(M285=N285,"不变",IF(N285=1,"由禁变允","由允变禁"))</x:f>
        <x:v>不变</x:v>
      </x:c>
      <x:c r="P285" s="51" t="str">
        <x:v>OSRM driving/car</x:v>
      </x:c>
      <x:c r="Q285" s="51" t="str">
        <x:v>2026-08-15</x:v>
      </x:c>
      <x:c r="R285" s="51" t="str">
        <x:v>C-开放路网计算；不是货车/危运合规路线</x:v>
      </x:c>
      <x:c r="S285" s="51" t="str">
        <x:v>https://routing.openstreetmap.de/routed-car/</x:v>
      </x:c>
    </x:row>
    <x:row r="286">
      <x:c r="A286" s="51" t="str">
        <x:v>A0282</x:v>
      </x:c>
      <x:c r="B286" s="51" t="str">
        <x:v>GD14</x:v>
      </x:c>
      <x:c r="C286" s="51" t="str">
        <x:v>source</x:v>
      </x:c>
      <x:c r="D286" s="51" t="str">
        <x:v>阳江</x:v>
      </x:c>
      <x:c r="E286" s="51" t="str">
        <x:v>C09</x:v>
      </x:c>
      <x:c r="F286" s="51" t="str">
        <x:v>collection</x:v>
      </x:c>
      <x:c r="G286" s="51" t="str">
        <x:v>惠州虚拟回收/检测中心</x:v>
      </x:c>
      <x:c r="H286" s="52" t="n">
        <x:v>351.17072385173043</x:v>
      </x:c>
      <x:c r="I286" s="52" t="n">
        <x:v>351.8615</x:v>
      </x:c>
      <x:c r="J286" s="52" t="n">
        <x:v>245.29833333333332</x:v>
      </x:c>
      <x:c r="K286" s="52" t="n">
        <x:f>IFERROR(I286/H286,"")</x:f>
        <x:v>1.001967066447604</x:v>
      </x:c>
      <x:c r="L286" s="52" t="n">
        <x:v>150</x:v>
      </x:c>
      <x:c r="M286" s="65" t="n">
        <x:f>IF(H286&lt;=L286,1,0)</x:f>
        <x:v>0</x:v>
      </x:c>
      <x:c r="N286" s="65" t="n">
        <x:f>IF(I286&lt;=L286,1,0)</x:f>
        <x:v>0</x:v>
      </x:c>
      <x:c r="O286" s="51" t="str">
        <x:f>IF(M286=N286,"不变",IF(N286=1,"由禁变允","由允变禁"))</x:f>
        <x:v>不变</x:v>
      </x:c>
      <x:c r="P286" s="51" t="str">
        <x:v>OSRM driving/car</x:v>
      </x:c>
      <x:c r="Q286" s="51" t="str">
        <x:v>2026-08-15</x:v>
      </x:c>
      <x:c r="R286" s="51" t="str">
        <x:v>C-开放路网计算；不是货车/危运合规路线</x:v>
      </x:c>
      <x:c r="S286" s="51" t="str">
        <x:v>https://routing.openstreetmap.de/routed-car/</x:v>
      </x:c>
    </x:row>
    <x:row r="287">
      <x:c r="A287" s="51" t="str">
        <x:v>A0283</x:v>
      </x:c>
      <x:c r="B287" s="51" t="str">
        <x:v>GD14</x:v>
      </x:c>
      <x:c r="C287" s="51" t="str">
        <x:v>source</x:v>
      </x:c>
      <x:c r="D287" s="51" t="str">
        <x:v>阳江</x:v>
      </x:c>
      <x:c r="E287" s="51" t="str">
        <x:v>C10</x:v>
      </x:c>
      <x:c r="F287" s="51" t="str">
        <x:v>collection</x:v>
      </x:c>
      <x:c r="G287" s="51" t="str">
        <x:v>汕尾虚拟回收/检测中心</x:v>
      </x:c>
      <x:c r="H287" s="52" t="n">
        <x:v>475.24115449069046</x:v>
      </x:c>
      <x:c r="I287" s="52" t="n">
        <x:v>466.1564</x:v>
      </x:c>
      <x:c r="J287" s="52" t="n">
        <x:v>339.4433333333333</x:v>
      </x:c>
      <x:c r="K287" s="52" t="n">
        <x:f>IFERROR(I287/H287,"")</x:f>
        <x:v>0.9808839061919491</x:v>
      </x:c>
      <x:c r="L287" s="52" t="n">
        <x:v>150</x:v>
      </x:c>
      <x:c r="M287" s="65" t="n">
        <x:f>IF(H287&lt;=L287,1,0)</x:f>
        <x:v>0</x:v>
      </x:c>
      <x:c r="N287" s="65" t="n">
        <x:f>IF(I287&lt;=L287,1,0)</x:f>
        <x:v>0</x:v>
      </x:c>
      <x:c r="O287" s="51" t="str">
        <x:f>IF(M287=N287,"不变",IF(N287=1,"由禁变允","由允变禁"))</x:f>
        <x:v>不变</x:v>
      </x:c>
      <x:c r="P287" s="51" t="str">
        <x:v>OSRM driving/car</x:v>
      </x:c>
      <x:c r="Q287" s="51" t="str">
        <x:v>2026-08-15</x:v>
      </x:c>
      <x:c r="R287" s="51" t="str">
        <x:v>C-开放路网计算；不是货车/危运合规路线</x:v>
      </x:c>
      <x:c r="S287" s="51" t="str">
        <x:v>https://routing.openstreetmap.de/routed-car/</x:v>
      </x:c>
    </x:row>
    <x:row r="288">
      <x:c r="A288" s="51" t="str">
        <x:v>A0284</x:v>
      </x:c>
      <x:c r="B288" s="51" t="str">
        <x:v>GD14</x:v>
      </x:c>
      <x:c r="C288" s="51" t="str">
        <x:v>source</x:v>
      </x:c>
      <x:c r="D288" s="51" t="str">
        <x:v>阳江</x:v>
      </x:c>
      <x:c r="E288" s="51" t="str">
        <x:v>C11</x:v>
      </x:c>
      <x:c r="F288" s="51" t="str">
        <x:v>collection</x:v>
      </x:c>
      <x:c r="G288" s="51" t="str">
        <x:v>东莞虚拟回收/检测中心</x:v>
      </x:c>
      <x:c r="H288" s="52" t="n">
        <x:v>271.30826923165324</x:v>
      </x:c>
      <x:c r="I288" s="52" t="n">
        <x:v>283.8999</x:v>
      </x:c>
      <x:c r="J288" s="52" t="n">
        <x:v>194.47333333333333</x:v>
      </x:c>
      <x:c r="K288" s="52" t="n">
        <x:f>IFERROR(I288/H288,"")</x:f>
        <x:v>1.0464107887459764</x:v>
      </x:c>
      <x:c r="L288" s="52" t="n">
        <x:v>150</x:v>
      </x:c>
      <x:c r="M288" s="65" t="n">
        <x:f>IF(H288&lt;=L288,1,0)</x:f>
        <x:v>0</x:v>
      </x:c>
      <x:c r="N288" s="65" t="n">
        <x:f>IF(I288&lt;=L288,1,0)</x:f>
        <x:v>0</x:v>
      </x:c>
      <x:c r="O288" s="51" t="str">
        <x:f>IF(M288=N288,"不变",IF(N288=1,"由禁变允","由允变禁"))</x:f>
        <x:v>不变</x:v>
      </x:c>
      <x:c r="P288" s="51" t="str">
        <x:v>OSRM driving/car</x:v>
      </x:c>
      <x:c r="Q288" s="51" t="str">
        <x:v>2026-08-15</x:v>
      </x:c>
      <x:c r="R288" s="51" t="str">
        <x:v>C-开放路网计算；不是货车/危运合规路线</x:v>
      </x:c>
      <x:c r="S288" s="51" t="str">
        <x:v>https://routing.openstreetmap.de/routed-car/</x:v>
      </x:c>
    </x:row>
    <x:row r="289">
      <x:c r="A289" s="51" t="str">
        <x:v>A0285</x:v>
      </x:c>
      <x:c r="B289" s="51" t="str">
        <x:v>GD14</x:v>
      </x:c>
      <x:c r="C289" s="51" t="str">
        <x:v>source</x:v>
      </x:c>
      <x:c r="D289" s="51" t="str">
        <x:v>阳江</x:v>
      </x:c>
      <x:c r="E289" s="51" t="str">
        <x:v>C12</x:v>
      </x:c>
      <x:c r="F289" s="51" t="str">
        <x:v>collection</x:v>
      </x:c>
      <x:c r="G289" s="51" t="str">
        <x:v>中山虚拟回收/检测中心</x:v>
      </x:c>
      <x:c r="H289" s="52" t="n">
        <x:v>205.9387801343193</x:v>
      </x:c>
      <x:c r="I289" s="52" t="n">
        <x:v>205.1467</x:v>
      </x:c>
      <x:c r="J289" s="52" t="n">
        <x:v>142.23166666666665</x:v>
      </x:c>
      <x:c r="K289" s="52" t="n">
        <x:f>IFERROR(I289/H289,"")</x:f>
        <x:v>0.9961538077782015</x:v>
      </x:c>
      <x:c r="L289" s="52" t="n">
        <x:v>150</x:v>
      </x:c>
      <x:c r="M289" s="65" t="n">
        <x:f>IF(H289&lt;=L289,1,0)</x:f>
        <x:v>0</x:v>
      </x:c>
      <x:c r="N289" s="65" t="n">
        <x:f>IF(I289&lt;=L289,1,0)</x:f>
        <x:v>0</x:v>
      </x:c>
      <x:c r="O289" s="51" t="str">
        <x:f>IF(M289=N289,"不变",IF(N289=1,"由禁变允","由允变禁"))</x:f>
        <x:v>不变</x:v>
      </x:c>
      <x:c r="P289" s="51" t="str">
        <x:v>OSRM driving/car</x:v>
      </x:c>
      <x:c r="Q289" s="51" t="str">
        <x:v>2026-08-15</x:v>
      </x:c>
      <x:c r="R289" s="51" t="str">
        <x:v>C-开放路网计算；不是货车/危运合规路线</x:v>
      </x:c>
      <x:c r="S289" s="51" t="str">
        <x:v>https://routing.openstreetmap.de/routed-car/</x:v>
      </x:c>
    </x:row>
    <x:row r="290">
      <x:c r="A290" s="51" t="str">
        <x:v>A0286</x:v>
      </x:c>
      <x:c r="B290" s="51" t="str">
        <x:v>GD14</x:v>
      </x:c>
      <x:c r="C290" s="51" t="str">
        <x:v>source</x:v>
      </x:c>
      <x:c r="D290" s="51" t="str">
        <x:v>阳江</x:v>
      </x:c>
      <x:c r="E290" s="51" t="str">
        <x:v>C13</x:v>
      </x:c>
      <x:c r="F290" s="51" t="str">
        <x:v>collection</x:v>
      </x:c>
      <x:c r="G290" s="51" t="str">
        <x:v>江门虚拟回收/检测中心</x:v>
      </x:c>
      <x:c r="H290" s="52" t="n">
        <x:v>172.24234503832372</x:v>
      </x:c>
      <x:c r="I290" s="52" t="n">
        <x:v>174.3725</x:v>
      </x:c>
      <x:c r="J290" s="52" t="n">
        <x:v>121.62666666666668</x:v>
      </x:c>
      <x:c r="K290" s="52" t="n">
        <x:f>IFERROR(I290/H290,"")</x:f>
        <x:v>1.0123671967030077</x:v>
      </x:c>
      <x:c r="L290" s="52" t="n">
        <x:v>150</x:v>
      </x:c>
      <x:c r="M290" s="65" t="n">
        <x:f>IF(H290&lt;=L290,1,0)</x:f>
        <x:v>0</x:v>
      </x:c>
      <x:c r="N290" s="65" t="n">
        <x:f>IF(I290&lt;=L290,1,0)</x:f>
        <x:v>0</x:v>
      </x:c>
      <x:c r="O290" s="51" t="str">
        <x:f>IF(M290=N290,"不变",IF(N290=1,"由禁变允","由允变禁"))</x:f>
        <x:v>不变</x:v>
      </x:c>
      <x:c r="P290" s="51" t="str">
        <x:v>OSRM driving/car</x:v>
      </x:c>
      <x:c r="Q290" s="51" t="str">
        <x:v>2026-08-15</x:v>
      </x:c>
      <x:c r="R290" s="51" t="str">
        <x:v>C-开放路网计算；不是货车/危运合规路线</x:v>
      </x:c>
      <x:c r="S290" s="51" t="str">
        <x:v>https://routing.openstreetmap.de/routed-car/</x:v>
      </x:c>
    </x:row>
    <x:row r="291">
      <x:c r="A291" s="51" t="str">
        <x:v>A0287</x:v>
      </x:c>
      <x:c r="B291" s="51" t="str">
        <x:v>GD14</x:v>
      </x:c>
      <x:c r="C291" s="51" t="str">
        <x:v>source</x:v>
      </x:c>
      <x:c r="D291" s="51" t="str">
        <x:v>阳江</x:v>
      </x:c>
      <x:c r="E291" s="51" t="str">
        <x:v>C14</x:v>
      </x:c>
      <x:c r="F291" s="51" t="str">
        <x:v>collection</x:v>
      </x:c>
      <x:c r="G291" s="51" t="str">
        <x:v>阳江虚拟回收/检测中心</x:v>
      </x:c>
      <x:c r="H291" s="52" t="n">
        <x:v>0</x:v>
      </x:c>
      <x:c r="I291" s="52" t="n">
        <x:v>0</x:v>
      </x:c>
      <x:c r="J291" s="52" t="n">
        <x:v>0</x:v>
      </x:c>
      <x:c r="K291" s="52" t="str">
        <x:f>IFERROR(I291/H291,"")</x:f>
      </x:c>
      <x:c r="L291" s="52" t="n">
        <x:v>150</x:v>
      </x:c>
      <x:c r="M291" s="65" t="n">
        <x:f>IF(H291&lt;=L291,1,0)</x:f>
        <x:v>1</x:v>
      </x:c>
      <x:c r="N291" s="65" t="n">
        <x:f>IF(I291&lt;=L291,1,0)</x:f>
        <x:v>1</x:v>
      </x:c>
      <x:c r="O291" s="51" t="str">
        <x:f>IF(M291=N291,"不变",IF(N291=1,"由禁变允","由允变禁"))</x:f>
        <x:v>不变</x:v>
      </x:c>
      <x:c r="P291" s="51" t="str">
        <x:v>OSRM driving/car</x:v>
      </x:c>
      <x:c r="Q291" s="51" t="str">
        <x:v>2026-08-15</x:v>
      </x:c>
      <x:c r="R291" s="51" t="str">
        <x:v>C-开放路网计算；不是货车/危运合规路线</x:v>
      </x:c>
      <x:c r="S291" s="51" t="str">
        <x:v>https://routing.openstreetmap.de/routed-car/</x:v>
      </x:c>
    </x:row>
    <x:row r="292">
      <x:c r="A292" s="51" t="str">
        <x:v>A0288</x:v>
      </x:c>
      <x:c r="B292" s="51" t="str">
        <x:v>GD14</x:v>
      </x:c>
      <x:c r="C292" s="51" t="str">
        <x:v>source</x:v>
      </x:c>
      <x:c r="D292" s="51" t="str">
        <x:v>阳江</x:v>
      </x:c>
      <x:c r="E292" s="51" t="str">
        <x:v>C15</x:v>
      </x:c>
      <x:c r="F292" s="51" t="str">
        <x:v>collection</x:v>
      </x:c>
      <x:c r="G292" s="51" t="str">
        <x:v>湛江虚拟回收/检测中心</x:v>
      </x:c>
      <x:c r="H292" s="52" t="n">
        <x:v>208.31711730405573</x:v>
      </x:c>
      <x:c r="I292" s="52" t="n">
        <x:v>215.3165</x:v>
      </x:c>
      <x:c r="J292" s="52" t="n">
        <x:v>146.69166666666666</x:v>
      </x:c>
      <x:c r="K292" s="52" t="n">
        <x:f>IFERROR(I292/H292,"")</x:f>
        <x:v>1.0335996522346653</x:v>
      </x:c>
      <x:c r="L292" s="52" t="n">
        <x:v>150</x:v>
      </x:c>
      <x:c r="M292" s="65" t="n">
        <x:f>IF(H292&lt;=L292,1,0)</x:f>
        <x:v>0</x:v>
      </x:c>
      <x:c r="N292" s="65" t="n">
        <x:f>IF(I292&lt;=L292,1,0)</x:f>
        <x:v>0</x:v>
      </x:c>
      <x:c r="O292" s="51" t="str">
        <x:f>IF(M292=N292,"不变",IF(N292=1,"由禁变允","由允变禁"))</x:f>
        <x:v>不变</x:v>
      </x:c>
      <x:c r="P292" s="51" t="str">
        <x:v>OSRM driving/car</x:v>
      </x:c>
      <x:c r="Q292" s="51" t="str">
        <x:v>2026-08-15</x:v>
      </x:c>
      <x:c r="R292" s="51" t="str">
        <x:v>C-开放路网计算；不是货车/危运合规路线</x:v>
      </x:c>
      <x:c r="S292" s="51" t="str">
        <x:v>https://routing.openstreetmap.de/routed-car/</x:v>
      </x:c>
    </x:row>
    <x:row r="293">
      <x:c r="A293" s="51" t="str">
        <x:v>A0289</x:v>
      </x:c>
      <x:c r="B293" s="51" t="str">
        <x:v>GD14</x:v>
      </x:c>
      <x:c r="C293" s="51" t="str">
        <x:v>source</x:v>
      </x:c>
      <x:c r="D293" s="51" t="str">
        <x:v>阳江</x:v>
      </x:c>
      <x:c r="E293" s="51" t="str">
        <x:v>C16</x:v>
      </x:c>
      <x:c r="F293" s="51" t="str">
        <x:v>collection</x:v>
      </x:c>
      <x:c r="G293" s="51" t="str">
        <x:v>茂名虚拟回收/检测中心</x:v>
      </x:c>
      <x:c r="H293" s="52" t="n">
        <x:v>121.20664482511194</x:v>
      </x:c>
      <x:c r="I293" s="52" t="n">
        <x:v>127.6495</x:v>
      </x:c>
      <x:c r="J293" s="52" t="n">
        <x:v>94.70833333333333</x:v>
      </x:c>
      <x:c r="K293" s="52" t="n">
        <x:f>IFERROR(I293/H293,"")</x:f>
        <x:v>1.0531559567892042</x:v>
      </x:c>
      <x:c r="L293" s="52" t="n">
        <x:v>150</x:v>
      </x:c>
      <x:c r="M293" s="65" t="n">
        <x:f>IF(H293&lt;=L293,1,0)</x:f>
        <x:v>1</x:v>
      </x:c>
      <x:c r="N293" s="65" t="n">
        <x:f>IF(I293&lt;=L293,1,0)</x:f>
        <x:v>1</x:v>
      </x:c>
      <x:c r="O293" s="51" t="str">
        <x:f>IF(M293=N293,"不变",IF(N293=1,"由禁变允","由允变禁"))</x:f>
        <x:v>不变</x:v>
      </x:c>
      <x:c r="P293" s="51" t="str">
        <x:v>OSRM driving/car</x:v>
      </x:c>
      <x:c r="Q293" s="51" t="str">
        <x:v>2026-08-15</x:v>
      </x:c>
      <x:c r="R293" s="51" t="str">
        <x:v>C-开放路网计算；不是货车/危运合规路线</x:v>
      </x:c>
      <x:c r="S293" s="51" t="str">
        <x:v>https://routing.openstreetmap.de/routed-car/</x:v>
      </x:c>
    </x:row>
    <x:row r="294">
      <x:c r="A294" s="51" t="str">
        <x:v>A0290</x:v>
      </x:c>
      <x:c r="B294" s="51" t="str">
        <x:v>GD14</x:v>
      </x:c>
      <x:c r="C294" s="51" t="str">
        <x:v>source</x:v>
      </x:c>
      <x:c r="D294" s="51" t="str">
        <x:v>阳江</x:v>
      </x:c>
      <x:c r="E294" s="51" t="str">
        <x:v>C17</x:v>
      </x:c>
      <x:c r="F294" s="51" t="str">
        <x:v>collection</x:v>
      </x:c>
      <x:c r="G294" s="51" t="str">
        <x:v>肇庆虚拟回收/检测中心</x:v>
      </x:c>
      <x:c r="H294" s="52" t="n">
        <x:v>152.24398513792852</x:v>
      </x:c>
      <x:c r="I294" s="52" t="n">
        <x:v>157.7159</x:v>
      </x:c>
      <x:c r="J294" s="52" t="n">
        <x:v>112.49666666666667</x:v>
      </x:c>
      <x:c r="K294" s="52" t="n">
        <x:f>IFERROR(I294/H294,"")</x:f>
        <x:v>1.0359417474333328</x:v>
      </x:c>
      <x:c r="L294" s="52" t="n">
        <x:v>150</x:v>
      </x:c>
      <x:c r="M294" s="65" t="n">
        <x:f>IF(H294&lt;=L294,1,0)</x:f>
        <x:v>0</x:v>
      </x:c>
      <x:c r="N294" s="65" t="n">
        <x:f>IF(I294&lt;=L294,1,0)</x:f>
        <x:v>0</x:v>
      </x:c>
      <x:c r="O294" s="51" t="str">
        <x:f>IF(M294=N294,"不变",IF(N294=1,"由禁变允","由允变禁"))</x:f>
        <x:v>不变</x:v>
      </x:c>
      <x:c r="P294" s="51" t="str">
        <x:v>OSRM driving/car</x:v>
      </x:c>
      <x:c r="Q294" s="51" t="str">
        <x:v>2026-08-15</x:v>
      </x:c>
      <x:c r="R294" s="51" t="str">
        <x:v>C-开放路网计算；不是货车/危运合规路线</x:v>
      </x:c>
      <x:c r="S294" s="51" t="str">
        <x:v>https://routing.openstreetmap.de/routed-car/</x:v>
      </x:c>
    </x:row>
    <x:row r="295">
      <x:c r="A295" s="51" t="str">
        <x:v>A0291</x:v>
      </x:c>
      <x:c r="B295" s="51" t="str">
        <x:v>GD14</x:v>
      </x:c>
      <x:c r="C295" s="51" t="str">
        <x:v>source</x:v>
      </x:c>
      <x:c r="D295" s="51" t="str">
        <x:v>阳江</x:v>
      </x:c>
      <x:c r="E295" s="51" t="str">
        <x:v>C18</x:v>
      </x:c>
      <x:c r="F295" s="51" t="str">
        <x:v>collection</x:v>
      </x:c>
      <x:c r="G295" s="51" t="str">
        <x:v>清远虚拟回收/检测中心</x:v>
      </x:c>
      <x:c r="H295" s="52" t="n">
        <x:v>262.9480259372752</x:v>
      </x:c>
      <x:c r="I295" s="52" t="n">
        <x:v>264.9295</x:v>
      </x:c>
      <x:c r="J295" s="52" t="n">
        <x:v>188.735</x:v>
      </x:c>
      <x:c r="K295" s="52" t="n">
        <x:f>IFERROR(I295/H295,"")</x:f>
        <x:v>1.0075356110990448</x:v>
      </x:c>
      <x:c r="L295" s="52" t="n">
        <x:v>150</x:v>
      </x:c>
      <x:c r="M295" s="65" t="n">
        <x:f>IF(H295&lt;=L295,1,0)</x:f>
        <x:v>0</x:v>
      </x:c>
      <x:c r="N295" s="65" t="n">
        <x:f>IF(I295&lt;=L295,1,0)</x:f>
        <x:v>0</x:v>
      </x:c>
      <x:c r="O295" s="51" t="str">
        <x:f>IF(M295=N295,"不变",IF(N295=1,"由禁变允","由允变禁"))</x:f>
        <x:v>不变</x:v>
      </x:c>
      <x:c r="P295" s="51" t="str">
        <x:v>OSRM driving/car</x:v>
      </x:c>
      <x:c r="Q295" s="51" t="str">
        <x:v>2026-08-15</x:v>
      </x:c>
      <x:c r="R295" s="51" t="str">
        <x:v>C-开放路网计算；不是货车/危运合规路线</x:v>
      </x:c>
      <x:c r="S295" s="51" t="str">
        <x:v>https://routing.openstreetmap.de/routed-car/</x:v>
      </x:c>
    </x:row>
    <x:row r="296">
      <x:c r="A296" s="51" t="str">
        <x:v>A0292</x:v>
      </x:c>
      <x:c r="B296" s="51" t="str">
        <x:v>GD14</x:v>
      </x:c>
      <x:c r="C296" s="51" t="str">
        <x:v>source</x:v>
      </x:c>
      <x:c r="D296" s="51" t="str">
        <x:v>阳江</x:v>
      </x:c>
      <x:c r="E296" s="51" t="str">
        <x:v>C19</x:v>
      </x:c>
      <x:c r="F296" s="51" t="str">
        <x:v>collection</x:v>
      </x:c>
      <x:c r="G296" s="51" t="str">
        <x:v>潮州虚拟回收/检测中心</x:v>
      </x:c>
      <x:c r="H296" s="52" t="n">
        <x:v>630.0503363792635</x:v>
      </x:c>
      <x:c r="I296" s="52" t="n">
        <x:v>619.0198</x:v>
      </x:c>
      <x:c r="J296" s="52" t="n">
        <x:v>417.96500000000003</x:v>
      </x:c>
      <x:c r="K296" s="52" t="n">
        <x:f>IFERROR(I296/H296,"")</x:f>
        <x:v>0.9824926109195448</x:v>
      </x:c>
      <x:c r="L296" s="52" t="n">
        <x:v>150</x:v>
      </x:c>
      <x:c r="M296" s="65" t="n">
        <x:f>IF(H296&lt;=L296,1,0)</x:f>
        <x:v>0</x:v>
      </x:c>
      <x:c r="N296" s="65" t="n">
        <x:f>IF(I296&lt;=L296,1,0)</x:f>
        <x:v>0</x:v>
      </x:c>
      <x:c r="O296" s="51" t="str">
        <x:f>IF(M296=N296,"不变",IF(N296=1,"由禁变允","由允变禁"))</x:f>
        <x:v>不变</x:v>
      </x:c>
      <x:c r="P296" s="51" t="str">
        <x:v>OSRM driving/car</x:v>
      </x:c>
      <x:c r="Q296" s="51" t="str">
        <x:v>2026-08-15</x:v>
      </x:c>
      <x:c r="R296" s="51" t="str">
        <x:v>C-开放路网计算；不是货车/危运合规路线</x:v>
      </x:c>
      <x:c r="S296" s="51" t="str">
        <x:v>https://routing.openstreetmap.de/routed-car/</x:v>
      </x:c>
    </x:row>
    <x:row r="297">
      <x:c r="A297" s="51" t="str">
        <x:v>A0293</x:v>
      </x:c>
      <x:c r="B297" s="51" t="str">
        <x:v>GD14</x:v>
      </x:c>
      <x:c r="C297" s="51" t="str">
        <x:v>source</x:v>
      </x:c>
      <x:c r="D297" s="51" t="str">
        <x:v>阳江</x:v>
      </x:c>
      <x:c r="E297" s="51" t="str">
        <x:v>C20</x:v>
      </x:c>
      <x:c r="F297" s="51" t="str">
        <x:v>collection</x:v>
      </x:c>
      <x:c r="G297" s="51" t="str">
        <x:v>揭阳虚拟回收/检测中心</x:v>
      </x:c>
      <x:c r="H297" s="52" t="n">
        <x:v>596.4217203202264</x:v>
      </x:c>
      <x:c r="I297" s="52" t="n">
        <x:v>586.1041</x:v>
      </x:c>
      <x:c r="J297" s="52" t="n">
        <x:v>399.9433333333333</x:v>
      </x:c>
      <x:c r="K297" s="52" t="n">
        <x:f>IFERROR(I297/H297,"")</x:f>
        <x:v>0.9827007971562693</x:v>
      </x:c>
      <x:c r="L297" s="52" t="n">
        <x:v>150</x:v>
      </x:c>
      <x:c r="M297" s="65" t="n">
        <x:f>IF(H297&lt;=L297,1,0)</x:f>
        <x:v>0</x:v>
      </x:c>
      <x:c r="N297" s="65" t="n">
        <x:f>IF(I297&lt;=L297,1,0)</x:f>
        <x:v>0</x:v>
      </x:c>
      <x:c r="O297" s="51" t="str">
        <x:f>IF(M297=N297,"不变",IF(N297=1,"由禁变允","由允变禁"))</x:f>
        <x:v>不变</x:v>
      </x:c>
      <x:c r="P297" s="51" t="str">
        <x:v>OSRM driving/car</x:v>
      </x:c>
      <x:c r="Q297" s="51" t="str">
        <x:v>2026-08-15</x:v>
      </x:c>
      <x:c r="R297" s="51" t="str">
        <x:v>C-开放路网计算；不是货车/危运合规路线</x:v>
      </x:c>
      <x:c r="S297" s="51" t="str">
        <x:v>https://routing.openstreetmap.de/routed-car/</x:v>
      </x:c>
    </x:row>
    <x:row r="298">
      <x:c r="A298" s="51" t="str">
        <x:v>A0294</x:v>
      </x:c>
      <x:c r="B298" s="51" t="str">
        <x:v>GD14</x:v>
      </x:c>
      <x:c r="C298" s="51" t="str">
        <x:v>source</x:v>
      </x:c>
      <x:c r="D298" s="51" t="str">
        <x:v>阳江</x:v>
      </x:c>
      <x:c r="E298" s="51" t="str">
        <x:v>C21</x:v>
      </x:c>
      <x:c r="F298" s="51" t="str">
        <x:v>collection</x:v>
      </x:c>
      <x:c r="G298" s="51" t="str">
        <x:v>云浮虚拟回收/检测中心</x:v>
      </x:c>
      <x:c r="H298" s="52" t="n">
        <x:v>101.30138350861198</x:v>
      </x:c>
      <x:c r="I298" s="52" t="n">
        <x:v>117.0409</x:v>
      </x:c>
      <x:c r="J298" s="52" t="n">
        <x:v>81.34333333333333</x:v>
      </x:c>
      <x:c r="K298" s="52" t="n">
        <x:f>IFERROR(I298/H298,"")</x:f>
        <x:v>1.1553731641784533</x:v>
      </x:c>
      <x:c r="L298" s="52" t="n">
        <x:v>150</x:v>
      </x:c>
      <x:c r="M298" s="65" t="n">
        <x:f>IF(H298&lt;=L298,1,0)</x:f>
        <x:v>1</x:v>
      </x:c>
      <x:c r="N298" s="65" t="n">
        <x:f>IF(I298&lt;=L298,1,0)</x:f>
        <x:v>1</x:v>
      </x:c>
      <x:c r="O298" s="51" t="str">
        <x:f>IF(M298=N298,"不变",IF(N298=1,"由禁变允","由允变禁"))</x:f>
        <x:v>不变</x:v>
      </x:c>
      <x:c r="P298" s="51" t="str">
        <x:v>OSRM driving/car</x:v>
      </x:c>
      <x:c r="Q298" s="51" t="str">
        <x:v>2026-08-15</x:v>
      </x:c>
      <x:c r="R298" s="51" t="str">
        <x:v>C-开放路网计算；不是货车/危运合规路线</x:v>
      </x:c>
      <x:c r="S298" s="51" t="str">
        <x:v>https://routing.openstreetmap.de/routed-car/</x:v>
      </x:c>
    </x:row>
    <x:row r="299">
      <x:c r="A299" s="51" t="str">
        <x:v>A0295</x:v>
      </x:c>
      <x:c r="B299" s="51" t="str">
        <x:v>GD15</x:v>
      </x:c>
      <x:c r="C299" s="51" t="str">
        <x:v>source</x:v>
      </x:c>
      <x:c r="D299" s="51" t="str">
        <x:v>湛江</x:v>
      </x:c>
      <x:c r="E299" s="51" t="str">
        <x:v>C01</x:v>
      </x:c>
      <x:c r="F299" s="51" t="str">
        <x:v>collection</x:v>
      </x:c>
      <x:c r="G299" s="51" t="str">
        <x:v>广州虚拟回收/检测中心</x:v>
      </x:c>
      <x:c r="H299" s="52" t="n">
        <x:v>435.86375186529995</x:v>
      </x:c>
      <x:c r="I299" s="52" t="n">
        <x:v>417.4008</x:v>
      </x:c>
      <x:c r="J299" s="52" t="n">
        <x:v>278.50333333333333</x:v>
      </x:c>
      <x:c r="K299" s="52" t="n">
        <x:f>IFERROR(I299/H299,"")</x:f>
        <x:v>0.9576405429763617</x:v>
      </x:c>
      <x:c r="L299" s="52" t="n">
        <x:v>150</x:v>
      </x:c>
      <x:c r="M299" s="65" t="n">
        <x:f>IF(H299&lt;=L299,1,0)</x:f>
        <x:v>0</x:v>
      </x:c>
      <x:c r="N299" s="65" t="n">
        <x:f>IF(I299&lt;=L299,1,0)</x:f>
        <x:v>0</x:v>
      </x:c>
      <x:c r="O299" s="51" t="str">
        <x:f>IF(M299=N299,"不变",IF(N299=1,"由禁变允","由允变禁"))</x:f>
        <x:v>不变</x:v>
      </x:c>
      <x:c r="P299" s="51" t="str">
        <x:v>OSRM driving/car</x:v>
      </x:c>
      <x:c r="Q299" s="51" t="str">
        <x:v>2026-08-15</x:v>
      </x:c>
      <x:c r="R299" s="51" t="str">
        <x:v>C-开放路网计算；不是货车/危运合规路线</x:v>
      </x:c>
      <x:c r="S299" s="51" t="str">
        <x:v>https://routing.openstreetmap.de/routed-car/</x:v>
      </x:c>
    </x:row>
    <x:row r="300">
      <x:c r="A300" s="51" t="str">
        <x:v>A0296</x:v>
      </x:c>
      <x:c r="B300" s="51" t="str">
        <x:v>GD15</x:v>
      </x:c>
      <x:c r="C300" s="51" t="str">
        <x:v>source</x:v>
      </x:c>
      <x:c r="D300" s="51" t="str">
        <x:v>湛江</x:v>
      </x:c>
      <x:c r="E300" s="51" t="str">
        <x:v>C02</x:v>
      </x:c>
      <x:c r="F300" s="51" t="str">
        <x:v>collection</x:v>
      </x:c>
      <x:c r="G300" s="51" t="str">
        <x:v>深圳虚拟回收/检测中心</x:v>
      </x:c>
      <x:c r="H300" s="52" t="n">
        <x:v>488.3737657884904</x:v>
      </x:c>
      <x:c r="I300" s="52" t="n">
        <x:v>466.1125</x:v>
      </x:c>
      <x:c r="J300" s="52" t="n">
        <x:v>315.4683333333333</x:v>
      </x:c>
      <x:c r="K300" s="52" t="n">
        <x:f>IFERROR(I300/H300,"")</x:f>
        <x:v>0.9544175642756956</x:v>
      </x:c>
      <x:c r="L300" s="52" t="n">
        <x:v>150</x:v>
      </x:c>
      <x:c r="M300" s="65" t="n">
        <x:f>IF(H300&lt;=L300,1,0)</x:f>
        <x:v>0</x:v>
      </x:c>
      <x:c r="N300" s="65" t="n">
        <x:f>IF(I300&lt;=L300,1,0)</x:f>
        <x:v>0</x:v>
      </x:c>
      <x:c r="O300" s="51" t="str">
        <x:f>IF(M300=N300,"不变",IF(N300=1,"由禁变允","由允变禁"))</x:f>
        <x:v>不变</x:v>
      </x:c>
      <x:c r="P300" s="51" t="str">
        <x:v>OSRM driving/car</x:v>
      </x:c>
      <x:c r="Q300" s="51" t="str">
        <x:v>2026-08-15</x:v>
      </x:c>
      <x:c r="R300" s="51" t="str">
        <x:v>C-开放路网计算；不是货车/危运合规路线</x:v>
      </x:c>
      <x:c r="S300" s="51" t="str">
        <x:v>https://routing.openstreetmap.de/routed-car/</x:v>
      </x:c>
    </x:row>
    <x:row r="301">
      <x:c r="A301" s="51" t="str">
        <x:v>A0297</x:v>
      </x:c>
      <x:c r="B301" s="51" t="str">
        <x:v>GD15</x:v>
      </x:c>
      <x:c r="C301" s="51" t="str">
        <x:v>source</x:v>
      </x:c>
      <x:c r="D301" s="51" t="str">
        <x:v>湛江</x:v>
      </x:c>
      <x:c r="E301" s="51" t="str">
        <x:v>C03</x:v>
      </x:c>
      <x:c r="F301" s="51" t="str">
        <x:v>collection</x:v>
      </x:c>
      <x:c r="G301" s="51" t="str">
        <x:v>珠海虚拟回收/检测中心</x:v>
      </x:c>
      <x:c r="H301" s="52" t="n">
        <x:v>420.3939061655412</x:v>
      </x:c>
      <x:c r="I301" s="52" t="n">
        <x:v>407.71520000000004</x:v>
      </x:c>
      <x:c r="J301" s="52" t="n">
        <x:v>277.53499999999997</x:v>
      </x:c>
      <x:c r="K301" s="52" t="n">
        <x:f>IFERROR(I301/H301,"")</x:f>
        <x:v>0.9698408897474633</x:v>
      </x:c>
      <x:c r="L301" s="52" t="n">
        <x:v>150</x:v>
      </x:c>
      <x:c r="M301" s="65" t="n">
        <x:f>IF(H301&lt;=L301,1,0)</x:f>
        <x:v>0</x:v>
      </x:c>
      <x:c r="N301" s="65" t="n">
        <x:f>IF(I301&lt;=L301,1,0)</x:f>
        <x:v>0</x:v>
      </x:c>
      <x:c r="O301" s="51" t="str">
        <x:f>IF(M301=N301,"不变",IF(N301=1,"由禁变允","由允变禁"))</x:f>
        <x:v>不变</x:v>
      </x:c>
      <x:c r="P301" s="51" t="str">
        <x:v>OSRM driving/car</x:v>
      </x:c>
      <x:c r="Q301" s="51" t="str">
        <x:v>2026-08-15</x:v>
      </x:c>
      <x:c r="R301" s="51" t="str">
        <x:v>C-开放路网计算；不是货车/危运合规路线</x:v>
      </x:c>
      <x:c r="S301" s="51" t="str">
        <x:v>https://routing.openstreetmap.de/routed-car/</x:v>
      </x:c>
    </x:row>
    <x:row r="302">
      <x:c r="A302" s="51" t="str">
        <x:v>A0298</x:v>
      </x:c>
      <x:c r="B302" s="51" t="str">
        <x:v>GD15</x:v>
      </x:c>
      <x:c r="C302" s="51" t="str">
        <x:v>source</x:v>
      </x:c>
      <x:c r="D302" s="51" t="str">
        <x:v>湛江</x:v>
      </x:c>
      <x:c r="E302" s="51" t="str">
        <x:v>C04</x:v>
      </x:c>
      <x:c r="F302" s="51" t="str">
        <x:v>collection</x:v>
      </x:c>
      <x:c r="G302" s="51" t="str">
        <x:v>汕头虚拟回收/检测中心</x:v>
      </x:c>
      <x:c r="H302" s="52" t="n">
        <x:v>828.3713526049856</x:v>
      </x:c>
      <x:c r="I302" s="52" t="n">
        <x:v>791.4771999999999</x:v>
      </x:c>
      <x:c r="J302" s="52" t="n">
        <x:v>537.37</x:v>
      </x:c>
      <x:c r="K302" s="52" t="n">
        <x:f>IFERROR(I302/H302,"")</x:f>
        <x:v>0.9554618197636068</x:v>
      </x:c>
      <x:c r="L302" s="52" t="n">
        <x:v>150</x:v>
      </x:c>
      <x:c r="M302" s="65" t="n">
        <x:f>IF(H302&lt;=L302,1,0)</x:f>
        <x:v>0</x:v>
      </x:c>
      <x:c r="N302" s="65" t="n">
        <x:f>IF(I302&lt;=L302,1,0)</x:f>
        <x:v>0</x:v>
      </x:c>
      <x:c r="O302" s="51" t="str">
        <x:f>IF(M302=N302,"不变",IF(N302=1,"由禁变允","由允变禁"))</x:f>
        <x:v>不变</x:v>
      </x:c>
      <x:c r="P302" s="51" t="str">
        <x:v>OSRM driving/car</x:v>
      </x:c>
      <x:c r="Q302" s="51" t="str">
        <x:v>2026-08-15</x:v>
      </x:c>
      <x:c r="R302" s="51" t="str">
        <x:v>C-开放路网计算；不是货车/危运合规路线</x:v>
      </x:c>
      <x:c r="S302" s="51" t="str">
        <x:v>https://routing.openstreetmap.de/routed-car/</x:v>
      </x:c>
    </x:row>
    <x:row r="303">
      <x:c r="A303" s="51" t="str">
        <x:v>A0299</x:v>
      </x:c>
      <x:c r="B303" s="51" t="str">
        <x:v>GD15</x:v>
      </x:c>
      <x:c r="C303" s="51" t="str">
        <x:v>source</x:v>
      </x:c>
      <x:c r="D303" s="51" t="str">
        <x:v>湛江</x:v>
      </x:c>
      <x:c r="E303" s="51" t="str">
        <x:v>C05</x:v>
      </x:c>
      <x:c r="F303" s="51" t="str">
        <x:v>collection</x:v>
      </x:c>
      <x:c r="G303" s="51" t="str">
        <x:v>佛山虚拟回收/检测中心</x:v>
      </x:c>
      <x:c r="H303" s="52" t="n">
        <x:v>413.4873083569706</x:v>
      </x:c>
      <x:c r="I303" s="52" t="n">
        <x:v>396.1833</x:v>
      </x:c>
      <x:c r="J303" s="52" t="n">
        <x:v>263.6166666666667</x:v>
      </x:c>
      <x:c r="K303" s="52" t="n">
        <x:f>IFERROR(I303/H303,"")</x:f>
        <x:v>0.9581510532312838</x:v>
      </x:c>
      <x:c r="L303" s="52" t="n">
        <x:v>150</x:v>
      </x:c>
      <x:c r="M303" s="65" t="n">
        <x:f>IF(H303&lt;=L303,1,0)</x:f>
        <x:v>0</x:v>
      </x:c>
      <x:c r="N303" s="65" t="n">
        <x:f>IF(I303&lt;=L303,1,0)</x:f>
        <x:v>0</x:v>
      </x:c>
      <x:c r="O303" s="51" t="str">
        <x:f>IF(M303=N303,"不变",IF(N303=1,"由禁变允","由允变禁"))</x:f>
        <x:v>不变</x:v>
      </x:c>
      <x:c r="P303" s="51" t="str">
        <x:v>OSRM driving/car</x:v>
      </x:c>
      <x:c r="Q303" s="51" t="str">
        <x:v>2026-08-15</x:v>
      </x:c>
      <x:c r="R303" s="51" t="str">
        <x:v>C-开放路网计算；不是货车/危运合规路线</x:v>
      </x:c>
      <x:c r="S303" s="51" t="str">
        <x:v>https://routing.openstreetmap.de/routed-car/</x:v>
      </x:c>
    </x:row>
    <x:row r="304">
      <x:c r="A304" s="51" t="str">
        <x:v>A0300</x:v>
      </x:c>
      <x:c r="B304" s="51" t="str">
        <x:v>GD15</x:v>
      </x:c>
      <x:c r="C304" s="51" t="str">
        <x:v>source</x:v>
      </x:c>
      <x:c r="D304" s="51" t="str">
        <x:v>湛江</x:v>
      </x:c>
      <x:c r="E304" s="51" t="str">
        <x:v>C06</x:v>
      </x:c>
      <x:c r="F304" s="51" t="str">
        <x:v>collection</x:v>
      </x:c>
      <x:c r="G304" s="51" t="str">
        <x:v>韶关虚拟回收/检测中心</x:v>
      </x:c>
      <x:c r="H304" s="52" t="n">
        <x:v>636.9781427860692</x:v>
      </x:c>
      <x:c r="I304" s="52" t="n">
        <x:v>645.3444000000001</x:v>
      </x:c>
      <x:c r="J304" s="52" t="n">
        <x:v>438.71666666666664</x:v>
      </x:c>
      <x:c r="K304" s="52" t="n">
        <x:f>IFERROR(I304/H304,"")</x:f>
        <x:v>1.0131342924536435</x:v>
      </x:c>
      <x:c r="L304" s="52" t="n">
        <x:v>150</x:v>
      </x:c>
      <x:c r="M304" s="65" t="n">
        <x:f>IF(H304&lt;=L304,1,0)</x:f>
        <x:v>0</x:v>
      </x:c>
      <x:c r="N304" s="65" t="n">
        <x:f>IF(I304&lt;=L304,1,0)</x:f>
        <x:v>0</x:v>
      </x:c>
      <x:c r="O304" s="51" t="str">
        <x:f>IF(M304=N304,"不变",IF(N304=1,"由禁变允","由允变禁"))</x:f>
        <x:v>不变</x:v>
      </x:c>
      <x:c r="P304" s="51" t="str">
        <x:v>OSRM driving/car</x:v>
      </x:c>
      <x:c r="Q304" s="51" t="str">
        <x:v>2026-08-15</x:v>
      </x:c>
      <x:c r="R304" s="51" t="str">
        <x:v>C-开放路网计算；不是货车/危运合规路线</x:v>
      </x:c>
      <x:c r="S304" s="51" t="str">
        <x:v>https://routing.openstreetmap.de/routed-car/</x:v>
      </x:c>
    </x:row>
    <x:row r="305">
      <x:c r="A305" s="51" t="str">
        <x:v>A0301</x:v>
      </x:c>
      <x:c r="B305" s="51" t="str">
        <x:v>GD15</x:v>
      </x:c>
      <x:c r="C305" s="51" t="str">
        <x:v>source</x:v>
      </x:c>
      <x:c r="D305" s="51" t="str">
        <x:v>湛江</x:v>
      </x:c>
      <x:c r="E305" s="51" t="str">
        <x:v>C07</x:v>
      </x:c>
      <x:c r="F305" s="51" t="str">
        <x:v>collection</x:v>
      </x:c>
      <x:c r="G305" s="51" t="str">
        <x:v>河源虚拟回收/检测中心</x:v>
      </x:c>
      <x:c r="H305" s="52" t="n">
        <x:v>690.9757745542857</x:v>
      </x:c>
      <x:c r="I305" s="52" t="n">
        <x:v>687.8736</x:v>
      </x:c>
      <x:c r="J305" s="52" t="n">
        <x:v>479.56166666666667</x:v>
      </x:c>
      <x:c r="K305" s="52" t="n">
        <x:f>IFERROR(I305/H305,"")</x:f>
        <x:v>0.9955104438266497</x:v>
      </x:c>
      <x:c r="L305" s="52" t="n">
        <x:v>150</x:v>
      </x:c>
      <x:c r="M305" s="65" t="n">
        <x:f>IF(H305&lt;=L305,1,0)</x:f>
        <x:v>0</x:v>
      </x:c>
      <x:c r="N305" s="65" t="n">
        <x:f>IF(I305&lt;=L305,1,0)</x:f>
        <x:v>0</x:v>
      </x:c>
      <x:c r="O305" s="51" t="str">
        <x:f>IF(M305=N305,"不变",IF(N305=1,"由禁变允","由允变禁"))</x:f>
        <x:v>不变</x:v>
      </x:c>
      <x:c r="P305" s="51" t="str">
        <x:v>OSRM driving/car</x:v>
      </x:c>
      <x:c r="Q305" s="51" t="str">
        <x:v>2026-08-15</x:v>
      </x:c>
      <x:c r="R305" s="51" t="str">
        <x:v>C-开放路网计算；不是货车/危运合规路线</x:v>
      </x:c>
      <x:c r="S305" s="51" t="str">
        <x:v>https://routing.openstreetmap.de/routed-car/</x:v>
      </x:c>
    </x:row>
    <x:row r="306">
      <x:c r="A306" s="51" t="str">
        <x:v>A0302</x:v>
      </x:c>
      <x:c r="B306" s="51" t="str">
        <x:v>GD15</x:v>
      </x:c>
      <x:c r="C306" s="51" t="str">
        <x:v>source</x:v>
      </x:c>
      <x:c r="D306" s="51" t="str">
        <x:v>湛江</x:v>
      </x:c>
      <x:c r="E306" s="51" t="str">
        <x:v>C08</x:v>
      </x:c>
      <x:c r="F306" s="51" t="str">
        <x:v>collection</x:v>
      </x:c>
      <x:c r="G306" s="51" t="str">
        <x:v>梅州虚拟回收/检测中心</x:v>
      </x:c>
      <x:c r="H306" s="52" t="n">
        <x:v>815.1568254890299</x:v>
      </x:c>
      <x:c r="I306" s="52" t="n">
        <x:v>785.562</x:v>
      </x:c>
      <x:c r="J306" s="52" t="n">
        <x:v>533.4433333333333</x:v>
      </x:c>
      <x:c r="K306" s="52" t="n">
        <x:f>IFERROR(I306/H306,"")</x:f>
        <x:v>0.9636943167699353</x:v>
      </x:c>
      <x:c r="L306" s="52" t="n">
        <x:v>150</x:v>
      </x:c>
      <x:c r="M306" s="65" t="n">
        <x:f>IF(H306&lt;=L306,1,0)</x:f>
        <x:v>0</x:v>
      </x:c>
      <x:c r="N306" s="65" t="n">
        <x:f>IF(I306&lt;=L306,1,0)</x:f>
        <x:v>0</x:v>
      </x:c>
      <x:c r="O306" s="51" t="str">
        <x:f>IF(M306=N306,"不变",IF(N306=1,"由禁变允","由允变禁"))</x:f>
        <x:v>不变</x:v>
      </x:c>
      <x:c r="P306" s="51" t="str">
        <x:v>OSRM driving/car</x:v>
      </x:c>
      <x:c r="Q306" s="51" t="str">
        <x:v>2026-08-15</x:v>
      </x:c>
      <x:c r="R306" s="51" t="str">
        <x:v>C-开放路网计算；不是货车/危运合规路线</x:v>
      </x:c>
      <x:c r="S306" s="51" t="str">
        <x:v>https://routing.openstreetmap.de/routed-car/</x:v>
      </x:c>
    </x:row>
    <x:row r="307">
      <x:c r="A307" s="51" t="str">
        <x:v>A0303</x:v>
      </x:c>
      <x:c r="B307" s="51" t="str">
        <x:v>GD15</x:v>
      </x:c>
      <x:c r="C307" s="51" t="str">
        <x:v>source</x:v>
      </x:c>
      <x:c r="D307" s="51" t="str">
        <x:v>湛江</x:v>
      </x:c>
      <x:c r="E307" s="51" t="str">
        <x:v>C09</x:v>
      </x:c>
      <x:c r="F307" s="51" t="str">
        <x:v>collection</x:v>
      </x:c>
      <x:c r="G307" s="51" t="str">
        <x:v>惠州虚拟回收/检测中心</x:v>
      </x:c>
      <x:c r="H307" s="52" t="n">
        <x:v>558.1215185443488</x:v>
      </x:c>
      <x:c r="I307" s="52" t="n">
        <x:v>532.7683000000001</x:v>
      </x:c>
      <x:c r="J307" s="52" t="n">
        <x:v>359.97333333333336</x:v>
      </x:c>
      <x:c r="K307" s="52" t="n">
        <x:f>IFERROR(I307/H307,"")</x:f>
        <x:v>0.9545740171235951</x:v>
      </x:c>
      <x:c r="L307" s="52" t="n">
        <x:v>150</x:v>
      </x:c>
      <x:c r="M307" s="65" t="n">
        <x:f>IF(H307&lt;=L307,1,0)</x:f>
        <x:v>0</x:v>
      </x:c>
      <x:c r="N307" s="65" t="n">
        <x:f>IF(I307&lt;=L307,1,0)</x:f>
        <x:v>0</x:v>
      </x:c>
      <x:c r="O307" s="51" t="str">
        <x:f>IF(M307=N307,"不变",IF(N307=1,"由禁变允","由允变禁"))</x:f>
        <x:v>不变</x:v>
      </x:c>
      <x:c r="P307" s="51" t="str">
        <x:v>OSRM driving/car</x:v>
      </x:c>
      <x:c r="Q307" s="51" t="str">
        <x:v>2026-08-15</x:v>
      </x:c>
      <x:c r="R307" s="51" t="str">
        <x:v>C-开放路网计算；不是货车/危运合规路线</x:v>
      </x:c>
      <x:c r="S307" s="51" t="str">
        <x:v>https://routing.openstreetmap.de/routed-car/</x:v>
      </x:c>
    </x:row>
    <x:row r="308">
      <x:c r="A308" s="51" t="str">
        <x:v>A0304</x:v>
      </x:c>
      <x:c r="B308" s="51" t="str">
        <x:v>GD15</x:v>
      </x:c>
      <x:c r="C308" s="51" t="str">
        <x:v>source</x:v>
      </x:c>
      <x:c r="D308" s="51" t="str">
        <x:v>湛江</x:v>
      </x:c>
      <x:c r="E308" s="51" t="str">
        <x:v>C10</x:v>
      </x:c>
      <x:c r="F308" s="51" t="str">
        <x:v>collection</x:v>
      </x:c>
      <x:c r="G308" s="51" t="str">
        <x:v>汕尾虚拟回收/检测中心</x:v>
      </x:c>
      <x:c r="H308" s="52" t="n">
        <x:v>677.999715742461</x:v>
      </x:c>
      <x:c r="I308" s="52" t="n">
        <x:v>655.378</x:v>
      </x:c>
      <x:c r="J308" s="52" t="n">
        <x:v>454.315</x:v>
      </x:c>
      <x:c r="K308" s="52" t="n">
        <x:f>IFERROR(I308/H308,"")</x:f>
        <x:v>0.9666346235592613</x:v>
      </x:c>
      <x:c r="L308" s="52" t="n">
        <x:v>150</x:v>
      </x:c>
      <x:c r="M308" s="65" t="n">
        <x:f>IF(H308&lt;=L308,1,0)</x:f>
        <x:v>0</x:v>
      </x:c>
      <x:c r="N308" s="65" t="n">
        <x:f>IF(I308&lt;=L308,1,0)</x:f>
        <x:v>0</x:v>
      </x:c>
      <x:c r="O308" s="51" t="str">
        <x:f>IF(M308=N308,"不变",IF(N308=1,"由禁变允","由允变禁"))</x:f>
        <x:v>不变</x:v>
      </x:c>
      <x:c r="P308" s="51" t="str">
        <x:v>OSRM driving/car</x:v>
      </x:c>
      <x:c r="Q308" s="51" t="str">
        <x:v>2026-08-15</x:v>
      </x:c>
      <x:c r="R308" s="51" t="str">
        <x:v>C-开放路网计算；不是货车/危运合规路线</x:v>
      </x:c>
      <x:c r="S308" s="51" t="str">
        <x:v>https://routing.openstreetmap.de/routed-car/</x:v>
      </x:c>
    </x:row>
    <x:row r="309">
      <x:c r="A309" s="51" t="str">
        <x:v>A0305</x:v>
      </x:c>
      <x:c r="B309" s="51" t="str">
        <x:v>GD15</x:v>
      </x:c>
      <x:c r="C309" s="51" t="str">
        <x:v>source</x:v>
      </x:c>
      <x:c r="D309" s="51" t="str">
        <x:v>湛江</x:v>
      </x:c>
      <x:c r="E309" s="51" t="str">
        <x:v>C11</x:v>
      </x:c>
      <x:c r="F309" s="51" t="str">
        <x:v>collection</x:v>
      </x:c>
      <x:c r="G309" s="51" t="str">
        <x:v>东莞虚拟回收/检测中心</x:v>
      </x:c>
      <x:c r="H309" s="52" t="n">
        <x:v>479.3156543516013</x:v>
      </x:c>
      <x:c r="I309" s="52" t="n">
        <x:v>464.8066</x:v>
      </x:c>
      <x:c r="J309" s="52" t="n">
        <x:v>309.14833333333337</x:v>
      </x:c>
      <x:c r="K309" s="52" t="n">
        <x:f>IFERROR(I309/H309,"")</x:f>
        <x:v>0.9697296463825523</x:v>
      </x:c>
      <x:c r="L309" s="52" t="n">
        <x:v>150</x:v>
      </x:c>
      <x:c r="M309" s="65" t="n">
        <x:f>IF(H309&lt;=L309,1,0)</x:f>
        <x:v>0</x:v>
      </x:c>
      <x:c r="N309" s="65" t="n">
        <x:f>IF(I309&lt;=L309,1,0)</x:f>
        <x:v>0</x:v>
      </x:c>
      <x:c r="O309" s="51" t="str">
        <x:f>IF(M309=N309,"不变",IF(N309=1,"由禁变允","由允变禁"))</x:f>
        <x:v>不变</x:v>
      </x:c>
      <x:c r="P309" s="51" t="str">
        <x:v>OSRM driving/car</x:v>
      </x:c>
      <x:c r="Q309" s="51" t="str">
        <x:v>2026-08-15</x:v>
      </x:c>
      <x:c r="R309" s="51" t="str">
        <x:v>C-开放路网计算；不是货车/危运合规路线</x:v>
      </x:c>
      <x:c r="S309" s="51" t="str">
        <x:v>https://routing.openstreetmap.de/routed-car/</x:v>
      </x:c>
    </x:row>
    <x:row r="310">
      <x:c r="A310" s="51" t="str">
        <x:v>A0306</x:v>
      </x:c>
      <x:c r="B310" s="51" t="str">
        <x:v>GD15</x:v>
      </x:c>
      <x:c r="C310" s="51" t="str">
        <x:v>source</x:v>
      </x:c>
      <x:c r="D310" s="51" t="str">
        <x:v>湛江</x:v>
      </x:c>
      <x:c r="E310" s="51" t="str">
        <x:v>C12</x:v>
      </x:c>
      <x:c r="F310" s="51" t="str">
        <x:v>collection</x:v>
      </x:c>
      <x:c r="G310" s="51" t="str">
        <x:v>中山虚拟回收/检测中心</x:v>
      </x:c>
      <x:c r="H310" s="52" t="n">
        <x:v>410.5848719535726</x:v>
      </x:c>
      <x:c r="I310" s="52" t="n">
        <x:v>386.182</x:v>
      </x:c>
      <x:c r="J310" s="52" t="n">
        <x:v>258.96833333333336</x:v>
      </x:c>
      <x:c r="K310" s="52" t="n">
        <x:f>IFERROR(I310/H310,"")</x:f>
        <x:v>0.9405655843152156</x:v>
      </x:c>
      <x:c r="L310" s="52" t="n">
        <x:v>150</x:v>
      </x:c>
      <x:c r="M310" s="65" t="n">
        <x:f>IF(H310&lt;=L310,1,0)</x:f>
        <x:v>0</x:v>
      </x:c>
      <x:c r="N310" s="65" t="n">
        <x:f>IF(I310&lt;=L310,1,0)</x:f>
        <x:v>0</x:v>
      </x:c>
      <x:c r="O310" s="51" t="str">
        <x:f>IF(M310=N310,"不变",IF(N310=1,"由禁变允","由允变禁"))</x:f>
        <x:v>不变</x:v>
      </x:c>
      <x:c r="P310" s="51" t="str">
        <x:v>OSRM driving/car</x:v>
      </x:c>
      <x:c r="Q310" s="51" t="str">
        <x:v>2026-08-15</x:v>
      </x:c>
      <x:c r="R310" s="51" t="str">
        <x:v>C-开放路网计算；不是货车/危运合规路线</x:v>
      </x:c>
      <x:c r="S310" s="51" t="str">
        <x:v>https://routing.openstreetmap.de/routed-car/</x:v>
      </x:c>
    </x:row>
    <x:row r="311">
      <x:c r="A311" s="51" t="str">
        <x:v>A0307</x:v>
      </x:c>
      <x:c r="B311" s="51" t="str">
        <x:v>GD15</x:v>
      </x:c>
      <x:c r="C311" s="51" t="str">
        <x:v>source</x:v>
      </x:c>
      <x:c r="D311" s="51" t="str">
        <x:v>湛江</x:v>
      </x:c>
      <x:c r="E311" s="51" t="str">
        <x:v>C13</x:v>
      </x:c>
      <x:c r="F311" s="51" t="str">
        <x:v>collection</x:v>
      </x:c>
      <x:c r="G311" s="51" t="str">
        <x:v>江门虚拟回收/检测中心</x:v>
      </x:c>
      <x:c r="H311" s="52" t="n">
        <x:v>379.3560995691944</x:v>
      </x:c>
      <x:c r="I311" s="52" t="n">
        <x:v>355.2792</x:v>
      </x:c>
      <x:c r="J311" s="52" t="n">
        <x:v>236.30166666666668</x:v>
      </x:c>
      <x:c r="K311" s="52" t="n">
        <x:f>IFERROR(I311/H311,"")</x:f>
        <x:v>0.9365321933757315</x:v>
      </x:c>
      <x:c r="L311" s="52" t="n">
        <x:v>150</x:v>
      </x:c>
      <x:c r="M311" s="65" t="n">
        <x:f>IF(H311&lt;=L311,1,0)</x:f>
        <x:v>0</x:v>
      </x:c>
      <x:c r="N311" s="65" t="n">
        <x:f>IF(I311&lt;=L311,1,0)</x:f>
        <x:v>0</x:v>
      </x:c>
      <x:c r="O311" s="51" t="str">
        <x:f>IF(M311=N311,"不变",IF(N311=1,"由禁变允","由允变禁"))</x:f>
        <x:v>不变</x:v>
      </x:c>
      <x:c r="P311" s="51" t="str">
        <x:v>OSRM driving/car</x:v>
      </x:c>
      <x:c r="Q311" s="51" t="str">
        <x:v>2026-08-15</x:v>
      </x:c>
      <x:c r="R311" s="51" t="str">
        <x:v>C-开放路网计算；不是货车/危运合规路线</x:v>
      </x:c>
      <x:c r="S311" s="51" t="str">
        <x:v>https://routing.openstreetmap.de/routed-car/</x:v>
      </x:c>
    </x:row>
    <x:row r="312">
      <x:c r="A312" s="51" t="str">
        <x:v>A0308</x:v>
      </x:c>
      <x:c r="B312" s="51" t="str">
        <x:v>GD15</x:v>
      </x:c>
      <x:c r="C312" s="51" t="str">
        <x:v>source</x:v>
      </x:c>
      <x:c r="D312" s="51" t="str">
        <x:v>湛江</x:v>
      </x:c>
      <x:c r="E312" s="51" t="str">
        <x:v>C14</x:v>
      </x:c>
      <x:c r="F312" s="51" t="str">
        <x:v>collection</x:v>
      </x:c>
      <x:c r="G312" s="51" t="str">
        <x:v>阳江虚拟回收/检测中心</x:v>
      </x:c>
      <x:c r="H312" s="52" t="n">
        <x:v>208.31711730405573</x:v>
      </x:c>
      <x:c r="I312" s="52" t="n">
        <x:v>209.5613</x:v>
      </x:c>
      <x:c r="J312" s="52" t="n">
        <x:v>140.09666666666666</x:v>
      </x:c>
      <x:c r="K312" s="52" t="n">
        <x:f>IFERROR(I312/H312,"")</x:f>
        <x:v>1.0059725418249152</x:v>
      </x:c>
      <x:c r="L312" s="52" t="n">
        <x:v>150</x:v>
      </x:c>
      <x:c r="M312" s="65" t="n">
        <x:f>IF(H312&lt;=L312,1,0)</x:f>
        <x:v>0</x:v>
      </x:c>
      <x:c r="N312" s="65" t="n">
        <x:f>IF(I312&lt;=L312,1,0)</x:f>
        <x:v>0</x:v>
      </x:c>
      <x:c r="O312" s="51" t="str">
        <x:f>IF(M312=N312,"不变",IF(N312=1,"由禁变允","由允变禁"))</x:f>
        <x:v>不变</x:v>
      </x:c>
      <x:c r="P312" s="51" t="str">
        <x:v>OSRM driving/car</x:v>
      </x:c>
      <x:c r="Q312" s="51" t="str">
        <x:v>2026-08-15</x:v>
      </x:c>
      <x:c r="R312" s="51" t="str">
        <x:v>C-开放路网计算；不是货车/危运合规路线</x:v>
      </x:c>
      <x:c r="S312" s="51" t="str">
        <x:v>https://routing.openstreetmap.de/routed-car/</x:v>
      </x:c>
    </x:row>
    <x:row r="313">
      <x:c r="A313" s="51" t="str">
        <x:v>A0309</x:v>
      </x:c>
      <x:c r="B313" s="51" t="str">
        <x:v>GD15</x:v>
      </x:c>
      <x:c r="C313" s="51" t="str">
        <x:v>source</x:v>
      </x:c>
      <x:c r="D313" s="51" t="str">
        <x:v>湛江</x:v>
      </x:c>
      <x:c r="E313" s="51" t="str">
        <x:v>C15</x:v>
      </x:c>
      <x:c r="F313" s="51" t="str">
        <x:v>collection</x:v>
      </x:c>
      <x:c r="G313" s="51" t="str">
        <x:v>湛江虚拟回收/检测中心</x:v>
      </x:c>
      <x:c r="H313" s="52" t="n">
        <x:v>0</x:v>
      </x:c>
      <x:c r="I313" s="52" t="n">
        <x:v>0</x:v>
      </x:c>
      <x:c r="J313" s="52" t="n">
        <x:v>0</x:v>
      </x:c>
      <x:c r="K313" s="52" t="str">
        <x:f>IFERROR(I313/H313,"")</x:f>
      </x:c>
      <x:c r="L313" s="52" t="n">
        <x:v>150</x:v>
      </x:c>
      <x:c r="M313" s="65" t="n">
        <x:f>IF(H313&lt;=L313,1,0)</x:f>
        <x:v>1</x:v>
      </x:c>
      <x:c r="N313" s="65" t="n">
        <x:f>IF(I313&lt;=L313,1,0)</x:f>
        <x:v>1</x:v>
      </x:c>
      <x:c r="O313" s="51" t="str">
        <x:f>IF(M313=N313,"不变",IF(N313=1,"由禁变允","由允变禁"))</x:f>
        <x:v>不变</x:v>
      </x:c>
      <x:c r="P313" s="51" t="str">
        <x:v>OSRM driving/car</x:v>
      </x:c>
      <x:c r="Q313" s="51" t="str">
        <x:v>2026-08-15</x:v>
      </x:c>
      <x:c r="R313" s="51" t="str">
        <x:v>C-开放路网计算；不是货车/危运合规路线</x:v>
      </x:c>
      <x:c r="S313" s="51" t="str">
        <x:v>https://routing.openstreetmap.de/routed-car/</x:v>
      </x:c>
    </x:row>
    <x:row r="314">
      <x:c r="A314" s="51" t="str">
        <x:v>A0310</x:v>
      </x:c>
      <x:c r="B314" s="51" t="str">
        <x:v>GD15</x:v>
      </x:c>
      <x:c r="C314" s="51" t="str">
        <x:v>source</x:v>
      </x:c>
      <x:c r="D314" s="51" t="str">
        <x:v>湛江</x:v>
      </x:c>
      <x:c r="E314" s="51" t="str">
        <x:v>C16</x:v>
      </x:c>
      <x:c r="F314" s="51" t="str">
        <x:v>collection</x:v>
      </x:c>
      <x:c r="G314" s="51" t="str">
        <x:v>茂名虚拟回收/检测中心</x:v>
      </x:c>
      <x:c r="H314" s="52" t="n">
        <x:v>87.62149652993399</x:v>
      </x:c>
      <x:c r="I314" s="52" t="n">
        <x:v>93.1125</x:v>
      </x:c>
      <x:c r="J314" s="52" t="n">
        <x:v>67.86999999999999</x:v>
      </x:c>
      <x:c r="K314" s="52" t="n">
        <x:f>IFERROR(I314/H314,"")</x:f>
        <x:v>1.0626673098215131</x:v>
      </x:c>
      <x:c r="L314" s="52" t="n">
        <x:v>150</x:v>
      </x:c>
      <x:c r="M314" s="65" t="n">
        <x:f>IF(H314&lt;=L314,1,0)</x:f>
        <x:v>1</x:v>
      </x:c>
      <x:c r="N314" s="65" t="n">
        <x:f>IF(I314&lt;=L314,1,0)</x:f>
        <x:v>1</x:v>
      </x:c>
      <x:c r="O314" s="51" t="str">
        <x:f>IF(M314=N314,"不变",IF(N314=1,"由禁变允","由允变禁"))</x:f>
        <x:v>不变</x:v>
      </x:c>
      <x:c r="P314" s="51" t="str">
        <x:v>OSRM driving/car</x:v>
      </x:c>
      <x:c r="Q314" s="51" t="str">
        <x:v>2026-08-15</x:v>
      </x:c>
      <x:c r="R314" s="51" t="str">
        <x:v>C-开放路网计算；不是货车/危运合规路线</x:v>
      </x:c>
      <x:c r="S314" s="51" t="str">
        <x:v>https://routing.openstreetmap.de/routed-car/</x:v>
      </x:c>
    </x:row>
    <x:row r="315">
      <x:c r="A315" s="51" t="str">
        <x:v>A0311</x:v>
      </x:c>
      <x:c r="B315" s="51" t="str">
        <x:v>GD15</x:v>
      </x:c>
      <x:c r="C315" s="51" t="str">
        <x:v>source</x:v>
      </x:c>
      <x:c r="D315" s="51" t="str">
        <x:v>湛江</x:v>
      </x:c>
      <x:c r="E315" s="51" t="str">
        <x:v>C17</x:v>
      </x:c>
      <x:c r="F315" s="51" t="str">
        <x:v>collection</x:v>
      </x:c>
      <x:c r="G315" s="51" t="str">
        <x:v>肇庆虚拟回收/检测中心</x:v>
      </x:c>
      <x:c r="H315" s="52" t="n">
        <x:v>351.9646269546589</x:v>
      </x:c>
      <x:c r="I315" s="52" t="n">
        <x:v>350.6076</x:v>
      </x:c>
      <x:c r="J315" s="52" t="n">
        <x:v>243.34</x:v>
      </x:c>
      <x:c r="K315" s="52" t="n">
        <x:f>IFERROR(I315/H315,"")</x:f>
        <x:v>0.9961444223347088</x:v>
      </x:c>
      <x:c r="L315" s="52" t="n">
        <x:v>150</x:v>
      </x:c>
      <x:c r="M315" s="65" t="n">
        <x:f>IF(H315&lt;=L315,1,0)</x:f>
        <x:v>0</x:v>
      </x:c>
      <x:c r="N315" s="65" t="n">
        <x:f>IF(I315&lt;=L315,1,0)</x:f>
        <x:v>0</x:v>
      </x:c>
      <x:c r="O315" s="51" t="str">
        <x:f>IF(M315=N315,"不变",IF(N315=1,"由禁变允","由允变禁"))</x:f>
        <x:v>不变</x:v>
      </x:c>
      <x:c r="P315" s="51" t="str">
        <x:v>OSRM driving/car</x:v>
      </x:c>
      <x:c r="Q315" s="51" t="str">
        <x:v>2026-08-15</x:v>
      </x:c>
      <x:c r="R315" s="51" t="str">
        <x:v>C-开放路网计算；不是货车/危运合规路线</x:v>
      </x:c>
      <x:c r="S315" s="51" t="str">
        <x:v>https://routing.openstreetmap.de/routed-car/</x:v>
      </x:c>
    </x:row>
    <x:row r="316">
      <x:c r="A316" s="51" t="str">
        <x:v>A0312</x:v>
      </x:c>
      <x:c r="B316" s="51" t="str">
        <x:v>GD15</x:v>
      </x:c>
      <x:c r="C316" s="51" t="str">
        <x:v>source</x:v>
      </x:c>
      <x:c r="D316" s="51" t="str">
        <x:v>湛江</x:v>
      </x:c>
      <x:c r="E316" s="51" t="str">
        <x:v>C18</x:v>
      </x:c>
      <x:c r="F316" s="51" t="str">
        <x:v>collection</x:v>
      </x:c>
      <x:c r="G316" s="51" t="str">
        <x:v>清远虚拟回收/检测中心</x:v>
      </x:c>
      <x:c r="H316" s="52" t="n">
        <x:v>462.40989323879114</x:v>
      </x:c>
      <x:c r="I316" s="52" t="n">
        <x:v>457.82120000000003</x:v>
      </x:c>
      <x:c r="J316" s="52" t="n">
        <x:v>319.5783333333333</x:v>
      </x:c>
      <x:c r="K316" s="52" t="n">
        <x:f>IFERROR(I316/H316,"")</x:f>
        <x:v>0.9900765677683685</x:v>
      </x:c>
      <x:c r="L316" s="52" t="n">
        <x:v>150</x:v>
      </x:c>
      <x:c r="M316" s="65" t="n">
        <x:f>IF(H316&lt;=L316,1,0)</x:f>
        <x:v>0</x:v>
      </x:c>
      <x:c r="N316" s="65" t="n">
        <x:f>IF(I316&lt;=L316,1,0)</x:f>
        <x:v>0</x:v>
      </x:c>
      <x:c r="O316" s="51" t="str">
        <x:f>IF(M316=N316,"不变",IF(N316=1,"由禁变允","由允变禁"))</x:f>
        <x:v>不变</x:v>
      </x:c>
      <x:c r="P316" s="51" t="str">
        <x:v>OSRM driving/car</x:v>
      </x:c>
      <x:c r="Q316" s="51" t="str">
        <x:v>2026-08-15</x:v>
      </x:c>
      <x:c r="R316" s="51" t="str">
        <x:v>C-开放路网计算；不是货车/危运合规路线</x:v>
      </x:c>
      <x:c r="S316" s="51" t="str">
        <x:v>https://routing.openstreetmap.de/routed-car/</x:v>
      </x:c>
    </x:row>
    <x:row r="317">
      <x:c r="A317" s="51" t="str">
        <x:v>A0313</x:v>
      </x:c>
      <x:c r="B317" s="51" t="str">
        <x:v>GD15</x:v>
      </x:c>
      <x:c r="C317" s="51" t="str">
        <x:v>source</x:v>
      </x:c>
      <x:c r="D317" s="51" t="str">
        <x:v>湛江</x:v>
      </x:c>
      <x:c r="E317" s="51" t="str">
        <x:v>C19</x:v>
      </x:c>
      <x:c r="F317" s="51" t="str">
        <x:v>collection</x:v>
      </x:c>
      <x:c r="G317" s="51" t="str">
        <x:v>潮州虚拟回收/检测中心</x:v>
      </x:c>
      <x:c r="H317" s="52" t="n">
        <x:v>835.335693104037</x:v>
      </x:c>
      <x:c r="I317" s="52" t="n">
        <x:v>799.9265</x:v>
      </x:c>
      <x:c r="J317" s="52" t="n">
        <x:v>532.64</x:v>
      </x:c>
      <x:c r="K317" s="52" t="n">
        <x:f>IFERROR(I317/H317,"")</x:f>
        <x:v>0.9576108223360367</x:v>
      </x:c>
      <x:c r="L317" s="52" t="n">
        <x:v>150</x:v>
      </x:c>
      <x:c r="M317" s="65" t="n">
        <x:f>IF(H317&lt;=L317,1,0)</x:f>
        <x:v>0</x:v>
      </x:c>
      <x:c r="N317" s="65" t="n">
        <x:f>IF(I317&lt;=L317,1,0)</x:f>
        <x:v>0</x:v>
      </x:c>
      <x:c r="O317" s="51" t="str">
        <x:f>IF(M317=N317,"不变",IF(N317=1,"由禁变允","由允变禁"))</x:f>
        <x:v>不变</x:v>
      </x:c>
      <x:c r="P317" s="51" t="str">
        <x:v>OSRM driving/car</x:v>
      </x:c>
      <x:c r="Q317" s="51" t="str">
        <x:v>2026-08-15</x:v>
      </x:c>
      <x:c r="R317" s="51" t="str">
        <x:v>C-开放路网计算；不是货车/危运合规路线</x:v>
      </x:c>
      <x:c r="S317" s="51" t="str">
        <x:v>https://routing.openstreetmap.de/routed-car/</x:v>
      </x:c>
    </x:row>
    <x:row r="318">
      <x:c r="A318" s="51" t="str">
        <x:v>A0314</x:v>
      </x:c>
      <x:c r="B318" s="51" t="str">
        <x:v>GD15</x:v>
      </x:c>
      <x:c r="C318" s="51" t="str">
        <x:v>source</x:v>
      </x:c>
      <x:c r="D318" s="51" t="str">
        <x:v>湛江</x:v>
      </x:c>
      <x:c r="E318" s="51" t="str">
        <x:v>C20</x:v>
      </x:c>
      <x:c r="F318" s="51" t="str">
        <x:v>collection</x:v>
      </x:c>
      <x:c r="G318" s="51" t="str">
        <x:v>揭阳虚拟回收/检测中心</x:v>
      </x:c>
      <x:c r="H318" s="52" t="n">
        <x:v>801.5756313567111</x:v>
      </x:c>
      <x:c r="I318" s="52" t="n">
        <x:v>767.0109</x:v>
      </x:c>
      <x:c r="J318" s="52" t="n">
        <x:v>514.6183333333333</x:v>
      </x:c>
      <x:c r="K318" s="52" t="n">
        <x:f>IFERROR(I318/H318,"")</x:f>
        <x:v>0.9568790142756605</x:v>
      </x:c>
      <x:c r="L318" s="52" t="n">
        <x:v>150</x:v>
      </x:c>
      <x:c r="M318" s="65" t="n">
        <x:f>IF(H318&lt;=L318,1,0)</x:f>
        <x:v>0</x:v>
      </x:c>
      <x:c r="N318" s="65" t="n">
        <x:f>IF(I318&lt;=L318,1,0)</x:f>
        <x:v>0</x:v>
      </x:c>
      <x:c r="O318" s="51" t="str">
        <x:f>IF(M318=N318,"不变",IF(N318=1,"由禁变允","由允变禁"))</x:f>
        <x:v>不变</x:v>
      </x:c>
      <x:c r="P318" s="51" t="str">
        <x:v>OSRM driving/car</x:v>
      </x:c>
      <x:c r="Q318" s="51" t="str">
        <x:v>2026-08-15</x:v>
      </x:c>
      <x:c r="R318" s="51" t="str">
        <x:v>C-开放路网计算；不是货车/危运合规路线</x:v>
      </x:c>
      <x:c r="S318" s="51" t="str">
        <x:v>https://routing.openstreetmap.de/routed-car/</x:v>
      </x:c>
    </x:row>
    <x:row r="319">
      <x:c r="A319" s="51" t="str">
        <x:v>A0315</x:v>
      </x:c>
      <x:c r="B319" s="51" t="str">
        <x:v>GD15</x:v>
      </x:c>
      <x:c r="C319" s="51" t="str">
        <x:v>source</x:v>
      </x:c>
      <x:c r="D319" s="51" t="str">
        <x:v>湛江</x:v>
      </x:c>
      <x:c r="E319" s="51" t="str">
        <x:v>C21</x:v>
      </x:c>
      <x:c r="F319" s="51" t="str">
        <x:v>collection</x:v>
      </x:c>
      <x:c r="G319" s="51" t="str">
        <x:v>云浮虚拟回收/检测中心</x:v>
      </x:c>
      <x:c r="H319" s="52" t="n">
        <x:v>277.0998258571257</x:v>
      </x:c>
      <x:c r="I319" s="52" t="n">
        <x:v>281.1812</x:v>
      </x:c>
      <x:c r="J319" s="52" t="n">
        <x:v>203.17166666666665</x:v>
      </x:c>
      <x:c r="K319" s="52" t="n">
        <x:f>IFERROR(I319/H319,"")</x:f>
        <x:v>1.0147288946510513</x:v>
      </x:c>
      <x:c r="L319" s="52" t="n">
        <x:v>150</x:v>
      </x:c>
      <x:c r="M319" s="65" t="n">
        <x:f>IF(H319&lt;=L319,1,0)</x:f>
        <x:v>0</x:v>
      </x:c>
      <x:c r="N319" s="65" t="n">
        <x:f>IF(I319&lt;=L319,1,0)</x:f>
        <x:v>0</x:v>
      </x:c>
      <x:c r="O319" s="51" t="str">
        <x:f>IF(M319=N319,"不变",IF(N319=1,"由禁变允","由允变禁"))</x:f>
        <x:v>不变</x:v>
      </x:c>
      <x:c r="P319" s="51" t="str">
        <x:v>OSRM driving/car</x:v>
      </x:c>
      <x:c r="Q319" s="51" t="str">
        <x:v>2026-08-15</x:v>
      </x:c>
      <x:c r="R319" s="51" t="str">
        <x:v>C-开放路网计算；不是货车/危运合规路线</x:v>
      </x:c>
      <x:c r="S319" s="51" t="str">
        <x:v>https://routing.openstreetmap.de/routed-car/</x:v>
      </x:c>
    </x:row>
    <x:row r="320">
      <x:c r="A320" s="51" t="str">
        <x:v>A0316</x:v>
      </x:c>
      <x:c r="B320" s="51" t="str">
        <x:v>GD16</x:v>
      </x:c>
      <x:c r="C320" s="51" t="str">
        <x:v>source</x:v>
      </x:c>
      <x:c r="D320" s="51" t="str">
        <x:v>茂名</x:v>
      </x:c>
      <x:c r="E320" s="51" t="str">
        <x:v>C01</x:v>
      </x:c>
      <x:c r="F320" s="51" t="str">
        <x:v>collection</x:v>
      </x:c>
      <x:c r="G320" s="51" t="str">
        <x:v>广州虚拟回收/检测中心</x:v>
      </x:c>
      <x:c r="H320" s="52" t="n">
        <x:v>348.28546413377285</x:v>
      </x:c>
      <x:c r="I320" s="52" t="n">
        <x:v>336.3432</x:v>
      </x:c>
      <x:c r="J320" s="52" t="n">
        <x:v>228.51666666666668</x:v>
      </x:c>
      <x:c r="K320" s="52" t="n">
        <x:f>IFERROR(I320/H320,"")</x:f>
        <x:v>0.9657112760549033</x:v>
      </x:c>
      <x:c r="L320" s="52" t="n">
        <x:v>150</x:v>
      </x:c>
      <x:c r="M320" s="65" t="n">
        <x:f>IF(H320&lt;=L320,1,0)</x:f>
        <x:v>0</x:v>
      </x:c>
      <x:c r="N320" s="65" t="n">
        <x:f>IF(I320&lt;=L320,1,0)</x:f>
        <x:v>0</x:v>
      </x:c>
      <x:c r="O320" s="51" t="str">
        <x:f>IF(M320=N320,"不变",IF(N320=1,"由禁变允","由允变禁"))</x:f>
        <x:v>不变</x:v>
      </x:c>
      <x:c r="P320" s="51" t="str">
        <x:v>OSRM driving/car</x:v>
      </x:c>
      <x:c r="Q320" s="51" t="str">
        <x:v>2026-08-15</x:v>
      </x:c>
      <x:c r="R320" s="51" t="str">
        <x:v>C-开放路网计算；不是货车/危运合规路线</x:v>
      </x:c>
      <x:c r="S320" s="51" t="str">
        <x:v>https://routing.openstreetmap.de/routed-car/</x:v>
      </x:c>
    </x:row>
    <x:row r="321">
      <x:c r="A321" s="51" t="str">
        <x:v>A0317</x:v>
      </x:c>
      <x:c r="B321" s="51" t="str">
        <x:v>GD16</x:v>
      </x:c>
      <x:c r="C321" s="51" t="str">
        <x:v>source</x:v>
      </x:c>
      <x:c r="D321" s="51" t="str">
        <x:v>茂名</x:v>
      </x:c>
      <x:c r="E321" s="51" t="str">
        <x:v>C02</x:v>
      </x:c>
      <x:c r="F321" s="51" t="str">
        <x:v>collection</x:v>
      </x:c>
      <x:c r="G321" s="51" t="str">
        <x:v>深圳虚拟回收/检测中心</x:v>
      </x:c>
      <x:c r="H321" s="52" t="n">
        <x:v>404.74229830480357</x:v>
      </x:c>
      <x:c r="I321" s="52" t="n">
        <x:v>385.05490000000003</x:v>
      </x:c>
      <x:c r="J321" s="52" t="n">
        <x:v>265.4816666666667</x:v>
      </x:c>
      <x:c r="K321" s="52" t="n">
        <x:f>IFERROR(I321/H321,"")</x:f>
        <x:v>0.9513581891804712</x:v>
      </x:c>
      <x:c r="L321" s="52" t="n">
        <x:v>150</x:v>
      </x:c>
      <x:c r="M321" s="65" t="n">
        <x:f>IF(H321&lt;=L321,1,0)</x:f>
        <x:v>0</x:v>
      </x:c>
      <x:c r="N321" s="65" t="n">
        <x:f>IF(I321&lt;=L321,1,0)</x:f>
        <x:v>0</x:v>
      </x:c>
      <x:c r="O321" s="51" t="str">
        <x:f>IF(M321=N321,"不变",IF(N321=1,"由禁变允","由允变禁"))</x:f>
        <x:v>不变</x:v>
      </x:c>
      <x:c r="P321" s="51" t="str">
        <x:v>OSRM driving/car</x:v>
      </x:c>
      <x:c r="Q321" s="51" t="str">
        <x:v>2026-08-15</x:v>
      </x:c>
      <x:c r="R321" s="51" t="str">
        <x:v>C-开放路网计算；不是货车/危运合规路线</x:v>
      </x:c>
      <x:c r="S321" s="51" t="str">
        <x:v>https://routing.openstreetmap.de/routed-car/</x:v>
      </x:c>
    </x:row>
    <x:row r="322">
      <x:c r="A322" s="51" t="str">
        <x:v>A0318</x:v>
      </x:c>
      <x:c r="B322" s="51" t="str">
        <x:v>GD16</x:v>
      </x:c>
      <x:c r="C322" s="51" t="str">
        <x:v>source</x:v>
      </x:c>
      <x:c r="D322" s="51" t="str">
        <x:v>茂名</x:v>
      </x:c>
      <x:c r="E322" s="51" t="str">
        <x:v>C03</x:v>
      </x:c>
      <x:c r="F322" s="51" t="str">
        <x:v>collection</x:v>
      </x:c>
      <x:c r="G322" s="51" t="str">
        <x:v>珠海虚拟回收/检测中心</x:v>
      </x:c>
      <x:c r="H322" s="52" t="n">
        <x:v>337.94547424500036</x:v>
      </x:c>
      <x:c r="I322" s="52" t="n">
        <x:v>326.65770000000003</x:v>
      </x:c>
      <x:c r="J322" s="52" t="n">
        <x:v>227.54833333333332</x:v>
      </x:c>
      <x:c r="K322" s="52" t="n">
        <x:f>IFERROR(I322/H322,"")</x:f>
        <x:v>0.9665988299733317</x:v>
      </x:c>
      <x:c r="L322" s="52" t="n">
        <x:v>150</x:v>
      </x:c>
      <x:c r="M322" s="65" t="n">
        <x:f>IF(H322&lt;=L322,1,0)</x:f>
        <x:v>0</x:v>
      </x:c>
      <x:c r="N322" s="65" t="n">
        <x:f>IF(I322&lt;=L322,1,0)</x:f>
        <x:v>0</x:v>
      </x:c>
      <x:c r="O322" s="51" t="str">
        <x:f>IF(M322=N322,"不变",IF(N322=1,"由禁变允","由允变禁"))</x:f>
        <x:v>不变</x:v>
      </x:c>
      <x:c r="P322" s="51" t="str">
        <x:v>OSRM driving/car</x:v>
      </x:c>
      <x:c r="Q322" s="51" t="str">
        <x:v>2026-08-15</x:v>
      </x:c>
      <x:c r="R322" s="51" t="str">
        <x:v>C-开放路网计算；不是货车/危运合规路线</x:v>
      </x:c>
      <x:c r="S322" s="51" t="str">
        <x:v>https://routing.openstreetmap.de/routed-car/</x:v>
      </x:c>
    </x:row>
    <x:row r="323">
      <x:c r="A323" s="51" t="str">
        <x:v>A0319</x:v>
      </x:c>
      <x:c r="B323" s="51" t="str">
        <x:v>GD16</x:v>
      </x:c>
      <x:c r="C323" s="51" t="str">
        <x:v>source</x:v>
      </x:c>
      <x:c r="D323" s="51" t="str">
        <x:v>茂名</x:v>
      </x:c>
      <x:c r="E323" s="51" t="str">
        <x:v>C04</x:v>
      </x:c>
      <x:c r="F323" s="51" t="str">
        <x:v>collection</x:v>
      </x:c>
      <x:c r="G323" s="51" t="str">
        <x:v>汕头虚拟回收/检测中心</x:v>
      </x:c>
      <x:c r="H323" s="52" t="n">
        <x:v>744.5218279389317</x:v>
      </x:c>
      <x:c r="I323" s="52" t="n">
        <x:v>710.4196</x:v>
      </x:c>
      <x:c r="J323" s="52" t="n">
        <x:v>487.3833333333333</x:v>
      </x:c>
      <x:c r="K323" s="52" t="n">
        <x:f>IFERROR(I323/H323,"")</x:f>
        <x:v>0.9541957983510876</x:v>
      </x:c>
      <x:c r="L323" s="52" t="n">
        <x:v>150</x:v>
      </x:c>
      <x:c r="M323" s="65" t="n">
        <x:f>IF(H323&lt;=L323,1,0)</x:f>
        <x:v>0</x:v>
      </x:c>
      <x:c r="N323" s="65" t="n">
        <x:f>IF(I323&lt;=L323,1,0)</x:f>
        <x:v>0</x:v>
      </x:c>
      <x:c r="O323" s="51" t="str">
        <x:f>IF(M323=N323,"不变",IF(N323=1,"由禁变允","由允变禁"))</x:f>
        <x:v>不变</x:v>
      </x:c>
      <x:c r="P323" s="51" t="str">
        <x:v>OSRM driving/car</x:v>
      </x:c>
      <x:c r="Q323" s="51" t="str">
        <x:v>2026-08-15</x:v>
      </x:c>
      <x:c r="R323" s="51" t="str">
        <x:v>C-开放路网计算；不是货车/危运合规路线</x:v>
      </x:c>
      <x:c r="S323" s="51" t="str">
        <x:v>https://routing.openstreetmap.de/routed-car/</x:v>
      </x:c>
    </x:row>
    <x:row r="324">
      <x:c r="A324" s="51" t="str">
        <x:v>A0320</x:v>
      </x:c>
      <x:c r="B324" s="51" t="str">
        <x:v>GD16</x:v>
      </x:c>
      <x:c r="C324" s="51" t="str">
        <x:v>source</x:v>
      </x:c>
      <x:c r="D324" s="51" t="str">
        <x:v>茂名</x:v>
      </x:c>
      <x:c r="E324" s="51" t="str">
        <x:v>C05</x:v>
      </x:c>
      <x:c r="F324" s="51" t="str">
        <x:v>collection</x:v>
      </x:c>
      <x:c r="G324" s="51" t="str">
        <x:v>佛山虚拟回收/检测中心</x:v>
      </x:c>
      <x:c r="H324" s="52" t="n">
        <x:v>325.92386177012366</x:v>
      </x:c>
      <x:c r="I324" s="52" t="n">
        <x:v>315.12579999999997</x:v>
      </x:c>
      <x:c r="J324" s="52" t="n">
        <x:v>213.63</x:v>
      </x:c>
      <x:c r="K324" s="52" t="n">
        <x:f>IFERROR(I324/H324,"")</x:f>
        <x:v>0.9668693733822421</x:v>
      </x:c>
      <x:c r="L324" s="52" t="n">
        <x:v>150</x:v>
      </x:c>
      <x:c r="M324" s="65" t="n">
        <x:f>IF(H324&lt;=L324,1,0)</x:f>
        <x:v>0</x:v>
      </x:c>
      <x:c r="N324" s="65" t="n">
        <x:f>IF(I324&lt;=L324,1,0)</x:f>
        <x:v>0</x:v>
      </x:c>
      <x:c r="O324" s="51" t="str">
        <x:f>IF(M324=N324,"不变",IF(N324=1,"由禁变允","由允变禁"))</x:f>
        <x:v>不变</x:v>
      </x:c>
      <x:c r="P324" s="51" t="str">
        <x:v>OSRM driving/car</x:v>
      </x:c>
      <x:c r="Q324" s="51" t="str">
        <x:v>2026-08-15</x:v>
      </x:c>
      <x:c r="R324" s="51" t="str">
        <x:v>C-开放路网计算；不是货车/危运合规路线</x:v>
      </x:c>
      <x:c r="S324" s="51" t="str">
        <x:v>https://routing.openstreetmap.de/routed-car/</x:v>
      </x:c>
    </x:row>
    <x:row r="325">
      <x:c r="A325" s="51" t="str">
        <x:v>A0321</x:v>
      </x:c>
      <x:c r="B325" s="51" t="str">
        <x:v>GD16</x:v>
      </x:c>
      <x:c r="C325" s="51" t="str">
        <x:v>source</x:v>
      </x:c>
      <x:c r="D325" s="51" t="str">
        <x:v>茂名</x:v>
      </x:c>
      <x:c r="E325" s="51" t="str">
        <x:v>C06</x:v>
      </x:c>
      <x:c r="F325" s="51" t="str">
        <x:v>collection</x:v>
      </x:c>
      <x:c r="G325" s="51" t="str">
        <x:v>韶关虚拟回收/检测中心</x:v>
      </x:c>
      <x:c r="H325" s="52" t="n">
        <x:v>551.5998500712193</x:v>
      </x:c>
      <x:c r="I325" s="52" t="n">
        <x:v>534.7389000000001</x:v>
      </x:c>
      <x:c r="J325" s="52" t="n">
        <x:v>385.06166666666667</x:v>
      </x:c>
      <x:c r="K325" s="52" t="n">
        <x:f>IFERROR(I325/H325,"")</x:f>
        <x:v>0.9694326420338181</x:v>
      </x:c>
      <x:c r="L325" s="52" t="n">
        <x:v>150</x:v>
      </x:c>
      <x:c r="M325" s="65" t="n">
        <x:f>IF(H325&lt;=L325,1,0)</x:f>
        <x:v>0</x:v>
      </x:c>
      <x:c r="N325" s="65" t="n">
        <x:f>IF(I325&lt;=L325,1,0)</x:f>
        <x:v>0</x:v>
      </x:c>
      <x:c r="O325" s="51" t="str">
        <x:f>IF(M325=N325,"不变",IF(N325=1,"由禁变允","由允变禁"))</x:f>
        <x:v>不变</x:v>
      </x:c>
      <x:c r="P325" s="51" t="str">
        <x:v>OSRM driving/car</x:v>
      </x:c>
      <x:c r="Q325" s="51" t="str">
        <x:v>2026-08-15</x:v>
      </x:c>
      <x:c r="R325" s="51" t="str">
        <x:v>C-开放路网计算；不是货车/危运合规路线</x:v>
      </x:c>
      <x:c r="S325" s="51" t="str">
        <x:v>https://routing.openstreetmap.de/routed-car/</x:v>
      </x:c>
    </x:row>
    <x:row r="326">
      <x:c r="A326" s="51" t="str">
        <x:v>A0322</x:v>
      </x:c>
      <x:c r="B326" s="51" t="str">
        <x:v>GD16</x:v>
      </x:c>
      <x:c r="C326" s="51" t="str">
        <x:v>source</x:v>
      </x:c>
      <x:c r="D326" s="51" t="str">
        <x:v>茂名</x:v>
      </x:c>
      <x:c r="E326" s="51" t="str">
        <x:v>C07</x:v>
      </x:c>
      <x:c r="F326" s="51" t="str">
        <x:v>collection</x:v>
      </x:c>
      <x:c r="G326" s="51" t="str">
        <x:v>河源虚拟回收/检测中心</x:v>
      </x:c>
      <x:c r="H326" s="52" t="n">
        <x:v>603.471574151374</x:v>
      </x:c>
      <x:c r="I326" s="52" t="n">
        <x:v>606.8161</x:v>
      </x:c>
      <x:c r="J326" s="52" t="n">
        <x:v>429.575</x:v>
      </x:c>
      <x:c r="K326" s="52" t="n">
        <x:f>IFERROR(I326/H326,"")</x:f>
        <x:v>1.0055421431462273</x:v>
      </x:c>
      <x:c r="L326" s="52" t="n">
        <x:v>150</x:v>
      </x:c>
      <x:c r="M326" s="65" t="n">
        <x:f>IF(H326&lt;=L326,1,0)</x:f>
        <x:v>0</x:v>
      </x:c>
      <x:c r="N326" s="65" t="n">
        <x:f>IF(I326&lt;=L326,1,0)</x:f>
        <x:v>0</x:v>
      </x:c>
      <x:c r="O326" s="51" t="str">
        <x:f>IF(M326=N326,"不变",IF(N326=1,"由禁变允","由允变禁"))</x:f>
        <x:v>不变</x:v>
      </x:c>
      <x:c r="P326" s="51" t="str">
        <x:v>OSRM driving/car</x:v>
      </x:c>
      <x:c r="Q326" s="51" t="str">
        <x:v>2026-08-15</x:v>
      </x:c>
      <x:c r="R326" s="51" t="str">
        <x:v>C-开放路网计算；不是货车/危运合规路线</x:v>
      </x:c>
      <x:c r="S326" s="51" t="str">
        <x:v>https://routing.openstreetmap.de/routed-car/</x:v>
      </x:c>
    </x:row>
    <x:row r="327">
      <x:c r="A327" s="51" t="str">
        <x:v>A0323</x:v>
      </x:c>
      <x:c r="B327" s="51" t="str">
        <x:v>GD16</x:v>
      </x:c>
      <x:c r="C327" s="51" t="str">
        <x:v>source</x:v>
      </x:c>
      <x:c r="D327" s="51" t="str">
        <x:v>茂名</x:v>
      </x:c>
      <x:c r="E327" s="51" t="str">
        <x:v>C08</x:v>
      </x:c>
      <x:c r="F327" s="51" t="str">
        <x:v>collection</x:v>
      </x:c>
      <x:c r="G327" s="51" t="str">
        <x:v>梅州虚拟回收/检测中心</x:v>
      </x:c>
      <x:c r="H327" s="52" t="n">
        <x:v>728.0835318499868</x:v>
      </x:c>
      <x:c r="I327" s="52" t="n">
        <x:v>704.5045</x:v>
      </x:c>
      <x:c r="J327" s="52" t="n">
        <x:v>483.4566666666667</x:v>
      </x:c>
      <x:c r="K327" s="52" t="n">
        <x:f>IFERROR(I327/H327,"")</x:f>
        <x:v>0.9676149358988043</x:v>
      </x:c>
      <x:c r="L327" s="52" t="n">
        <x:v>150</x:v>
      </x:c>
      <x:c r="M327" s="65" t="n">
        <x:f>IF(H327&lt;=L327,1,0)</x:f>
        <x:v>0</x:v>
      </x:c>
      <x:c r="N327" s="65" t="n">
        <x:f>IF(I327&lt;=L327,1,0)</x:f>
        <x:v>0</x:v>
      </x:c>
      <x:c r="O327" s="51" t="str">
        <x:f>IF(M327=N327,"不变",IF(N327=1,"由禁变允","由允变禁"))</x:f>
        <x:v>不变</x:v>
      </x:c>
      <x:c r="P327" s="51" t="str">
        <x:v>OSRM driving/car</x:v>
      </x:c>
      <x:c r="Q327" s="51" t="str">
        <x:v>2026-08-15</x:v>
      </x:c>
      <x:c r="R327" s="51" t="str">
        <x:v>C-开放路网计算；不是货车/危运合规路线</x:v>
      </x:c>
      <x:c r="S327" s="51" t="str">
        <x:v>https://routing.openstreetmap.de/routed-car/</x:v>
      </x:c>
    </x:row>
    <x:row r="328">
      <x:c r="A328" s="51" t="str">
        <x:v>A0324</x:v>
      </x:c>
      <x:c r="B328" s="51" t="str">
        <x:v>GD16</x:v>
      </x:c>
      <x:c r="C328" s="51" t="str">
        <x:v>source</x:v>
      </x:c>
      <x:c r="D328" s="51" t="str">
        <x:v>茂名</x:v>
      </x:c>
      <x:c r="E328" s="51" t="str">
        <x:v>C09</x:v>
      </x:c>
      <x:c r="F328" s="51" t="str">
        <x:v>collection</x:v>
      </x:c>
      <x:c r="G328" s="51" t="str">
        <x:v>惠州虚拟回收/检测中心</x:v>
      </x:c>
      <x:c r="H328" s="52" t="n">
        <x:v>472.0511550369907</x:v>
      </x:c>
      <x:c r="I328" s="52" t="n">
        <x:v>451.71070000000003</x:v>
      </x:c>
      <x:c r="J328" s="52" t="n">
        <x:v>309.9866666666667</x:v>
      </x:c>
      <x:c r="K328" s="52" t="n">
        <x:f>IFERROR(I328/H328,"")</x:f>
        <x:v>0.9569104856116776</x:v>
      </x:c>
      <x:c r="L328" s="52" t="n">
        <x:v>150</x:v>
      </x:c>
      <x:c r="M328" s="65" t="n">
        <x:f>IF(H328&lt;=L328,1,0)</x:f>
        <x:v>0</x:v>
      </x:c>
      <x:c r="N328" s="65" t="n">
        <x:f>IF(I328&lt;=L328,1,0)</x:f>
        <x:v>0</x:v>
      </x:c>
      <x:c r="O328" s="51" t="str">
        <x:f>IF(M328=N328,"不变",IF(N328=1,"由禁变允","由允变禁"))</x:f>
        <x:v>不变</x:v>
      </x:c>
      <x:c r="P328" s="51" t="str">
        <x:v>OSRM driving/car</x:v>
      </x:c>
      <x:c r="Q328" s="51" t="str">
        <x:v>2026-08-15</x:v>
      </x:c>
      <x:c r="R328" s="51" t="str">
        <x:v>C-开放路网计算；不是货车/危运合规路线</x:v>
      </x:c>
      <x:c r="S328" s="51" t="str">
        <x:v>https://routing.openstreetmap.de/routed-car/</x:v>
      </x:c>
    </x:row>
    <x:row r="329">
      <x:c r="A329" s="51" t="str">
        <x:v>A0325</x:v>
      </x:c>
      <x:c r="B329" s="51" t="str">
        <x:v>GD16</x:v>
      </x:c>
      <x:c r="C329" s="51" t="str">
        <x:v>source</x:v>
      </x:c>
      <x:c r="D329" s="51" t="str">
        <x:v>茂名</x:v>
      </x:c>
      <x:c r="E329" s="51" t="str">
        <x:v>C10</x:v>
      </x:c>
      <x:c r="F329" s="51" t="str">
        <x:v>collection</x:v>
      </x:c>
      <x:c r="G329" s="51" t="str">
        <x:v>汕尾虚拟回收/检测中心</x:v>
      </x:c>
      <x:c r="H329" s="52" t="n">
        <x:v>594.1606647071775</x:v>
      </x:c>
      <x:c r="I329" s="52" t="n">
        <x:v>574.3204000000001</x:v>
      </x:c>
      <x:c r="J329" s="52" t="n">
        <x:v>404.3283333333333</x:v>
      </x:c>
      <x:c r="K329" s="52" t="n">
        <x:f>IFERROR(I329/H329,"")</x:f>
        <x:v>0.9666079128328776</x:v>
      </x:c>
      <x:c r="L329" s="52" t="n">
        <x:v>150</x:v>
      </x:c>
      <x:c r="M329" s="65" t="n">
        <x:f>IF(H329&lt;=L329,1,0)</x:f>
        <x:v>0</x:v>
      </x:c>
      <x:c r="N329" s="65" t="n">
        <x:f>IF(I329&lt;=L329,1,0)</x:f>
        <x:v>0</x:v>
      </x:c>
      <x:c r="O329" s="51" t="str">
        <x:f>IF(M329=N329,"不变",IF(N329=1,"由禁变允","由允变禁"))</x:f>
        <x:v>不变</x:v>
      </x:c>
      <x:c r="P329" s="51" t="str">
        <x:v>OSRM driving/car</x:v>
      </x:c>
      <x:c r="Q329" s="51" t="str">
        <x:v>2026-08-15</x:v>
      </x:c>
      <x:c r="R329" s="51" t="str">
        <x:v>C-开放路网计算；不是货车/危运合规路线</x:v>
      </x:c>
      <x:c r="S329" s="51" t="str">
        <x:v>https://routing.openstreetmap.de/routed-car/</x:v>
      </x:c>
    </x:row>
    <x:row r="330">
      <x:c r="A330" s="51" t="str">
        <x:v>A0326</x:v>
      </x:c>
      <x:c r="B330" s="51" t="str">
        <x:v>GD16</x:v>
      </x:c>
      <x:c r="C330" s="51" t="str">
        <x:v>source</x:v>
      </x:c>
      <x:c r="D330" s="51" t="str">
        <x:v>茂名</x:v>
      </x:c>
      <x:c r="E330" s="51" t="str">
        <x:v>C11</x:v>
      </x:c>
      <x:c r="F330" s="51" t="str">
        <x:v>collection</x:v>
      </x:c>
      <x:c r="G330" s="51" t="str">
        <x:v>东莞虚拟回收/检测中心</x:v>
      </x:c>
      <x:c r="H330" s="52" t="n">
        <x:v>392.5078157037128</x:v>
      </x:c>
      <x:c r="I330" s="52" t="n">
        <x:v>383.7491</x:v>
      </x:c>
      <x:c r="J330" s="52" t="n">
        <x:v>259.1616666666667</x:v>
      </x:c>
      <x:c r="K330" s="52" t="n">
        <x:f>IFERROR(I330/H330,"")</x:f>
        <x:v>0.9776852451001271</x:v>
      </x:c>
      <x:c r="L330" s="52" t="n">
        <x:v>150</x:v>
      </x:c>
      <x:c r="M330" s="65" t="n">
        <x:f>IF(H330&lt;=L330,1,0)</x:f>
        <x:v>0</x:v>
      </x:c>
      <x:c r="N330" s="65" t="n">
        <x:f>IF(I330&lt;=L330,1,0)</x:f>
        <x:v>0</x:v>
      </x:c>
      <x:c r="O330" s="51" t="str">
        <x:f>IF(M330=N330,"不变",IF(N330=1,"由禁变允","由允变禁"))</x:f>
        <x:v>不变</x:v>
      </x:c>
      <x:c r="P330" s="51" t="str">
        <x:v>OSRM driving/car</x:v>
      </x:c>
      <x:c r="Q330" s="51" t="str">
        <x:v>2026-08-15</x:v>
      </x:c>
      <x:c r="R330" s="51" t="str">
        <x:v>C-开放路网计算；不是货车/危运合规路线</x:v>
      </x:c>
      <x:c r="S330" s="51" t="str">
        <x:v>https://routing.openstreetmap.de/routed-car/</x:v>
      </x:c>
    </x:row>
    <x:row r="331">
      <x:c r="A331" s="51" t="str">
        <x:v>A0327</x:v>
      </x:c>
      <x:c r="B331" s="51" t="str">
        <x:v>GD16</x:v>
      </x:c>
      <x:c r="C331" s="51" t="str">
        <x:v>source</x:v>
      </x:c>
      <x:c r="D331" s="51" t="str">
        <x:v>茂名</x:v>
      </x:c>
      <x:c r="E331" s="51" t="str">
        <x:v>C12</x:v>
      </x:c>
      <x:c r="F331" s="51" t="str">
        <x:v>collection</x:v>
      </x:c>
      <x:c r="G331" s="51" t="str">
        <x:v>中山虚拟回收/检测中心</x:v>
      </x:c>
      <x:c r="H331" s="52" t="n">
        <x:v>325.5130888831378</x:v>
      </x:c>
      <x:c r="I331" s="52" t="n">
        <x:v>305.12440000000004</x:v>
      </x:c>
      <x:c r="J331" s="52" t="n">
        <x:v>208.98166666666665</x:v>
      </x:c>
      <x:c r="K331" s="52" t="n">
        <x:f>IFERROR(I331/H331,"")</x:f>
        <x:v>0.9373644575918805</x:v>
      </x:c>
      <x:c r="L331" s="52" t="n">
        <x:v>150</x:v>
      </x:c>
      <x:c r="M331" s="65" t="n">
        <x:f>IF(H331&lt;=L331,1,0)</x:f>
        <x:v>0</x:v>
      </x:c>
      <x:c r="N331" s="65" t="n">
        <x:f>IF(I331&lt;=L331,1,0)</x:f>
        <x:v>0</x:v>
      </x:c>
      <x:c r="O331" s="51" t="str">
        <x:f>IF(M331=N331,"不变",IF(N331=1,"由禁变允","由允变禁"))</x:f>
        <x:v>不变</x:v>
      </x:c>
      <x:c r="P331" s="51" t="str">
        <x:v>OSRM driving/car</x:v>
      </x:c>
      <x:c r="Q331" s="51" t="str">
        <x:v>2026-08-15</x:v>
      </x:c>
      <x:c r="R331" s="51" t="str">
        <x:v>C-开放路网计算；不是货车/危运合规路线</x:v>
      </x:c>
      <x:c r="S331" s="51" t="str">
        <x:v>https://routing.openstreetmap.de/routed-car/</x:v>
      </x:c>
    </x:row>
    <x:row r="332">
      <x:c r="A332" s="51" t="str">
        <x:v>A0328</x:v>
      </x:c>
      <x:c r="B332" s="51" t="str">
        <x:v>GD16</x:v>
      </x:c>
      <x:c r="C332" s="51" t="str">
        <x:v>source</x:v>
      </x:c>
      <x:c r="D332" s="51" t="str">
        <x:v>茂名</x:v>
      </x:c>
      <x:c r="E332" s="51" t="str">
        <x:v>C13</x:v>
      </x:c>
      <x:c r="F332" s="51" t="str">
        <x:v>collection</x:v>
      </x:c>
      <x:c r="G332" s="51" t="str">
        <x:v>江门虚拟回收/检测中心</x:v>
      </x:c>
      <x:c r="H332" s="52" t="n">
        <x:v>293.09106494828376</x:v>
      </x:c>
      <x:c r="I332" s="52" t="n">
        <x:v>274.2217</x:v>
      </x:c>
      <x:c r="J332" s="52" t="n">
        <x:v>186.315</x:v>
      </x:c>
      <x:c r="K332" s="52" t="n">
        <x:f>IFERROR(I332/H332,"")</x:f>
        <x:v>0.9356194466330344</x:v>
      </x:c>
      <x:c r="L332" s="52" t="n">
        <x:v>150</x:v>
      </x:c>
      <x:c r="M332" s="65" t="n">
        <x:f>IF(H332&lt;=L332,1,0)</x:f>
        <x:v>0</x:v>
      </x:c>
      <x:c r="N332" s="65" t="n">
        <x:f>IF(I332&lt;=L332,1,0)</x:f>
        <x:v>0</x:v>
      </x:c>
      <x:c r="O332" s="51" t="str">
        <x:f>IF(M332=N332,"不变",IF(N332=1,"由禁变允","由允变禁"))</x:f>
        <x:v>不变</x:v>
      </x:c>
      <x:c r="P332" s="51" t="str">
        <x:v>OSRM driving/car</x:v>
      </x:c>
      <x:c r="Q332" s="51" t="str">
        <x:v>2026-08-15</x:v>
      </x:c>
      <x:c r="R332" s="51" t="str">
        <x:v>C-开放路网计算；不是货车/危运合规路线</x:v>
      </x:c>
      <x:c r="S332" s="51" t="str">
        <x:v>https://routing.openstreetmap.de/routed-car/</x:v>
      </x:c>
    </x:row>
    <x:row r="333">
      <x:c r="A333" s="51" t="str">
        <x:v>A0329</x:v>
      </x:c>
      <x:c r="B333" s="51" t="str">
        <x:v>GD16</x:v>
      </x:c>
      <x:c r="C333" s="51" t="str">
        <x:v>source</x:v>
      </x:c>
      <x:c r="D333" s="51" t="str">
        <x:v>茂名</x:v>
      </x:c>
      <x:c r="E333" s="51" t="str">
        <x:v>C14</x:v>
      </x:c>
      <x:c r="F333" s="51" t="str">
        <x:v>collection</x:v>
      </x:c>
      <x:c r="G333" s="51" t="str">
        <x:v>阳江虚拟回收/检测中心</x:v>
      </x:c>
      <x:c r="H333" s="52" t="n">
        <x:v>121.20664482511194</x:v>
      </x:c>
      <x:c r="I333" s="52" t="n">
        <x:v>128.5038</x:v>
      </x:c>
      <x:c r="J333" s="52" t="n">
        <x:v>90.11</x:v>
      </x:c>
      <x:c r="K333" s="52" t="n">
        <x:f>IFERROR(I333/H333,"")</x:f>
        <x:v>1.0602042502324611</x:v>
      </x:c>
      <x:c r="L333" s="52" t="n">
        <x:v>150</x:v>
      </x:c>
      <x:c r="M333" s="65" t="n">
        <x:f>IF(H333&lt;=L333,1,0)</x:f>
        <x:v>1</x:v>
      </x:c>
      <x:c r="N333" s="65" t="n">
        <x:f>IF(I333&lt;=L333,1,0)</x:f>
        <x:v>1</x:v>
      </x:c>
      <x:c r="O333" s="51" t="str">
        <x:f>IF(M333=N333,"不变",IF(N333=1,"由禁变允","由允变禁"))</x:f>
        <x:v>不变</x:v>
      </x:c>
      <x:c r="P333" s="51" t="str">
        <x:v>OSRM driving/car</x:v>
      </x:c>
      <x:c r="Q333" s="51" t="str">
        <x:v>2026-08-15</x:v>
      </x:c>
      <x:c r="R333" s="51" t="str">
        <x:v>C-开放路网计算；不是货车/危运合规路线</x:v>
      </x:c>
      <x:c r="S333" s="51" t="str">
        <x:v>https://routing.openstreetmap.de/routed-car/</x:v>
      </x:c>
    </x:row>
    <x:row r="334">
      <x:c r="A334" s="51" t="str">
        <x:v>A0330</x:v>
      </x:c>
      <x:c r="B334" s="51" t="str">
        <x:v>GD16</x:v>
      </x:c>
      <x:c r="C334" s="51" t="str">
        <x:v>source</x:v>
      </x:c>
      <x:c r="D334" s="51" t="str">
        <x:v>茂名</x:v>
      </x:c>
      <x:c r="E334" s="51" t="str">
        <x:v>C15</x:v>
      </x:c>
      <x:c r="F334" s="51" t="str">
        <x:v>collection</x:v>
      </x:c>
      <x:c r="G334" s="51" t="str">
        <x:v>湛江虚拟回收/检测中心</x:v>
      </x:c>
      <x:c r="H334" s="52" t="n">
        <x:v>87.62149652993399</x:v>
      </x:c>
      <x:c r="I334" s="52" t="n">
        <x:v>96.57730000000001</x:v>
      </x:c>
      <x:c r="J334" s="52" t="n">
        <x:v>69.58666666666666</x:v>
      </x:c>
      <x:c r="K334" s="52" t="n">
        <x:f>IFERROR(I334/H334,"")</x:f>
        <x:v>1.102210117662239</x:v>
      </x:c>
      <x:c r="L334" s="52" t="n">
        <x:v>150</x:v>
      </x:c>
      <x:c r="M334" s="65" t="n">
        <x:f>IF(H334&lt;=L334,1,0)</x:f>
        <x:v>1</x:v>
      </x:c>
      <x:c r="N334" s="65" t="n">
        <x:f>IF(I334&lt;=L334,1,0)</x:f>
        <x:v>1</x:v>
      </x:c>
      <x:c r="O334" s="51" t="str">
        <x:f>IF(M334=N334,"不变",IF(N334=1,"由禁变允","由允变禁"))</x:f>
        <x:v>不变</x:v>
      </x:c>
      <x:c r="P334" s="51" t="str">
        <x:v>OSRM driving/car</x:v>
      </x:c>
      <x:c r="Q334" s="51" t="str">
        <x:v>2026-08-15</x:v>
      </x:c>
      <x:c r="R334" s="51" t="str">
        <x:v>C-开放路网计算；不是货车/危运合规路线</x:v>
      </x:c>
      <x:c r="S334" s="51" t="str">
        <x:v>https://routing.openstreetmap.de/routed-car/</x:v>
      </x:c>
    </x:row>
    <x:row r="335">
      <x:c r="A335" s="51" t="str">
        <x:v>A0331</x:v>
      </x:c>
      <x:c r="B335" s="51" t="str">
        <x:v>GD16</x:v>
      </x:c>
      <x:c r="C335" s="51" t="str">
        <x:v>source</x:v>
      </x:c>
      <x:c r="D335" s="51" t="str">
        <x:v>茂名</x:v>
      </x:c>
      <x:c r="E335" s="51" t="str">
        <x:v>C16</x:v>
      </x:c>
      <x:c r="F335" s="51" t="str">
        <x:v>collection</x:v>
      </x:c>
      <x:c r="G335" s="51" t="str">
        <x:v>茂名虚拟回收/检测中心</x:v>
      </x:c>
      <x:c r="H335" s="52" t="n">
        <x:v>0.0001139223575592041</x:v>
      </x:c>
      <x:c r="I335" s="52" t="n">
        <x:v>0</x:v>
      </x:c>
      <x:c r="J335" s="52" t="n">
        <x:v>0</x:v>
      </x:c>
      <x:c r="K335" s="52" t="n">
        <x:f>IFERROR(I335/H335,"")</x:f>
        <x:v>0</x:v>
      </x:c>
      <x:c r="L335" s="52" t="n">
        <x:v>150</x:v>
      </x:c>
      <x:c r="M335" s="65" t="n">
        <x:f>IF(H335&lt;=L335,1,0)</x:f>
        <x:v>1</x:v>
      </x:c>
      <x:c r="N335" s="65" t="n">
        <x:f>IF(I335&lt;=L335,1,0)</x:f>
        <x:v>1</x:v>
      </x:c>
      <x:c r="O335" s="51" t="str">
        <x:f>IF(M335=N335,"不变",IF(N335=1,"由禁变允","由允变禁"))</x:f>
        <x:v>不变</x:v>
      </x:c>
      <x:c r="P335" s="51" t="str">
        <x:v>OSRM driving/car</x:v>
      </x:c>
      <x:c r="Q335" s="51" t="str">
        <x:v>2026-08-15</x:v>
      </x:c>
      <x:c r="R335" s="51" t="str">
        <x:v>C-开放路网计算；不是货车/危运合规路线</x:v>
      </x:c>
      <x:c r="S335" s="51" t="str">
        <x:v>https://routing.openstreetmap.de/routed-car/</x:v>
      </x:c>
    </x:row>
    <x:row r="336">
      <x:c r="A336" s="51" t="str">
        <x:v>A0332</x:v>
      </x:c>
      <x:c r="B336" s="51" t="str">
        <x:v>GD16</x:v>
      </x:c>
      <x:c r="C336" s="51" t="str">
        <x:v>source</x:v>
      </x:c>
      <x:c r="D336" s="51" t="str">
        <x:v>茂名</x:v>
      </x:c>
      <x:c r="E336" s="51" t="str">
        <x:v>C17</x:v>
      </x:c>
      <x:c r="F336" s="51" t="str">
        <x:v>collection</x:v>
      </x:c>
      <x:c r="G336" s="51" t="str">
        <x:v>肇庆虚拟回收/检测中心</x:v>
      </x:c>
      <x:c r="H336" s="52" t="n">
        <x:v>264.97558445306174</x:v>
      </x:c>
      <x:c r="I336" s="52" t="n">
        <x:v>256.1699</x:v>
      </x:c>
      <x:c r="J336" s="52" t="n">
        <x:v>186.63500000000002</x:v>
      </x:c>
      <x:c r="K336" s="52" t="n">
        <x:f>IFERROR(I336/H336,"")</x:f>
        <x:v>0.9667679402566933</x:v>
      </x:c>
      <x:c r="L336" s="52" t="n">
        <x:v>150</x:v>
      </x:c>
      <x:c r="M336" s="65" t="n">
        <x:f>IF(H336&lt;=L336,1,0)</x:f>
        <x:v>0</x:v>
      </x:c>
      <x:c r="N336" s="65" t="n">
        <x:f>IF(I336&lt;=L336,1,0)</x:f>
        <x:v>0</x:v>
      </x:c>
      <x:c r="O336" s="51" t="str">
        <x:f>IF(M336=N336,"不变",IF(N336=1,"由禁变允","由允变禁"))</x:f>
        <x:v>不变</x:v>
      </x:c>
      <x:c r="P336" s="51" t="str">
        <x:v>OSRM driving/car</x:v>
      </x:c>
      <x:c r="Q336" s="51" t="str">
        <x:v>2026-08-15</x:v>
      </x:c>
      <x:c r="R336" s="51" t="str">
        <x:v>C-开放路网计算；不是货车/危运合规路线</x:v>
      </x:c>
      <x:c r="S336" s="51" t="str">
        <x:v>https://routing.openstreetmap.de/routed-car/</x:v>
      </x:c>
    </x:row>
    <x:row r="337">
      <x:c r="A337" s="51" t="str">
        <x:v>A0333</x:v>
      </x:c>
      <x:c r="B337" s="51" t="str">
        <x:v>GD16</x:v>
      </x:c>
      <x:c r="C337" s="51" t="str">
        <x:v>source</x:v>
      </x:c>
      <x:c r="D337" s="51" t="str">
        <x:v>茂名</x:v>
      </x:c>
      <x:c r="E337" s="51" t="str">
        <x:v>C18</x:v>
      </x:c>
      <x:c r="F337" s="51" t="str">
        <x:v>collection</x:v>
      </x:c>
      <x:c r="G337" s="51" t="str">
        <x:v>清远虚拟回收/检测中心</x:v>
      </x:c>
      <x:c r="H337" s="52" t="n">
        <x:v>375.7877970270814</x:v>
      </x:c>
      <x:c r="I337" s="52" t="n">
        <x:v>363.3835</x:v>
      </x:c>
      <x:c r="J337" s="52" t="n">
        <x:v>262.87333333333333</x:v>
      </x:c>
      <x:c r="K337" s="52" t="n">
        <x:f>IFERROR(I337/H337,"")</x:f>
        <x:v>0.9669912191795109</x:v>
      </x:c>
      <x:c r="L337" s="52" t="n">
        <x:v>150</x:v>
      </x:c>
      <x:c r="M337" s="65" t="n">
        <x:f>IF(H337&lt;=L337,1,0)</x:f>
        <x:v>0</x:v>
      </x:c>
      <x:c r="N337" s="65" t="n">
        <x:f>IF(I337&lt;=L337,1,0)</x:f>
        <x:v>0</x:v>
      </x:c>
      <x:c r="O337" s="51" t="str">
        <x:f>IF(M337=N337,"不变",IF(N337=1,"由禁变允","由允变禁"))</x:f>
        <x:v>不变</x:v>
      </x:c>
      <x:c r="P337" s="51" t="str">
        <x:v>OSRM driving/car</x:v>
      </x:c>
      <x:c r="Q337" s="51" t="str">
        <x:v>2026-08-15</x:v>
      </x:c>
      <x:c r="R337" s="51" t="str">
        <x:v>C-开放路网计算；不是货车/危运合规路线</x:v>
      </x:c>
      <x:c r="S337" s="51" t="str">
        <x:v>https://routing.openstreetmap.de/routed-car/</x:v>
      </x:c>
    </x:row>
    <x:row r="338">
      <x:c r="A338" s="51" t="str">
        <x:v>A0334</x:v>
      </x:c>
      <x:c r="B338" s="51" t="str">
        <x:v>GD16</x:v>
      </x:c>
      <x:c r="C338" s="51" t="str">
        <x:v>source</x:v>
      </x:c>
      <x:c r="D338" s="51" t="str">
        <x:v>茂名</x:v>
      </x:c>
      <x:c r="E338" s="51" t="str">
        <x:v>C19</x:v>
      </x:c>
      <x:c r="F338" s="51" t="str">
        <x:v>collection</x:v>
      </x:c>
      <x:c r="G338" s="51" t="str">
        <x:v>潮州虚拟回收/检测中心</x:v>
      </x:c>
      <x:c r="H338" s="52" t="n">
        <x:v>750.2981020093883</x:v>
      </x:c>
      <x:c r="I338" s="52" t="n">
        <x:v>718.869</x:v>
      </x:c>
      <x:c r="J338" s="52" t="n">
        <x:v>482.65333333333336</x:v>
      </x:c>
      <x:c r="K338" s="52" t="n">
        <x:f>IFERROR(I338/H338,"")</x:f>
        <x:v>0.9581111801759629</x:v>
      </x:c>
      <x:c r="L338" s="52" t="n">
        <x:v>150</x:v>
      </x:c>
      <x:c r="M338" s="65" t="n">
        <x:f>IF(H338&lt;=L338,1,0)</x:f>
        <x:v>0</x:v>
      </x:c>
      <x:c r="N338" s="65" t="n">
        <x:f>IF(I338&lt;=L338,1,0)</x:f>
        <x:v>0</x:v>
      </x:c>
      <x:c r="O338" s="51" t="str">
        <x:f>IF(M338=N338,"不变",IF(N338=1,"由禁变允","由允变禁"))</x:f>
        <x:v>不变</x:v>
      </x:c>
      <x:c r="P338" s="51" t="str">
        <x:v>OSRM driving/car</x:v>
      </x:c>
      <x:c r="Q338" s="51" t="str">
        <x:v>2026-08-15</x:v>
      </x:c>
      <x:c r="R338" s="51" t="str">
        <x:v>C-开放路网计算；不是货车/危运合规路线</x:v>
      </x:c>
      <x:c r="S338" s="51" t="str">
        <x:v>https://routing.openstreetmap.de/routed-car/</x:v>
      </x:c>
    </x:row>
    <x:row r="339">
      <x:c r="A339" s="51" t="str">
        <x:v>A0335</x:v>
      </x:c>
      <x:c r="B339" s="51" t="str">
        <x:v>GD16</x:v>
      </x:c>
      <x:c r="C339" s="51" t="str">
        <x:v>source</x:v>
      </x:c>
      <x:c r="D339" s="51" t="str">
        <x:v>茂名</x:v>
      </x:c>
      <x:c r="E339" s="51" t="str">
        <x:v>C20</x:v>
      </x:c>
      <x:c r="F339" s="51" t="str">
        <x:v>collection</x:v>
      </x:c>
      <x:c r="G339" s="51" t="str">
        <x:v>揭阳虚拟回收/检测中心</x:v>
      </x:c>
      <x:c r="H339" s="52" t="n">
        <x:v>716.5986854516393</x:v>
      </x:c>
      <x:c r="I339" s="52" t="n">
        <x:v>685.9533</x:v>
      </x:c>
      <x:c r="J339" s="52" t="n">
        <x:v>464.6316666666667</x:v>
      </x:c>
      <x:c r="K339" s="52" t="n">
        <x:f>IFERROR(I339/H339,"")</x:f>
        <x:v>0.9572349404571892</x:v>
      </x:c>
      <x:c r="L339" s="52" t="n">
        <x:v>150</x:v>
      </x:c>
      <x:c r="M339" s="65" t="n">
        <x:f>IF(H339&lt;=L339,1,0)</x:f>
        <x:v>0</x:v>
      </x:c>
      <x:c r="N339" s="65" t="n">
        <x:f>IF(I339&lt;=L339,1,0)</x:f>
        <x:v>0</x:v>
      </x:c>
      <x:c r="O339" s="51" t="str">
        <x:f>IF(M339=N339,"不变",IF(N339=1,"由禁变允","由允变禁"))</x:f>
        <x:v>不变</x:v>
      </x:c>
      <x:c r="P339" s="51" t="str">
        <x:v>OSRM driving/car</x:v>
      </x:c>
      <x:c r="Q339" s="51" t="str">
        <x:v>2026-08-15</x:v>
      </x:c>
      <x:c r="R339" s="51" t="str">
        <x:v>C-开放路网计算；不是货车/危运合规路线</x:v>
      </x:c>
      <x:c r="S339" s="51" t="str">
        <x:v>https://routing.openstreetmap.de/routed-car/</x:v>
      </x:c>
    </x:row>
    <x:row r="340">
      <x:c r="A340" s="51" t="str">
        <x:v>A0336</x:v>
      </x:c>
      <x:c r="B340" s="51" t="str">
        <x:v>GD16</x:v>
      </x:c>
      <x:c r="C340" s="51" t="str">
        <x:v>source</x:v>
      </x:c>
      <x:c r="D340" s="51" t="str">
        <x:v>茂名</x:v>
      </x:c>
      <x:c r="E340" s="51" t="str">
        <x:v>C21</x:v>
      </x:c>
      <x:c r="F340" s="51" t="str">
        <x:v>collection</x:v>
      </x:c>
      <x:c r="G340" s="51" t="str">
        <x:v>云浮虚拟回收/检测中心</x:v>
      </x:c>
      <x:c r="H340" s="52" t="n">
        <x:v>192.78035000681058</x:v>
      </x:c>
      <x:c r="I340" s="52" t="n">
        <x:v>212.2201</x:v>
      </x:c>
      <x:c r="J340" s="52" t="n">
        <x:v>149.6</x:v>
      </x:c>
      <x:c r="K340" s="52" t="n">
        <x:f>IFERROR(I340/H340,"")</x:f>
        <x:v>1.10083885620346</x:v>
      </x:c>
      <x:c r="L340" s="52" t="n">
        <x:v>150</x:v>
      </x:c>
      <x:c r="M340" s="65" t="n">
        <x:f>IF(H340&lt;=L340,1,0)</x:f>
        <x:v>0</x:v>
      </x:c>
      <x:c r="N340" s="65" t="n">
        <x:f>IF(I340&lt;=L340,1,0)</x:f>
        <x:v>0</x:v>
      </x:c>
      <x:c r="O340" s="51" t="str">
        <x:f>IF(M340=N340,"不变",IF(N340=1,"由禁变允","由允变禁"))</x:f>
        <x:v>不变</x:v>
      </x:c>
      <x:c r="P340" s="51" t="str">
        <x:v>OSRM driving/car</x:v>
      </x:c>
      <x:c r="Q340" s="51" t="str">
        <x:v>2026-08-15</x:v>
      </x:c>
      <x:c r="R340" s="51" t="str">
        <x:v>C-开放路网计算；不是货车/危运合规路线</x:v>
      </x:c>
      <x:c r="S340" s="51" t="str">
        <x:v>https://routing.openstreetmap.de/routed-car/</x:v>
      </x:c>
    </x:row>
    <x:row r="341">
      <x:c r="A341" s="51" t="str">
        <x:v>A0337</x:v>
      </x:c>
      <x:c r="B341" s="51" t="str">
        <x:v>GD17</x:v>
      </x:c>
      <x:c r="C341" s="51" t="str">
        <x:v>source</x:v>
      </x:c>
      <x:c r="D341" s="51" t="str">
        <x:v>肇庆</x:v>
      </x:c>
      <x:c r="E341" s="51" t="str">
        <x:v>C01</x:v>
      </x:c>
      <x:c r="F341" s="51" t="str">
        <x:v>collection</x:v>
      </x:c>
      <x:c r="G341" s="51" t="str">
        <x:v>广州虚拟回收/检测中心</x:v>
      </x:c>
      <x:c r="H341" s="52" t="n">
        <x:v>98.58397364775895</x:v>
      </x:c>
      <x:c r="I341" s="52" t="n">
        <x:v>97.8653</x:v>
      </x:c>
      <x:c r="J341" s="52" t="n">
        <x:v>81.24499999999999</x:v>
      </x:c>
      <x:c r="K341" s="52" t="n">
        <x:f>IFERROR(I341/H341,"")</x:f>
        <x:v>0.992710035706952</x:v>
      </x:c>
      <x:c r="L341" s="52" t="n">
        <x:v>150</x:v>
      </x:c>
      <x:c r="M341" s="65" t="n">
        <x:f>IF(H341&lt;=L341,1,0)</x:f>
        <x:v>1</x:v>
      </x:c>
      <x:c r="N341" s="65" t="n">
        <x:f>IF(I341&lt;=L341,1,0)</x:f>
        <x:v>1</x:v>
      </x:c>
      <x:c r="O341" s="51" t="str">
        <x:f>IF(M341=N341,"不变",IF(N341=1,"由禁变允","由允变禁"))</x:f>
        <x:v>不变</x:v>
      </x:c>
      <x:c r="P341" s="51" t="str">
        <x:v>OSRM driving/car</x:v>
      </x:c>
      <x:c r="Q341" s="51" t="str">
        <x:v>2026-08-15</x:v>
      </x:c>
      <x:c r="R341" s="51" t="str">
        <x:v>C-开放路网计算；不是货车/危运合规路线</x:v>
      </x:c>
      <x:c r="S341" s="51" t="str">
        <x:v>https://routing.openstreetmap.de/routed-car/</x:v>
      </x:c>
    </x:row>
    <x:row r="342">
      <x:c r="A342" s="51" t="str">
        <x:v>A0338</x:v>
      </x:c>
      <x:c r="B342" s="51" t="str">
        <x:v>GD17</x:v>
      </x:c>
      <x:c r="C342" s="51" t="str">
        <x:v>source</x:v>
      </x:c>
      <x:c r="D342" s="51" t="str">
        <x:v>肇庆</x:v>
      </x:c>
      <x:c r="E342" s="51" t="str">
        <x:v>C02</x:v>
      </x:c>
      <x:c r="F342" s="51" t="str">
        <x:v>collection</x:v>
      </x:c>
      <x:c r="G342" s="51" t="str">
        <x:v>深圳虚拟回收/检测中心</x:v>
      </x:c>
      <x:c r="H342" s="52" t="n">
        <x:v>207.3785732131572</x:v>
      </x:c>
      <x:c r="I342" s="52" t="n">
        <x:v>227.31560000000002</x:v>
      </x:c>
      <x:c r="J342" s="52" t="n">
        <x:v>165.75833333333333</x:v>
      </x:c>
      <x:c r="K342" s="52" t="n">
        <x:f>IFERROR(I342/H342,"")</x:f>
        <x:v>1.096138315921145</x:v>
      </x:c>
      <x:c r="L342" s="52" t="n">
        <x:v>150</x:v>
      </x:c>
      <x:c r="M342" s="65" t="n">
        <x:f>IF(H342&lt;=L342,1,0)</x:f>
        <x:v>0</x:v>
      </x:c>
      <x:c r="N342" s="65" t="n">
        <x:f>IF(I342&lt;=L342,1,0)</x:f>
        <x:v>0</x:v>
      </x:c>
      <x:c r="O342" s="51" t="str">
        <x:f>IF(M342=N342,"不变",IF(N342=1,"由禁变允","由允变禁"))</x:f>
        <x:v>不变</x:v>
      </x:c>
      <x:c r="P342" s="51" t="str">
        <x:v>OSRM driving/car</x:v>
      </x:c>
      <x:c r="Q342" s="51" t="str">
        <x:v>2026-08-15</x:v>
      </x:c>
      <x:c r="R342" s="51" t="str">
        <x:v>C-开放路网计算；不是货车/危运合规路线</x:v>
      </x:c>
      <x:c r="S342" s="51" t="str">
        <x:v>https://routing.openstreetmap.de/routed-car/</x:v>
      </x:c>
    </x:row>
    <x:row r="343">
      <x:c r="A343" s="51" t="str">
        <x:v>A0339</x:v>
      </x:c>
      <x:c r="B343" s="51" t="str">
        <x:v>GD17</x:v>
      </x:c>
      <x:c r="C343" s="51" t="str">
        <x:v>source</x:v>
      </x:c>
      <x:c r="D343" s="51" t="str">
        <x:v>肇庆</x:v>
      </x:c>
      <x:c r="E343" s="51" t="str">
        <x:v>C03</x:v>
      </x:c>
      <x:c r="F343" s="51" t="str">
        <x:v>collection</x:v>
      </x:c>
      <x:c r="G343" s="51" t="str">
        <x:v>珠海虚拟回收/检测中心</x:v>
      </x:c>
      <x:c r="H343" s="52" t="n">
        <x:v>171.67709725824648</x:v>
      </x:c>
      <x:c r="I343" s="52" t="n">
        <x:v>183.4304</x:v>
      </x:c>
      <x:c r="J343" s="52" t="n">
        <x:v>136.80666666666667</x:v>
      </x:c>
      <x:c r="K343" s="52" t="n">
        <x:f>IFERROR(I343/H343,"")</x:f>
        <x:v>1.0684616814325183</x:v>
      </x:c>
      <x:c r="L343" s="52" t="n">
        <x:v>150</x:v>
      </x:c>
      <x:c r="M343" s="65" t="n">
        <x:f>IF(H343&lt;=L343,1,0)</x:f>
        <x:v>0</x:v>
      </x:c>
      <x:c r="N343" s="65" t="n">
        <x:f>IF(I343&lt;=L343,1,0)</x:f>
        <x:v>0</x:v>
      </x:c>
      <x:c r="O343" s="51" t="str">
        <x:f>IF(M343=N343,"不变",IF(N343=1,"由禁变允","由允变禁"))</x:f>
        <x:v>不变</x:v>
      </x:c>
      <x:c r="P343" s="51" t="str">
        <x:v>OSRM driving/car</x:v>
      </x:c>
      <x:c r="Q343" s="51" t="str">
        <x:v>2026-08-15</x:v>
      </x:c>
      <x:c r="R343" s="51" t="str">
        <x:v>C-开放路网计算；不是货车/危运合规路线</x:v>
      </x:c>
      <x:c r="S343" s="51" t="str">
        <x:v>https://routing.openstreetmap.de/routed-car/</x:v>
      </x:c>
    </x:row>
    <x:row r="344">
      <x:c r="A344" s="51" t="str">
        <x:v>A0340</x:v>
      </x:c>
      <x:c r="B344" s="51" t="str">
        <x:v>GD17</x:v>
      </x:c>
      <x:c r="C344" s="51" t="str">
        <x:v>source</x:v>
      </x:c>
      <x:c r="D344" s="51" t="str">
        <x:v>肇庆</x:v>
      </x:c>
      <x:c r="E344" s="51" t="str">
        <x:v>C04</x:v>
      </x:c>
      <x:c r="F344" s="51" t="str">
        <x:v>collection</x:v>
      </x:c>
      <x:c r="G344" s="51" t="str">
        <x:v>汕头虚拟回收/检测中心</x:v>
      </x:c>
      <x:c r="H344" s="52" t="n">
        <x:v>518.7961723587362</x:v>
      </x:c>
      <x:c r="I344" s="52" t="n">
        <x:v>510.1762</x:v>
      </x:c>
      <x:c r="J344" s="52" t="n">
        <x:v>357.9583333333333</x:v>
      </x:c>
      <x:c r="K344" s="52" t="n">
        <x:f>IFERROR(I344/H344,"")</x:f>
        <x:v>0.9833846646949129</x:v>
      </x:c>
      <x:c r="L344" s="52" t="n">
        <x:v>150</x:v>
      </x:c>
      <x:c r="M344" s="65" t="n">
        <x:f>IF(H344&lt;=L344,1,0)</x:f>
        <x:v>0</x:v>
      </x:c>
      <x:c r="N344" s="65" t="n">
        <x:f>IF(I344&lt;=L344,1,0)</x:f>
        <x:v>0</x:v>
      </x:c>
      <x:c r="O344" s="51" t="str">
        <x:f>IF(M344=N344,"不变",IF(N344=1,"由禁变允","由允变禁"))</x:f>
        <x:v>不变</x:v>
      </x:c>
      <x:c r="P344" s="51" t="str">
        <x:v>OSRM driving/car</x:v>
      </x:c>
      <x:c r="Q344" s="51" t="str">
        <x:v>2026-08-15</x:v>
      </x:c>
      <x:c r="R344" s="51" t="str">
        <x:v>C-开放路网计算；不是货车/危运合规路线</x:v>
      </x:c>
      <x:c r="S344" s="51" t="str">
        <x:v>https://routing.openstreetmap.de/routed-car/</x:v>
      </x:c>
    </x:row>
    <x:row r="345">
      <x:c r="A345" s="51" t="str">
        <x:v>A0341</x:v>
      </x:c>
      <x:c r="B345" s="51" t="str">
        <x:v>GD17</x:v>
      </x:c>
      <x:c r="C345" s="51" t="str">
        <x:v>source</x:v>
      </x:c>
      <x:c r="D345" s="51" t="str">
        <x:v>肇庆</x:v>
      </x:c>
      <x:c r="E345" s="51" t="str">
        <x:v>C05</x:v>
      </x:c>
      <x:c r="F345" s="51" t="str">
        <x:v>collection</x:v>
      </x:c>
      <x:c r="G345" s="51" t="str">
        <x:v>佛山虚拟回收/检测中心</x:v>
      </x:c>
      <x:c r="H345" s="52" t="n">
        <x:v>80.57782241114403</x:v>
      </x:c>
      <x:c r="I345" s="52" t="n">
        <x:v>84.96539999999999</x:v>
      </x:c>
      <x:c r="J345" s="52" t="n">
        <x:v>73.87833333333333</x:v>
      </x:c>
      <x:c r="K345" s="52" t="n">
        <x:f>IFERROR(I345/H345,"")</x:f>
        <x:v>1.054451429159609</x:v>
      </x:c>
      <x:c r="L345" s="52" t="n">
        <x:v>150</x:v>
      </x:c>
      <x:c r="M345" s="65" t="n">
        <x:f>IF(H345&lt;=L345,1,0)</x:f>
        <x:v>1</x:v>
      </x:c>
      <x:c r="N345" s="65" t="n">
        <x:f>IF(I345&lt;=L345,1,0)</x:f>
        <x:v>1</x:v>
      </x:c>
      <x:c r="O345" s="51" t="str">
        <x:f>IF(M345=N345,"不变",IF(N345=1,"由禁变允","由允变禁"))</x:f>
        <x:v>不变</x:v>
      </x:c>
      <x:c r="P345" s="51" t="str">
        <x:v>OSRM driving/car</x:v>
      </x:c>
      <x:c r="Q345" s="51" t="str">
        <x:v>2026-08-15</x:v>
      </x:c>
      <x:c r="R345" s="51" t="str">
        <x:v>C-开放路网计算；不是货车/危运合规路线</x:v>
      </x:c>
      <x:c r="S345" s="51" t="str">
        <x:v>https://routing.openstreetmap.de/routed-car/</x:v>
      </x:c>
    </x:row>
    <x:row r="346">
      <x:c r="A346" s="51" t="str">
        <x:v>A0342</x:v>
      </x:c>
      <x:c r="B346" s="51" t="str">
        <x:v>GD17</x:v>
      </x:c>
      <x:c r="C346" s="51" t="str">
        <x:v>source</x:v>
      </x:c>
      <x:c r="D346" s="51" t="str">
        <x:v>肇庆</x:v>
      </x:c>
      <x:c r="E346" s="51" t="str">
        <x:v>C06</x:v>
      </x:c>
      <x:c r="F346" s="51" t="str">
        <x:v>collection</x:v>
      </x:c>
      <x:c r="G346" s="51" t="str">
        <x:v>韶关虚拟回收/检测中心</x:v>
      </x:c>
      <x:c r="H346" s="52" t="n">
        <x:v>289.43307246740227</x:v>
      </x:c>
      <x:c r="I346" s="52" t="n">
        <x:v>284.1009</x:v>
      </x:c>
      <x:c r="J346" s="52" t="n">
        <x:v>215.84</x:v>
      </x:c>
      <x:c r="K346" s="52" t="n">
        <x:f>IFERROR(I346/H346,"")</x:f>
        <x:v>0.9815771832087268</x:v>
      </x:c>
      <x:c r="L346" s="52" t="n">
        <x:v>150</x:v>
      </x:c>
      <x:c r="M346" s="65" t="n">
        <x:f>IF(H346&lt;=L346,1,0)</x:f>
        <x:v>0</x:v>
      </x:c>
      <x:c r="N346" s="65" t="n">
        <x:f>IF(I346&lt;=L346,1,0)</x:f>
        <x:v>0</x:v>
      </x:c>
      <x:c r="O346" s="51" t="str">
        <x:f>IF(M346=N346,"不变",IF(N346=1,"由禁变允","由允变禁"))</x:f>
        <x:v>不变</x:v>
      </x:c>
      <x:c r="P346" s="51" t="str">
        <x:v>OSRM driving/car</x:v>
      </x:c>
      <x:c r="Q346" s="51" t="str">
        <x:v>2026-08-15</x:v>
      </x:c>
      <x:c r="R346" s="51" t="str">
        <x:v>C-开放路网计算；不是货车/危运合规路线</x:v>
      </x:c>
      <x:c r="S346" s="51" t="str">
        <x:v>https://routing.openstreetmap.de/routed-car/</x:v>
      </x:c>
    </x:row>
    <x:row r="347">
      <x:c r="A347" s="51" t="str">
        <x:v>A0343</x:v>
      </x:c>
      <x:c r="B347" s="51" t="str">
        <x:v>GD17</x:v>
      </x:c>
      <x:c r="C347" s="51" t="str">
        <x:v>source</x:v>
      </x:c>
      <x:c r="D347" s="51" t="str">
        <x:v>肇庆</x:v>
      </x:c>
      <x:c r="E347" s="51" t="str">
        <x:v>C07</x:v>
      </x:c>
      <x:c r="F347" s="51" t="str">
        <x:v>collection</x:v>
      </x:c>
      <x:c r="G347" s="51" t="str">
        <x:v>河源虚拟回收/检测中心</x:v>
      </x:c>
      <x:c r="H347" s="52" t="n">
        <x:v>347.2375461741987</x:v>
      </x:c>
      <x:c r="I347" s="52" t="n">
        <x:v>370.2673</x:v>
      </x:c>
      <x:c r="J347" s="52" t="n">
        <x:v>281.85499999999996</x:v>
      </x:c>
      <x:c r="K347" s="52" t="n">
        <x:f>IFERROR(I347/H347,"")</x:f>
        <x:v>1.0663227639969783</x:v>
      </x:c>
      <x:c r="L347" s="52" t="n">
        <x:v>150</x:v>
      </x:c>
      <x:c r="M347" s="65" t="n">
        <x:f>IF(H347&lt;=L347,1,0)</x:f>
        <x:v>0</x:v>
      </x:c>
      <x:c r="N347" s="65" t="n">
        <x:f>IF(I347&lt;=L347,1,0)</x:f>
        <x:v>0</x:v>
      </x:c>
      <x:c r="O347" s="51" t="str">
        <x:f>IF(M347=N347,"不变",IF(N347=1,"由禁变允","由允变禁"))</x:f>
        <x:v>不变</x:v>
      </x:c>
      <x:c r="P347" s="51" t="str">
        <x:v>OSRM driving/car</x:v>
      </x:c>
      <x:c r="Q347" s="51" t="str">
        <x:v>2026-08-15</x:v>
      </x:c>
      <x:c r="R347" s="51" t="str">
        <x:v>C-开放路网计算；不是货车/危运合规路线</x:v>
      </x:c>
      <x:c r="S347" s="51" t="str">
        <x:v>https://routing.openstreetmap.de/routed-car/</x:v>
      </x:c>
    </x:row>
    <x:row r="348">
      <x:c r="A348" s="51" t="str">
        <x:v>A0344</x:v>
      </x:c>
      <x:c r="B348" s="51" t="str">
        <x:v>GD17</x:v>
      </x:c>
      <x:c r="C348" s="51" t="str">
        <x:v>source</x:v>
      </x:c>
      <x:c r="D348" s="51" t="str">
        <x:v>肇庆</x:v>
      </x:c>
      <x:c r="E348" s="51" t="str">
        <x:v>C08</x:v>
      </x:c>
      <x:c r="F348" s="51" t="str">
        <x:v>collection</x:v>
      </x:c>
      <x:c r="G348" s="51" t="str">
        <x:v>梅州虚拟回收/检测中心</x:v>
      </x:c>
      <x:c r="H348" s="52" t="n">
        <x:v>476.58618977707783</x:v>
      </x:c>
      <x:c r="I348" s="52" t="n">
        <x:v>479.14340000000004</x:v>
      </x:c>
      <x:c r="J348" s="52" t="n">
        <x:v>337.71500000000003</x:v>
      </x:c>
      <x:c r="K348" s="52" t="n">
        <x:f>IFERROR(I348/H348,"")</x:f>
        <x:v>1.0053656825937787</x:v>
      </x:c>
      <x:c r="L348" s="52" t="n">
        <x:v>150</x:v>
      </x:c>
      <x:c r="M348" s="65" t="n">
        <x:f>IF(H348&lt;=L348,1,0)</x:f>
        <x:v>0</x:v>
      </x:c>
      <x:c r="N348" s="65" t="n">
        <x:f>IF(I348&lt;=L348,1,0)</x:f>
        <x:v>0</x:v>
      </x:c>
      <x:c r="O348" s="51" t="str">
        <x:f>IF(M348=N348,"不变",IF(N348=1,"由禁变允","由允变禁"))</x:f>
        <x:v>不变</x:v>
      </x:c>
      <x:c r="P348" s="51" t="str">
        <x:v>OSRM driving/car</x:v>
      </x:c>
      <x:c r="Q348" s="51" t="str">
        <x:v>2026-08-15</x:v>
      </x:c>
      <x:c r="R348" s="51" t="str">
        <x:v>C-开放路网计算；不是货车/危运合规路线</x:v>
      </x:c>
      <x:c r="S348" s="51" t="str">
        <x:v>https://routing.openstreetmap.de/routed-car/</x:v>
      </x:c>
    </x:row>
    <x:row r="349">
      <x:c r="A349" s="51" t="str">
        <x:v>A0345</x:v>
      </x:c>
      <x:c r="B349" s="51" t="str">
        <x:v>GD17</x:v>
      </x:c>
      <x:c r="C349" s="51" t="str">
        <x:v>source</x:v>
      </x:c>
      <x:c r="D349" s="51" t="str">
        <x:v>肇庆</x:v>
      </x:c>
      <x:c r="E349" s="51" t="str">
        <x:v>C09</x:v>
      </x:c>
      <x:c r="F349" s="51" t="str">
        <x:v>collection</x:v>
      </x:c>
      <x:c r="G349" s="51" t="str">
        <x:v>惠州虚拟回收/检测中心</x:v>
      </x:c>
      <x:c r="H349" s="52" t="n">
        <x:v>239.7967570099756</x:v>
      </x:c>
      <x:c r="I349" s="52" t="n">
        <x:v>236.063</x:v>
      </x:c>
      <x:c r="J349" s="52" t="n">
        <x:v>168.925</x:v>
      </x:c>
      <x:c r="K349" s="52" t="n">
        <x:f>IFERROR(I349/H349,"")</x:f>
        <x:v>0.984429493307033</x:v>
      </x:c>
      <x:c r="L349" s="52" t="n">
        <x:v>150</x:v>
      </x:c>
      <x:c r="M349" s="65" t="n">
        <x:f>IF(H349&lt;=L349,1,0)</x:f>
        <x:v>0</x:v>
      </x:c>
      <x:c r="N349" s="65" t="n">
        <x:f>IF(I349&lt;=L349,1,0)</x:f>
        <x:v>0</x:v>
      </x:c>
      <x:c r="O349" s="51" t="str">
        <x:f>IF(M349=N349,"不变",IF(N349=1,"由禁变允","由允变禁"))</x:f>
        <x:v>不变</x:v>
      </x:c>
      <x:c r="P349" s="51" t="str">
        <x:v>OSRM driving/car</x:v>
      </x:c>
      <x:c r="Q349" s="51" t="str">
        <x:v>2026-08-15</x:v>
      </x:c>
      <x:c r="R349" s="51" t="str">
        <x:v>C-开放路网计算；不是货车/危运合规路线</x:v>
      </x:c>
      <x:c r="S349" s="51" t="str">
        <x:v>https://routing.openstreetmap.de/routed-car/</x:v>
      </x:c>
    </x:row>
    <x:row r="350">
      <x:c r="A350" s="51" t="str">
        <x:v>A0346</x:v>
      </x:c>
      <x:c r="B350" s="51" t="str">
        <x:v>GD17</x:v>
      </x:c>
      <x:c r="C350" s="51" t="str">
        <x:v>source</x:v>
      </x:c>
      <x:c r="D350" s="51" t="str">
        <x:v>肇庆</x:v>
      </x:c>
      <x:c r="E350" s="51" t="str">
        <x:v>C10</x:v>
      </x:c>
      <x:c r="F350" s="51" t="str">
        <x:v>collection</x:v>
      </x:c>
      <x:c r="G350" s="51" t="str">
        <x:v>汕尾虚拟回收/检测中心</x:v>
      </x:c>
      <x:c r="H350" s="52" t="n">
        <x:v>374.5160449794057</x:v>
      </x:c>
      <x:c r="I350" s="52" t="n">
        <x:v>371.8442</x:v>
      </x:c>
      <x:c r="J350" s="52" t="n">
        <x:v>278.31666666666666</x:v>
      </x:c>
      <x:c r="K350" s="52" t="n">
        <x:f>IFERROR(I350/H350,"")</x:f>
        <x:v>0.9928658731308758</x:v>
      </x:c>
      <x:c r="L350" s="52" t="n">
        <x:v>150</x:v>
      </x:c>
      <x:c r="M350" s="65" t="n">
        <x:f>IF(H350&lt;=L350,1,0)</x:f>
        <x:v>0</x:v>
      </x:c>
      <x:c r="N350" s="65" t="n">
        <x:f>IF(I350&lt;=L350,1,0)</x:f>
        <x:v>0</x:v>
      </x:c>
      <x:c r="O350" s="51" t="str">
        <x:f>IF(M350=N350,"不变",IF(N350=1,"由禁变允","由允变禁"))</x:f>
        <x:v>不变</x:v>
      </x:c>
      <x:c r="P350" s="51" t="str">
        <x:v>OSRM driving/car</x:v>
      </x:c>
      <x:c r="Q350" s="51" t="str">
        <x:v>2026-08-15</x:v>
      </x:c>
      <x:c r="R350" s="51" t="str">
        <x:v>C-开放路网计算；不是货车/危运合规路线</x:v>
      </x:c>
      <x:c r="S350" s="51" t="str">
        <x:v>https://routing.openstreetmap.de/routed-car/</x:v>
      </x:c>
    </x:row>
    <x:row r="351">
      <x:c r="A351" s="51" t="str">
        <x:v>A0347</x:v>
      </x:c>
      <x:c r="B351" s="51" t="str">
        <x:v>GD17</x:v>
      </x:c>
      <x:c r="C351" s="51" t="str">
        <x:v>source</x:v>
      </x:c>
      <x:c r="D351" s="51" t="str">
        <x:v>肇庆</x:v>
      </x:c>
      <x:c r="E351" s="51" t="str">
        <x:v>C11</x:v>
      </x:c>
      <x:c r="F351" s="51" t="str">
        <x:v>collection</x:v>
      </x:c>
      <x:c r="G351" s="51" t="str">
        <x:v>东莞虚拟回收/检测中心</x:v>
      </x:c>
      <x:c r="H351" s="52" t="n">
        <x:v>157.83268942296343</x:v>
      </x:c>
      <x:c r="I351" s="52" t="n">
        <x:v>156.82410000000002</x:v>
      </x:c>
      <x:c r="J351" s="52" t="n">
        <x:v>122.795</x:v>
      </x:c>
      <x:c r="K351" s="52" t="n">
        <x:f>IFERROR(I351/H351,"")</x:f>
        <x:v>0.9936097558328961</x:v>
      </x:c>
      <x:c r="L351" s="52" t="n">
        <x:v>150</x:v>
      </x:c>
      <x:c r="M351" s="65" t="n">
        <x:f>IF(H351&lt;=L351,1,0)</x:f>
        <x:v>0</x:v>
      </x:c>
      <x:c r="N351" s="65" t="n">
        <x:f>IF(I351&lt;=L351,1,0)</x:f>
        <x:v>0</x:v>
      </x:c>
      <x:c r="O351" s="51" t="str">
        <x:f>IF(M351=N351,"不变",IF(N351=1,"由禁变允","由允变禁"))</x:f>
        <x:v>不变</x:v>
      </x:c>
      <x:c r="P351" s="51" t="str">
        <x:v>OSRM driving/car</x:v>
      </x:c>
      <x:c r="Q351" s="51" t="str">
        <x:v>2026-08-15</x:v>
      </x:c>
      <x:c r="R351" s="51" t="str">
        <x:v>C-开放路网计算；不是货车/危运合规路线</x:v>
      </x:c>
      <x:c r="S351" s="51" t="str">
        <x:v>https://routing.openstreetmap.de/routed-car/</x:v>
      </x:c>
    </x:row>
    <x:row r="352">
      <x:c r="A352" s="51" t="str">
        <x:v>A0348</x:v>
      </x:c>
      <x:c r="B352" s="51" t="str">
        <x:v>GD17</x:v>
      </x:c>
      <x:c r="C352" s="51" t="str">
        <x:v>source</x:v>
      </x:c>
      <x:c r="D352" s="51" t="str">
        <x:v>肇庆</x:v>
      </x:c>
      <x:c r="E352" s="51" t="str">
        <x:v>C12</x:v>
      </x:c>
      <x:c r="F352" s="51" t="str">
        <x:v>collection</x:v>
      </x:c>
      <x:c r="G352" s="51" t="str">
        <x:v>中山虚拟回收/检测中心</x:v>
      </x:c>
      <x:c r="H352" s="52" t="n">
        <x:v>134.2064883138392</x:v>
      </x:c>
      <x:c r="I352" s="52" t="n">
        <x:v>141.5263</x:v>
      </x:c>
      <x:c r="J352" s="52" t="n">
        <x:v>112.58166666666666</x:v>
      </x:c>
      <x:c r="K352" s="52" t="n">
        <x:f>IFERROR(I352/H352,"")</x:f>
        <x:v>1.0545414143393987</x:v>
      </x:c>
      <x:c r="L352" s="52" t="n">
        <x:v>150</x:v>
      </x:c>
      <x:c r="M352" s="65" t="n">
        <x:f>IF(H352&lt;=L352,1,0)</x:f>
        <x:v>1</x:v>
      </x:c>
      <x:c r="N352" s="65" t="n">
        <x:f>IF(I352&lt;=L352,1,0)</x:f>
        <x:v>1</x:v>
      </x:c>
      <x:c r="O352" s="51" t="str">
        <x:f>IF(M352=N352,"不变",IF(N352=1,"由禁变允","由允变禁"))</x:f>
        <x:v>不变</x:v>
      </x:c>
      <x:c r="P352" s="51" t="str">
        <x:v>OSRM driving/car</x:v>
      </x:c>
      <x:c r="Q352" s="51" t="str">
        <x:v>2026-08-15</x:v>
      </x:c>
      <x:c r="R352" s="51" t="str">
        <x:v>C-开放路网计算；不是货车/危运合规路线</x:v>
      </x:c>
      <x:c r="S352" s="51" t="str">
        <x:v>https://routing.openstreetmap.de/routed-car/</x:v>
      </x:c>
    </x:row>
    <x:row r="353">
      <x:c r="A353" s="51" t="str">
        <x:v>A0349</x:v>
      </x:c>
      <x:c r="B353" s="51" t="str">
        <x:v>GD17</x:v>
      </x:c>
      <x:c r="C353" s="51" t="str">
        <x:v>source</x:v>
      </x:c>
      <x:c r="D353" s="51" t="str">
        <x:v>肇庆</x:v>
      </x:c>
      <x:c r="E353" s="51" t="str">
        <x:v>C13</x:v>
      </x:c>
      <x:c r="F353" s="51" t="str">
        <x:v>collection</x:v>
      </x:c>
      <x:c r="G353" s="51" t="str">
        <x:v>江门虚拟回收/检测中心</x:v>
      </x:c>
      <x:c r="H353" s="52" t="n">
        <x:v>98.20082167156956</x:v>
      </x:c>
      <x:c r="I353" s="52" t="n">
        <x:v>101.9135</x:v>
      </x:c>
      <x:c r="J353" s="52" t="n">
        <x:v>83.305</x:v>
      </x:c>
      <x:c r="K353" s="52" t="n">
        <x:f>IFERROR(I353/H353,"")</x:f>
        <x:v>1.037806998609924</x:v>
      </x:c>
      <x:c r="L353" s="52" t="n">
        <x:v>150</x:v>
      </x:c>
      <x:c r="M353" s="65" t="n">
        <x:f>IF(H353&lt;=L353,1,0)</x:f>
        <x:v>1</x:v>
      </x:c>
      <x:c r="N353" s="65" t="n">
        <x:f>IF(I353&lt;=L353,1,0)</x:f>
        <x:v>1</x:v>
      </x:c>
      <x:c r="O353" s="51" t="str">
        <x:f>IF(M353=N353,"不变",IF(N353=1,"由禁变允","由允变禁"))</x:f>
        <x:v>不变</x:v>
      </x:c>
      <x:c r="P353" s="51" t="str">
        <x:v>OSRM driving/car</x:v>
      </x:c>
      <x:c r="Q353" s="51" t="str">
        <x:v>2026-08-15</x:v>
      </x:c>
      <x:c r="R353" s="51" t="str">
        <x:v>C-开放路网计算；不是货车/危运合规路线</x:v>
      </x:c>
      <x:c r="S353" s="51" t="str">
        <x:v>https://routing.openstreetmap.de/routed-car/</x:v>
      </x:c>
    </x:row>
    <x:row r="354">
      <x:c r="A354" s="51" t="str">
        <x:v>A0350</x:v>
      </x:c>
      <x:c r="B354" s="51" t="str">
        <x:v>GD17</x:v>
      </x:c>
      <x:c r="C354" s="51" t="str">
        <x:v>source</x:v>
      </x:c>
      <x:c r="D354" s="51" t="str">
        <x:v>肇庆</x:v>
      </x:c>
      <x:c r="E354" s="51" t="str">
        <x:v>C14</x:v>
      </x:c>
      <x:c r="F354" s="51" t="str">
        <x:v>collection</x:v>
      </x:c>
      <x:c r="G354" s="51" t="str">
        <x:v>阳江虚拟回收/检测中心</x:v>
      </x:c>
      <x:c r="H354" s="52" t="n">
        <x:v>152.24398513792852</x:v>
      </x:c>
      <x:c r="I354" s="52" t="n">
        <x:v>163.82770000000002</x:v>
      </x:c>
      <x:c r="J354" s="52" t="n">
        <x:v>126.56166666666667</x:v>
      </x:c>
      <x:c r="K354" s="52" t="n">
        <x:f>IFERROR(I354/H354,"")</x:f>
        <x:v>1.076086518962158</x:v>
      </x:c>
      <x:c r="L354" s="52" t="n">
        <x:v>150</x:v>
      </x:c>
      <x:c r="M354" s="65" t="n">
        <x:f>IF(H354&lt;=L354,1,0)</x:f>
        <x:v>0</x:v>
      </x:c>
      <x:c r="N354" s="65" t="n">
        <x:f>IF(I354&lt;=L354,1,0)</x:f>
        <x:v>0</x:v>
      </x:c>
      <x:c r="O354" s="51" t="str">
        <x:f>IF(M354=N354,"不变",IF(N354=1,"由禁变允","由允变禁"))</x:f>
        <x:v>不变</x:v>
      </x:c>
      <x:c r="P354" s="51" t="str">
        <x:v>OSRM driving/car</x:v>
      </x:c>
      <x:c r="Q354" s="51" t="str">
        <x:v>2026-08-15</x:v>
      </x:c>
      <x:c r="R354" s="51" t="str">
        <x:v>C-开放路网计算；不是货车/危运合规路线</x:v>
      </x:c>
      <x:c r="S354" s="51" t="str">
        <x:v>https://routing.openstreetmap.de/routed-car/</x:v>
      </x:c>
    </x:row>
    <x:row r="355">
      <x:c r="A355" s="51" t="str">
        <x:v>A0351</x:v>
      </x:c>
      <x:c r="B355" s="51" t="str">
        <x:v>GD17</x:v>
      </x:c>
      <x:c r="C355" s="51" t="str">
        <x:v>source</x:v>
      </x:c>
      <x:c r="D355" s="51" t="str">
        <x:v>肇庆</x:v>
      </x:c>
      <x:c r="E355" s="51" t="str">
        <x:v>C15</x:v>
      </x:c>
      <x:c r="F355" s="51" t="str">
        <x:v>collection</x:v>
      </x:c>
      <x:c r="G355" s="51" t="str">
        <x:v>湛江虚拟回收/检测中心</x:v>
      </x:c>
      <x:c r="H355" s="52" t="n">
        <x:v>351.9646269546589</x:v>
      </x:c>
      <x:c r="I355" s="52" t="n">
        <x:v>347.37059999999997</x:v>
      </x:c>
      <x:c r="J355" s="52" t="n">
        <x:v>250.55333333333334</x:v>
      </x:c>
      <x:c r="K355" s="52" t="n">
        <x:f>IFERROR(I355/H355,"")</x:f>
        <x:v>0.9869474753914667</x:v>
      </x:c>
      <x:c r="L355" s="52" t="n">
        <x:v>150</x:v>
      </x:c>
      <x:c r="M355" s="65" t="n">
        <x:f>IF(H355&lt;=L355,1,0)</x:f>
        <x:v>0</x:v>
      </x:c>
      <x:c r="N355" s="65" t="n">
        <x:f>IF(I355&lt;=L355,1,0)</x:f>
        <x:v>0</x:v>
      </x:c>
      <x:c r="O355" s="51" t="str">
        <x:f>IF(M355=N355,"不变",IF(N355=1,"由禁变允","由允变禁"))</x:f>
        <x:v>不变</x:v>
      </x:c>
      <x:c r="P355" s="51" t="str">
        <x:v>OSRM driving/car</x:v>
      </x:c>
      <x:c r="Q355" s="51" t="str">
        <x:v>2026-08-15</x:v>
      </x:c>
      <x:c r="R355" s="51" t="str">
        <x:v>C-开放路网计算；不是货车/危运合规路线</x:v>
      </x:c>
      <x:c r="S355" s="51" t="str">
        <x:v>https://routing.openstreetmap.de/routed-car/</x:v>
      </x:c>
    </x:row>
    <x:row r="356">
      <x:c r="A356" s="51" t="str">
        <x:v>A0352</x:v>
      </x:c>
      <x:c r="B356" s="51" t="str">
        <x:v>GD17</x:v>
      </x:c>
      <x:c r="C356" s="51" t="str">
        <x:v>source</x:v>
      </x:c>
      <x:c r="D356" s="51" t="str">
        <x:v>肇庆</x:v>
      </x:c>
      <x:c r="E356" s="51" t="str">
        <x:v>C16</x:v>
      </x:c>
      <x:c r="F356" s="51" t="str">
        <x:v>collection</x:v>
      </x:c>
      <x:c r="G356" s="51" t="str">
        <x:v>茂名虚拟回收/检测中心</x:v>
      </x:c>
      <x:c r="H356" s="52" t="n">
        <x:v>264.97558445306174</x:v>
      </x:c>
      <x:c r="I356" s="52" t="n">
        <x:v>254.60739999999998</x:v>
      </x:c>
      <x:c r="J356" s="52" t="n">
        <x:v>194.10833333333332</x:v>
      </x:c>
      <x:c r="K356" s="52" t="n">
        <x:f>IFERROR(I356/H356,"")</x:f>
        <x:v>0.9608711705477967</x:v>
      </x:c>
      <x:c r="L356" s="52" t="n">
        <x:v>150</x:v>
      </x:c>
      <x:c r="M356" s="65" t="n">
        <x:f>IF(H356&lt;=L356,1,0)</x:f>
        <x:v>0</x:v>
      </x:c>
      <x:c r="N356" s="65" t="n">
        <x:f>IF(I356&lt;=L356,1,0)</x:f>
        <x:v>0</x:v>
      </x:c>
      <x:c r="O356" s="51" t="str">
        <x:f>IF(M356=N356,"不变",IF(N356=1,"由禁变允","由允变禁"))</x:f>
        <x:v>不变</x:v>
      </x:c>
      <x:c r="P356" s="51" t="str">
        <x:v>OSRM driving/car</x:v>
      </x:c>
      <x:c r="Q356" s="51" t="str">
        <x:v>2026-08-15</x:v>
      </x:c>
      <x:c r="R356" s="51" t="str">
        <x:v>C-开放路网计算；不是货车/危运合规路线</x:v>
      </x:c>
      <x:c r="S356" s="51" t="str">
        <x:v>https://routing.openstreetmap.de/routed-car/</x:v>
      </x:c>
    </x:row>
    <x:row r="357">
      <x:c r="A357" s="51" t="str">
        <x:v>A0353</x:v>
      </x:c>
      <x:c r="B357" s="51" t="str">
        <x:v>GD17</x:v>
      </x:c>
      <x:c r="C357" s="51" t="str">
        <x:v>source</x:v>
      </x:c>
      <x:c r="D357" s="51" t="str">
        <x:v>肇庆</x:v>
      </x:c>
      <x:c r="E357" s="51" t="str">
        <x:v>C17</x:v>
      </x:c>
      <x:c r="F357" s="51" t="str">
        <x:v>collection</x:v>
      </x:c>
      <x:c r="G357" s="51" t="str">
        <x:v>肇庆虚拟回收/检测中心</x:v>
      </x:c>
      <x:c r="H357" s="52" t="n">
        <x:v>0</x:v>
      </x:c>
      <x:c r="I357" s="52" t="n">
        <x:v>0</x:v>
      </x:c>
      <x:c r="J357" s="52" t="n">
        <x:v>0</x:v>
      </x:c>
      <x:c r="K357" s="52" t="str">
        <x:f>IFERROR(I357/H357,"")</x:f>
      </x:c>
      <x:c r="L357" s="52" t="n">
        <x:v>150</x:v>
      </x:c>
      <x:c r="M357" s="65" t="n">
        <x:f>IF(H357&lt;=L357,1,0)</x:f>
        <x:v>1</x:v>
      </x:c>
      <x:c r="N357" s="65" t="n">
        <x:f>IF(I357&lt;=L357,1,0)</x:f>
        <x:v>1</x:v>
      </x:c>
      <x:c r="O357" s="51" t="str">
        <x:f>IF(M357=N357,"不变",IF(N357=1,"由禁变允","由允变禁"))</x:f>
        <x:v>不变</x:v>
      </x:c>
      <x:c r="P357" s="51" t="str">
        <x:v>OSRM driving/car</x:v>
      </x:c>
      <x:c r="Q357" s="51" t="str">
        <x:v>2026-08-15</x:v>
      </x:c>
      <x:c r="R357" s="51" t="str">
        <x:v>C-开放路网计算；不是货车/危运合规路线</x:v>
      </x:c>
      <x:c r="S357" s="51" t="str">
        <x:v>https://routing.openstreetmap.de/routed-car/</x:v>
      </x:c>
    </x:row>
    <x:row r="358">
      <x:c r="A358" s="51" t="str">
        <x:v>A0354</x:v>
      </x:c>
      <x:c r="B358" s="51" t="str">
        <x:v>GD17</x:v>
      </x:c>
      <x:c r="C358" s="51" t="str">
        <x:v>source</x:v>
      </x:c>
      <x:c r="D358" s="51" t="str">
        <x:v>肇庆</x:v>
      </x:c>
      <x:c r="E358" s="51" t="str">
        <x:v>C18</x:v>
      </x:c>
      <x:c r="F358" s="51" t="str">
        <x:v>collection</x:v>
      </x:c>
      <x:c r="G358" s="51" t="str">
        <x:v>清远虚拟回收/检测中心</x:v>
      </x:c>
      <x:c r="H358" s="52" t="n">
        <x:v>111.19371737991149</x:v>
      </x:c>
      <x:c r="I358" s="52" t="n">
        <x:v>111.92</x:v>
      </x:c>
      <x:c r="J358" s="52" t="n">
        <x:v>91.99666666666667</x:v>
      </x:c>
      <x:c r="K358" s="52" t="n">
        <x:f>IFERROR(I358/H358,"")</x:f>
        <x:v>1.006531687555755</x:v>
      </x:c>
      <x:c r="L358" s="52" t="n">
        <x:v>150</x:v>
      </x:c>
      <x:c r="M358" s="65" t="n">
        <x:f>IF(H358&lt;=L358,1,0)</x:f>
        <x:v>1</x:v>
      </x:c>
      <x:c r="N358" s="65" t="n">
        <x:f>IF(I358&lt;=L358,1,0)</x:f>
        <x:v>1</x:v>
      </x:c>
      <x:c r="O358" s="51" t="str">
        <x:f>IF(M358=N358,"不变",IF(N358=1,"由禁变允","由允变禁"))</x:f>
        <x:v>不变</x:v>
      </x:c>
      <x:c r="P358" s="51" t="str">
        <x:v>OSRM driving/car</x:v>
      </x:c>
      <x:c r="Q358" s="51" t="str">
        <x:v>2026-08-15</x:v>
      </x:c>
      <x:c r="R358" s="51" t="str">
        <x:v>C-开放路网计算；不是货车/危运合规路线</x:v>
      </x:c>
      <x:c r="S358" s="51" t="str">
        <x:v>https://routing.openstreetmap.de/routed-car/</x:v>
      </x:c>
    </x:row>
    <x:row r="359">
      <x:c r="A359" s="51" t="str">
        <x:v>A0355</x:v>
      </x:c>
      <x:c r="B359" s="51" t="str">
        <x:v>GD17</x:v>
      </x:c>
      <x:c r="C359" s="51" t="str">
        <x:v>source</x:v>
      </x:c>
      <x:c r="D359" s="51" t="str">
        <x:v>肇庆</x:v>
      </x:c>
      <x:c r="E359" s="51" t="str">
        <x:v>C19</x:v>
      </x:c>
      <x:c r="F359" s="51" t="str">
        <x:v>collection</x:v>
      </x:c>
      <x:c r="G359" s="51" t="str">
        <x:v>潮州虚拟回收/检测中心</x:v>
      </x:c>
      <x:c r="H359" s="52" t="n">
        <x:v>515.9814766304124</x:v>
      </x:c>
      <x:c r="I359" s="52" t="n">
        <x:v>504.865</x:v>
      </x:c>
      <x:c r="J359" s="52" t="n">
        <x:v>350.345</x:v>
      </x:c>
      <x:c r="K359" s="52" t="n">
        <x:f>IFERROR(I359/H359,"")</x:f>
        <x:v>0.9784556672402119</x:v>
      </x:c>
      <x:c r="L359" s="52" t="n">
        <x:v>150</x:v>
      </x:c>
      <x:c r="M359" s="65" t="n">
        <x:f>IF(H359&lt;=L359,1,0)</x:f>
        <x:v>0</x:v>
      </x:c>
      <x:c r="N359" s="65" t="n">
        <x:f>IF(I359&lt;=L359,1,0)</x:f>
        <x:v>0</x:v>
      </x:c>
      <x:c r="O359" s="51" t="str">
        <x:f>IF(M359=N359,"不变",IF(N359=1,"由禁变允","由允变禁"))</x:f>
        <x:v>不变</x:v>
      </x:c>
      <x:c r="P359" s="51" t="str">
        <x:v>OSRM driving/car</x:v>
      </x:c>
      <x:c r="Q359" s="51" t="str">
        <x:v>2026-08-15</x:v>
      </x:c>
      <x:c r="R359" s="51" t="str">
        <x:v>C-开放路网计算；不是货车/危运合规路线</x:v>
      </x:c>
      <x:c r="S359" s="51" t="str">
        <x:v>https://routing.openstreetmap.de/routed-car/</x:v>
      </x:c>
    </x:row>
    <x:row r="360">
      <x:c r="A360" s="51" t="str">
        <x:v>A0356</x:v>
      </x:c>
      <x:c r="B360" s="51" t="str">
        <x:v>GD17</x:v>
      </x:c>
      <x:c r="C360" s="51" t="str">
        <x:v>source</x:v>
      </x:c>
      <x:c r="D360" s="51" t="str">
        <x:v>肇庆</x:v>
      </x:c>
      <x:c r="E360" s="51" t="str">
        <x:v>C20</x:v>
      </x:c>
      <x:c r="F360" s="51" t="str">
        <x:v>collection</x:v>
      </x:c>
      <x:c r="G360" s="51" t="str">
        <x:v>揭阳虚拟回收/检测中心</x:v>
      </x:c>
      <x:c r="H360" s="52" t="n">
        <x:v>483.5501987128742</x:v>
      </x:c>
      <x:c r="I360" s="52" t="n">
        <x:v>471.9493</x:v>
      </x:c>
      <x:c r="J360" s="52" t="n">
        <x:v>332.3233333333334</x:v>
      </x:c>
      <x:c r="K360" s="52" t="n">
        <x:f>IFERROR(I360/H360,"")</x:f>
        <x:v>0.9760089050862687</x:v>
      </x:c>
      <x:c r="L360" s="52" t="n">
        <x:v>150</x:v>
      </x:c>
      <x:c r="M360" s="65" t="n">
        <x:f>IF(H360&lt;=L360,1,0)</x:f>
        <x:v>0</x:v>
      </x:c>
      <x:c r="N360" s="65" t="n">
        <x:f>IF(I360&lt;=L360,1,0)</x:f>
        <x:v>0</x:v>
      </x:c>
      <x:c r="O360" s="51" t="str">
        <x:f>IF(M360=N360,"不变",IF(N360=1,"由禁变允","由允变禁"))</x:f>
        <x:v>不变</x:v>
      </x:c>
      <x:c r="P360" s="51" t="str">
        <x:v>OSRM driving/car</x:v>
      </x:c>
      <x:c r="Q360" s="51" t="str">
        <x:v>2026-08-15</x:v>
      </x:c>
      <x:c r="R360" s="51" t="str">
        <x:v>C-开放路网计算；不是货车/危运合规路线</x:v>
      </x:c>
      <x:c r="S360" s="51" t="str">
        <x:v>https://routing.openstreetmap.de/routed-car/</x:v>
      </x:c>
    </x:row>
    <x:row r="361">
      <x:c r="A361" s="51" t="str">
        <x:v>A0357</x:v>
      </x:c>
      <x:c r="B361" s="51" t="str">
        <x:v>GD17</x:v>
      </x:c>
      <x:c r="C361" s="51" t="str">
        <x:v>source</x:v>
      </x:c>
      <x:c r="D361" s="51" t="str">
        <x:v>肇庆</x:v>
      </x:c>
      <x:c r="E361" s="51" t="str">
        <x:v>C21</x:v>
      </x:c>
      <x:c r="F361" s="51" t="str">
        <x:v>collection</x:v>
      </x:c>
      <x:c r="G361" s="51" t="str">
        <x:v>云浮虚拟回收/检测中心</x:v>
      </x:c>
      <x:c r="H361" s="52" t="n">
        <x:v>84.3101346674444</x:v>
      </x:c>
      <x:c r="I361" s="52" t="n">
        <x:v>96.24719999999999</x:v>
      </x:c>
      <x:c r="J361" s="52" t="n">
        <x:v>75.16666666666667</x:v>
      </x:c>
      <x:c r="K361" s="52" t="n">
        <x:f>IFERROR(I361/H361,"")</x:f>
        <x:v>1.1415851769142646</x:v>
      </x:c>
      <x:c r="L361" s="52" t="n">
        <x:v>150</x:v>
      </x:c>
      <x:c r="M361" s="65" t="n">
        <x:f>IF(H361&lt;=L361,1,0)</x:f>
        <x:v>1</x:v>
      </x:c>
      <x:c r="N361" s="65" t="n">
        <x:f>IF(I361&lt;=L361,1,0)</x:f>
        <x:v>1</x:v>
      </x:c>
      <x:c r="O361" s="51" t="str">
        <x:f>IF(M361=N361,"不变",IF(N361=1,"由禁变允","由允变禁"))</x:f>
        <x:v>不变</x:v>
      </x:c>
      <x:c r="P361" s="51" t="str">
        <x:v>OSRM driving/car</x:v>
      </x:c>
      <x:c r="Q361" s="51" t="str">
        <x:v>2026-08-15</x:v>
      </x:c>
      <x:c r="R361" s="51" t="str">
        <x:v>C-开放路网计算；不是货车/危运合规路线</x:v>
      </x:c>
      <x:c r="S361" s="51" t="str">
        <x:v>https://routing.openstreetmap.de/routed-car/</x:v>
      </x:c>
    </x:row>
    <x:row r="362">
      <x:c r="A362" s="51" t="str">
        <x:v>A0358</x:v>
      </x:c>
      <x:c r="B362" s="51" t="str">
        <x:v>GD18</x:v>
      </x:c>
      <x:c r="C362" s="51" t="str">
        <x:v>source</x:v>
      </x:c>
      <x:c r="D362" s="51" t="str">
        <x:v>清远</x:v>
      </x:c>
      <x:c r="E362" s="51" t="str">
        <x:v>C01</x:v>
      </x:c>
      <x:c r="F362" s="51" t="str">
        <x:v>collection</x:v>
      </x:c>
      <x:c r="G362" s="51" t="str">
        <x:v>广州虚拟回收/检测中心</x:v>
      </x:c>
      <x:c r="H362" s="52" t="n">
        <x:v>78.25907590976536</x:v>
      </x:c>
      <x:c r="I362" s="52" t="n">
        <x:v>77.3604</x:v>
      </x:c>
      <x:c r="J362" s="52" t="n">
        <x:v>58.531666666666666</x:v>
      </x:c>
      <x:c r="K362" s="52" t="n">
        <x:f>IFERROR(I362/H362,"")</x:f>
        <x:v>0.988516655744804</x:v>
      </x:c>
      <x:c r="L362" s="52" t="n">
        <x:v>150</x:v>
      </x:c>
      <x:c r="M362" s="65" t="n">
        <x:f>IF(H362&lt;=L362,1,0)</x:f>
        <x:v>1</x:v>
      </x:c>
      <x:c r="N362" s="65" t="n">
        <x:f>IF(I362&lt;=L362,1,0)</x:f>
        <x:v>1</x:v>
      </x:c>
      <x:c r="O362" s="51" t="str">
        <x:f>IF(M362=N362,"不变",IF(N362=1,"由禁变允","由允变禁"))</x:f>
        <x:v>不变</x:v>
      </x:c>
      <x:c r="P362" s="51" t="str">
        <x:v>OSRM driving/car</x:v>
      </x:c>
      <x:c r="Q362" s="51" t="str">
        <x:v>2026-08-15</x:v>
      </x:c>
      <x:c r="R362" s="51" t="str">
        <x:v>C-开放路网计算；不是货车/危运合规路线</x:v>
      </x:c>
      <x:c r="S362" s="51" t="str">
        <x:v>https://routing.openstreetmap.de/routed-car/</x:v>
      </x:c>
    </x:row>
    <x:row r="363">
      <x:c r="A363" s="51" t="str">
        <x:v>A0359</x:v>
      </x:c>
      <x:c r="B363" s="51" t="str">
        <x:v>GD18</x:v>
      </x:c>
      <x:c r="C363" s="51" t="str">
        <x:v>source</x:v>
      </x:c>
      <x:c r="D363" s="51" t="str">
        <x:v>清远</x:v>
      </x:c>
      <x:c r="E363" s="51" t="str">
        <x:v>C02</x:v>
      </x:c>
      <x:c r="F363" s="51" t="str">
        <x:v>collection</x:v>
      </x:c>
      <x:c r="G363" s="51" t="str">
        <x:v>深圳虚拟回收/检测中心</x:v>
      </x:c>
      <x:c r="H363" s="52" t="n">
        <x:v>195.61734579697602</x:v>
      </x:c>
      <x:c r="I363" s="52" t="n">
        <x:v>204.8805</x:v>
      </x:c>
      <x:c r="J363" s="52" t="n">
        <x:v>143.91666666666666</x:v>
      </x:c>
      <x:c r="K363" s="52" t="n">
        <x:f>IFERROR(I363/H363,"")</x:f>
        <x:v>1.0473534397743944</x:v>
      </x:c>
      <x:c r="L363" s="52" t="n">
        <x:v>150</x:v>
      </x:c>
      <x:c r="M363" s="65" t="n">
        <x:f>IF(H363&lt;=L363,1,0)</x:f>
        <x:v>0</x:v>
      </x:c>
      <x:c r="N363" s="65" t="n">
        <x:f>IF(I363&lt;=L363,1,0)</x:f>
        <x:v>0</x:v>
      </x:c>
      <x:c r="O363" s="51" t="str">
        <x:f>IF(M363=N363,"不变",IF(N363=1,"由禁变允","由允变禁"))</x:f>
        <x:v>不变</x:v>
      </x:c>
      <x:c r="P363" s="51" t="str">
        <x:v>OSRM driving/car</x:v>
      </x:c>
      <x:c r="Q363" s="51" t="str">
        <x:v>2026-08-15</x:v>
      </x:c>
      <x:c r="R363" s="51" t="str">
        <x:v>C-开放路网计算；不是货车/危运合规路线</x:v>
      </x:c>
      <x:c r="S363" s="51" t="str">
        <x:v>https://routing.openstreetmap.de/routed-car/</x:v>
      </x:c>
    </x:row>
    <x:row r="364">
      <x:c r="A364" s="51" t="str">
        <x:v>A0360</x:v>
      </x:c>
      <x:c r="B364" s="51" t="str">
        <x:v>GD18</x:v>
      </x:c>
      <x:c r="C364" s="51" t="str">
        <x:v>source</x:v>
      </x:c>
      <x:c r="D364" s="51" t="str">
        <x:v>清远</x:v>
      </x:c>
      <x:c r="E364" s="51" t="str">
        <x:v>C03</x:v>
      </x:c>
      <x:c r="F364" s="51" t="str">
        <x:v>collection</x:v>
      </x:c>
      <x:c r="G364" s="51" t="str">
        <x:v>珠海虚拟回收/检测中心</x:v>
      </x:c>
      <x:c r="H364" s="52" t="n">
        <x:v>198.69550482506634</x:v>
      </x:c>
      <x:c r="I364" s="52" t="n">
        <x:v>199.00279999999998</x:v>
      </x:c>
      <x:c r="J364" s="52" t="n">
        <x:v>146.87</x:v>
      </x:c>
      <x:c r="K364" s="52" t="n">
        <x:f>IFERROR(I364/H364,"")</x:f>
        <x:v>1.001546563296458</x:v>
      </x:c>
      <x:c r="L364" s="52" t="n">
        <x:v>150</x:v>
      </x:c>
      <x:c r="M364" s="65" t="n">
        <x:f>IF(H364&lt;=L364,1,0)</x:f>
        <x:v>0</x:v>
      </x:c>
      <x:c r="N364" s="65" t="n">
        <x:f>IF(I364&lt;=L364,1,0)</x:f>
        <x:v>0</x:v>
      </x:c>
      <x:c r="O364" s="51" t="str">
        <x:f>IF(M364=N364,"不变",IF(N364=1,"由禁变允","由允变禁"))</x:f>
        <x:v>不变</x:v>
      </x:c>
      <x:c r="P364" s="51" t="str">
        <x:v>OSRM driving/car</x:v>
      </x:c>
      <x:c r="Q364" s="51" t="str">
        <x:v>2026-08-15</x:v>
      </x:c>
      <x:c r="R364" s="51" t="str">
        <x:v>C-开放路网计算；不是货车/危运合规路线</x:v>
      </x:c>
      <x:c r="S364" s="51" t="str">
        <x:v>https://routing.openstreetmap.de/routed-car/</x:v>
      </x:c>
    </x:row>
    <x:row r="365">
      <x:c r="A365" s="51" t="str">
        <x:v>A0361</x:v>
      </x:c>
      <x:c r="B365" s="51" t="str">
        <x:v>GD18</x:v>
      </x:c>
      <x:c r="C365" s="51" t="str">
        <x:v>source</x:v>
      </x:c>
      <x:c r="D365" s="51" t="str">
        <x:v>清远</x:v>
      </x:c>
      <x:c r="E365" s="51" t="str">
        <x:v>C04</x:v>
      </x:c>
      <x:c r="F365" s="51" t="str">
        <x:v>collection</x:v>
      </x:c>
      <x:c r="G365" s="51" t="str">
        <x:v>汕头虚拟回收/检测中心</x:v>
      </x:c>
      <x:c r="H365" s="52" t="n">
        <x:v>445.8822972488896</x:v>
      </x:c>
      <x:c r="I365" s="52" t="n">
        <x:v>427.3829</x:v>
      </x:c>
      <x:c r="J365" s="52" t="n">
        <x:v>305.58</x:v>
      </x:c>
      <x:c r="K365" s="52" t="n">
        <x:f>IFERROR(I365/H365,"")</x:f>
        <x:v>0.9585105814627951</x:v>
      </x:c>
      <x:c r="L365" s="52" t="n">
        <x:v>150</x:v>
      </x:c>
      <x:c r="M365" s="65" t="n">
        <x:f>IF(H365&lt;=L365,1,0)</x:f>
        <x:v>0</x:v>
      </x:c>
      <x:c r="N365" s="65" t="n">
        <x:f>IF(I365&lt;=L365,1,0)</x:f>
        <x:v>0</x:v>
      </x:c>
      <x:c r="O365" s="51" t="str">
        <x:f>IF(M365=N365,"不变",IF(N365=1,"由禁变允","由允变禁"))</x:f>
        <x:v>不变</x:v>
      </x:c>
      <x:c r="P365" s="51" t="str">
        <x:v>OSRM driving/car</x:v>
      </x:c>
      <x:c r="Q365" s="51" t="str">
        <x:v>2026-08-15</x:v>
      </x:c>
      <x:c r="R365" s="51" t="str">
        <x:v>C-开放路网计算；不是货车/危运合规路线</x:v>
      </x:c>
      <x:c r="S365" s="51" t="str">
        <x:v>https://routing.openstreetmap.de/routed-car/</x:v>
      </x:c>
    </x:row>
    <x:row r="366">
      <x:c r="A366" s="51" t="str">
        <x:v>A0362</x:v>
      </x:c>
      <x:c r="B366" s="51" t="str">
        <x:v>GD18</x:v>
      </x:c>
      <x:c r="C366" s="51" t="str">
        <x:v>source</x:v>
      </x:c>
      <x:c r="D366" s="51" t="str">
        <x:v>清远</x:v>
      </x:c>
      <x:c r="E366" s="51" t="str">
        <x:v>C05</x:v>
      </x:c>
      <x:c r="F366" s="51" t="str">
        <x:v>collection</x:v>
      </x:c>
      <x:c r="G366" s="51" t="str">
        <x:v>佛山虚拟回收/检测中心</x:v>
      </x:c>
      <x:c r="H366" s="52" t="n">
        <x:v>88.3391479847887</x:v>
      </x:c>
      <x:c r="I366" s="52" t="n">
        <x:v>94.902</x:v>
      </x:c>
      <x:c r="J366" s="52" t="n">
        <x:v>73.80666666666666</x:v>
      </x:c>
      <x:c r="K366" s="52" t="n">
        <x:f>IFERROR(I366/H366,"")</x:f>
        <x:v>1.074291547574597</x:v>
      </x:c>
      <x:c r="L366" s="52" t="n">
        <x:v>150</x:v>
      </x:c>
      <x:c r="M366" s="65" t="n">
        <x:f>IF(H366&lt;=L366,1,0)</x:f>
        <x:v>1</x:v>
      </x:c>
      <x:c r="N366" s="65" t="n">
        <x:f>IF(I366&lt;=L366,1,0)</x:f>
        <x:v>1</x:v>
      </x:c>
      <x:c r="O366" s="51" t="str">
        <x:f>IF(M366=N366,"不变",IF(N366=1,"由禁变允","由允变禁"))</x:f>
        <x:v>不变</x:v>
      </x:c>
      <x:c r="P366" s="51" t="str">
        <x:v>OSRM driving/car</x:v>
      </x:c>
      <x:c r="Q366" s="51" t="str">
        <x:v>2026-08-15</x:v>
      </x:c>
      <x:c r="R366" s="51" t="str">
        <x:v>C-开放路网计算；不是货车/危运合规路线</x:v>
      </x:c>
      <x:c r="S366" s="51" t="str">
        <x:v>https://routing.openstreetmap.de/routed-car/</x:v>
      </x:c>
    </x:row>
    <x:row r="367">
      <x:c r="A367" s="51" t="str">
        <x:v>A0363</x:v>
      </x:c>
      <x:c r="B367" s="51" t="str">
        <x:v>GD18</x:v>
      </x:c>
      <x:c r="C367" s="51" t="str">
        <x:v>source</x:v>
      </x:c>
      <x:c r="D367" s="51" t="str">
        <x:v>清远</x:v>
      </x:c>
      <x:c r="E367" s="51" t="str">
        <x:v>C06</x:v>
      </x:c>
      <x:c r="F367" s="51" t="str">
        <x:v>collection</x:v>
      </x:c>
      <x:c r="G367" s="51" t="str">
        <x:v>韶关虚拟回收/检测中心</x:v>
      </x:c>
      <x:c r="H367" s="52" t="n">
        <x:v>179.19087548833554</x:v>
      </x:c>
      <x:c r="I367" s="52" t="n">
        <x:v>180.8531</x:v>
      </x:c>
      <x:c r="J367" s="52" t="n">
        <x:v>141.05</x:v>
      </x:c>
      <x:c r="K367" s="52" t="n">
        <x:f>IFERROR(I367/H367,"")</x:f>
        <x:v>1.0092762787565748</x:v>
      </x:c>
      <x:c r="L367" s="52" t="n">
        <x:v>150</x:v>
      </x:c>
      <x:c r="M367" s="65" t="n">
        <x:f>IF(H367&lt;=L367,1,0)</x:f>
        <x:v>0</x:v>
      </x:c>
      <x:c r="N367" s="65" t="n">
        <x:f>IF(I367&lt;=L367,1,0)</x:f>
        <x:v>0</x:v>
      </x:c>
      <x:c r="O367" s="51" t="str">
        <x:f>IF(M367=N367,"不变",IF(N367=1,"由禁变允","由允变禁"))</x:f>
        <x:v>不变</x:v>
      </x:c>
      <x:c r="P367" s="51" t="str">
        <x:v>OSRM driving/car</x:v>
      </x:c>
      <x:c r="Q367" s="51" t="str">
        <x:v>2026-08-15</x:v>
      </x:c>
      <x:c r="R367" s="51" t="str">
        <x:v>C-开放路网计算；不是货车/危运合规路线</x:v>
      </x:c>
      <x:c r="S367" s="51" t="str">
        <x:v>https://routing.openstreetmap.de/routed-car/</x:v>
      </x:c>
    </x:row>
    <x:row r="368">
      <x:c r="A368" s="51" t="str">
        <x:v>A0364</x:v>
      </x:c>
      <x:c r="B368" s="51" t="str">
        <x:v>GD18</x:v>
      </x:c>
      <x:c r="C368" s="51" t="str">
        <x:v>source</x:v>
      </x:c>
      <x:c r="D368" s="51" t="str">
        <x:v>清远</x:v>
      </x:c>
      <x:c r="E368" s="51" t="str">
        <x:v>C07</x:v>
      </x:c>
      <x:c r="F368" s="51" t="str">
        <x:v>collection</x:v>
      </x:c>
      <x:c r="G368" s="51" t="str">
        <x:v>河源虚拟回收/检测中心</x:v>
      </x:c>
      <x:c r="H368" s="52" t="n">
        <x:v>251.14636384742758</x:v>
      </x:c>
      <x:c r="I368" s="52" t="n">
        <x:v>287.474</x:v>
      </x:c>
      <x:c r="J368" s="52" t="n">
        <x:v>229.47666666666666</x:v>
      </x:c>
      <x:c r="K368" s="52" t="n">
        <x:f>IFERROR(I368/H368,"")</x:f>
        <x:v>1.1446472710018671</x:v>
      </x:c>
      <x:c r="L368" s="52" t="n">
        <x:v>150</x:v>
      </x:c>
      <x:c r="M368" s="65" t="n">
        <x:f>IF(H368&lt;=L368,1,0)</x:f>
        <x:v>0</x:v>
      </x:c>
      <x:c r="N368" s="65" t="n">
        <x:f>IF(I368&lt;=L368,1,0)</x:f>
        <x:v>0</x:v>
      </x:c>
      <x:c r="O368" s="51" t="str">
        <x:f>IF(M368=N368,"不变",IF(N368=1,"由禁变允","由允变禁"))</x:f>
        <x:v>不变</x:v>
      </x:c>
      <x:c r="P368" s="51" t="str">
        <x:v>OSRM driving/car</x:v>
      </x:c>
      <x:c r="Q368" s="51" t="str">
        <x:v>2026-08-15</x:v>
      </x:c>
      <x:c r="R368" s="51" t="str">
        <x:v>C-开放路网计算；不是货车/危运合规路线</x:v>
      </x:c>
      <x:c r="S368" s="51" t="str">
        <x:v>https://routing.openstreetmap.de/routed-car/</x:v>
      </x:c>
    </x:row>
    <x:row r="369">
      <x:c r="A369" s="51" t="str">
        <x:v>A0365</x:v>
      </x:c>
      <x:c r="B369" s="51" t="str">
        <x:v>GD18</x:v>
      </x:c>
      <x:c r="C369" s="51" t="str">
        <x:v>source</x:v>
      </x:c>
      <x:c r="D369" s="51" t="str">
        <x:v>清远</x:v>
      </x:c>
      <x:c r="E369" s="51" t="str">
        <x:v>C08</x:v>
      </x:c>
      <x:c r="F369" s="51" t="str">
        <x:v>collection</x:v>
      </x:c>
      <x:c r="G369" s="51" t="str">
        <x:v>梅州虚拟回收/检测中心</x:v>
      </x:c>
      <x:c r="H369" s="52" t="n">
        <x:v>382.548418383279</x:v>
      </x:c>
      <x:c r="I369" s="52" t="n">
        <x:v>397.3009</x:v>
      </x:c>
      <x:c r="J369" s="52" t="n">
        <x:v>283.3283333333333</x:v>
      </x:c>
      <x:c r="K369" s="52" t="n">
        <x:f>IFERROR(I369/H369,"")</x:f>
        <x:v>1.038563697842662</x:v>
      </x:c>
      <x:c r="L369" s="52" t="n">
        <x:v>150</x:v>
      </x:c>
      <x:c r="M369" s="65" t="n">
        <x:f>IF(H369&lt;=L369,1,0)</x:f>
        <x:v>0</x:v>
      </x:c>
      <x:c r="N369" s="65" t="n">
        <x:f>IF(I369&lt;=L369,1,0)</x:f>
        <x:v>0</x:v>
      </x:c>
      <x:c r="O369" s="51" t="str">
        <x:f>IF(M369=N369,"不变",IF(N369=1,"由禁变允","由允变禁"))</x:f>
        <x:v>不变</x:v>
      </x:c>
      <x:c r="P369" s="51" t="str">
        <x:v>OSRM driving/car</x:v>
      </x:c>
      <x:c r="Q369" s="51" t="str">
        <x:v>2026-08-15</x:v>
      </x:c>
      <x:c r="R369" s="51" t="str">
        <x:v>C-开放路网计算；不是货车/危运合规路线</x:v>
      </x:c>
      <x:c r="S369" s="51" t="str">
        <x:v>https://routing.openstreetmap.de/routed-car/</x:v>
      </x:c>
    </x:row>
    <x:row r="370">
      <x:c r="A370" s="51" t="str">
        <x:v>A0366</x:v>
      </x:c>
      <x:c r="B370" s="51" t="str">
        <x:v>GD18</x:v>
      </x:c>
      <x:c r="C370" s="51" t="str">
        <x:v>source</x:v>
      </x:c>
      <x:c r="D370" s="51" t="str">
        <x:v>清远</x:v>
      </x:c>
      <x:c r="E370" s="51" t="str">
        <x:v>C09</x:v>
      </x:c>
      <x:c r="F370" s="51" t="str">
        <x:v>collection</x:v>
      </x:c>
      <x:c r="G370" s="51" t="str">
        <x:v>惠州虚拟回收/检测中心</x:v>
      </x:c>
      <x:c r="H370" s="52" t="n">
        <x:v>183.368389563571</x:v>
      </x:c>
      <x:c r="I370" s="52" t="n">
        <x:v>185.05720000000002</x:v>
      </x:c>
      <x:c r="J370" s="52" t="n">
        <x:v>134.575</x:v>
      </x:c>
      <x:c r="K370" s="52" t="n">
        <x:f>IFERROR(I370/H370,"")</x:f>
        <x:v>1.0092099322050465</x:v>
      </x:c>
      <x:c r="L370" s="52" t="n">
        <x:v>150</x:v>
      </x:c>
      <x:c r="M370" s="65" t="n">
        <x:f>IF(H370&lt;=L370,1,0)</x:f>
        <x:v>0</x:v>
      </x:c>
      <x:c r="N370" s="65" t="n">
        <x:f>IF(I370&lt;=L370,1,0)</x:f>
        <x:v>0</x:v>
      </x:c>
      <x:c r="O370" s="51" t="str">
        <x:f>IF(M370=N370,"不变",IF(N370=1,"由禁变允","由允变禁"))</x:f>
        <x:v>不变</x:v>
      </x:c>
      <x:c r="P370" s="51" t="str">
        <x:v>OSRM driving/car</x:v>
      </x:c>
      <x:c r="Q370" s="51" t="str">
        <x:v>2026-08-15</x:v>
      </x:c>
      <x:c r="R370" s="51" t="str">
        <x:v>C-开放路网计算；不是货车/危运合规路线</x:v>
      </x:c>
      <x:c r="S370" s="51" t="str">
        <x:v>https://routing.openstreetmap.de/routed-car/</x:v>
      </x:c>
    </x:row>
    <x:row r="371">
      <x:c r="A371" s="51" t="str">
        <x:v>A0367</x:v>
      </x:c>
      <x:c r="B371" s="51" t="str">
        <x:v>GD18</x:v>
      </x:c>
      <x:c r="C371" s="51" t="str">
        <x:v>source</x:v>
      </x:c>
      <x:c r="D371" s="51" t="str">
        <x:v>清远</x:v>
      </x:c>
      <x:c r="E371" s="51" t="str">
        <x:v>C10</x:v>
      </x:c>
      <x:c r="F371" s="51" t="str">
        <x:v>collection</x:v>
      </x:c>
      <x:c r="G371" s="51" t="str">
        <x:v>汕尾虚拟回收/检测中心</x:v>
      </x:c>
      <x:c r="H371" s="52" t="n">
        <x:v>314.3082033676746</x:v>
      </x:c>
      <x:c r="I371" s="52" t="n">
        <x:v>320.83840000000004</x:v>
      </x:c>
      <x:c r="J371" s="52" t="n">
        <x:v>243.96666666666667</x:v>
      </x:c>
      <x:c r="K371" s="52" t="n">
        <x:f>IFERROR(I371/H371,"")</x:f>
        <x:v>1.0207764116951363</x:v>
      </x:c>
      <x:c r="L371" s="52" t="n">
        <x:v>150</x:v>
      </x:c>
      <x:c r="M371" s="65" t="n">
        <x:f>IF(H371&lt;=L371,1,0)</x:f>
        <x:v>0</x:v>
      </x:c>
      <x:c r="N371" s="65" t="n">
        <x:f>IF(I371&lt;=L371,1,0)</x:f>
        <x:v>0</x:v>
      </x:c>
      <x:c r="O371" s="51" t="str">
        <x:f>IF(M371=N371,"不变",IF(N371=1,"由禁变允","由允变禁"))</x:f>
        <x:v>不变</x:v>
      </x:c>
      <x:c r="P371" s="51" t="str">
        <x:v>OSRM driving/car</x:v>
      </x:c>
      <x:c r="Q371" s="51" t="str">
        <x:v>2026-08-15</x:v>
      </x:c>
      <x:c r="R371" s="51" t="str">
        <x:v>C-开放路网计算；不是货车/危运合规路线</x:v>
      </x:c>
      <x:c r="S371" s="51" t="str">
        <x:v>https://routing.openstreetmap.de/routed-car/</x:v>
      </x:c>
    </x:row>
    <x:row r="372">
      <x:c r="A372" s="51" t="str">
        <x:v>A0368</x:v>
      </x:c>
      <x:c r="B372" s="51" t="str">
        <x:v>GD18</x:v>
      </x:c>
      <x:c r="C372" s="51" t="str">
        <x:v>source</x:v>
      </x:c>
      <x:c r="D372" s="51" t="str">
        <x:v>清远</x:v>
      </x:c>
      <x:c r="E372" s="51" t="str">
        <x:v>C11</x:v>
      </x:c>
      <x:c r="F372" s="51" t="str">
        <x:v>collection</x:v>
      </x:c>
      <x:c r="G372" s="51" t="str">
        <x:v>东莞虚拟回收/检测中心</x:v>
      </x:c>
      <x:c r="H372" s="52" t="n">
        <x:v>122.93685817460485</x:v>
      </x:c>
      <x:c r="I372" s="52" t="n">
        <x:v>136.18220000000002</x:v>
      </x:c>
      <x:c r="J372" s="52" t="n">
        <x:v>101.675</x:v>
      </x:c>
      <x:c r="K372" s="52" t="n">
        <x:f>IFERROR(I372/H372,"")</x:f>
        <x:v>1.1077410145506001</x:v>
      </x:c>
      <x:c r="L372" s="52" t="n">
        <x:v>150</x:v>
      </x:c>
      <x:c r="M372" s="65" t="n">
        <x:f>IF(H372&lt;=L372,1,0)</x:f>
        <x:v>1</x:v>
      </x:c>
      <x:c r="N372" s="65" t="n">
        <x:f>IF(I372&lt;=L372,1,0)</x:f>
        <x:v>1</x:v>
      </x:c>
      <x:c r="O372" s="51" t="str">
        <x:f>IF(M372=N372,"不变",IF(N372=1,"由禁变允","由允变禁"))</x:f>
        <x:v>不变</x:v>
      </x:c>
      <x:c r="P372" s="51" t="str">
        <x:v>OSRM driving/car</x:v>
      </x:c>
      <x:c r="Q372" s="51" t="str">
        <x:v>2026-08-15</x:v>
      </x:c>
      <x:c r="R372" s="51" t="str">
        <x:v>C-开放路网计算；不是货车/危运合规路线</x:v>
      </x:c>
      <x:c r="S372" s="51" t="str">
        <x:v>https://routing.openstreetmap.de/routed-car/</x:v>
      </x:c>
    </x:row>
    <x:row r="373">
      <x:c r="A373" s="51" t="str">
        <x:v>A0369</x:v>
      </x:c>
      <x:c r="B373" s="51" t="str">
        <x:v>GD18</x:v>
      </x:c>
      <x:c r="C373" s="51" t="str">
        <x:v>source</x:v>
      </x:c>
      <x:c r="D373" s="51" t="str">
        <x:v>清远</x:v>
      </x:c>
      <x:c r="E373" s="51" t="str">
        <x:v>C12</x:v>
      </x:c>
      <x:c r="F373" s="51" t="str">
        <x:v>collection</x:v>
      </x:c>
      <x:c r="G373" s="51" t="str">
        <x:v>中山虚拟回收/检测中心</x:v>
      </x:c>
      <x:c r="H373" s="52" t="n">
        <x:v>160.66540404712987</x:v>
      </x:c>
      <x:c r="I373" s="52" t="n">
        <x:v>156.378</x:v>
      </x:c>
      <x:c r="J373" s="52" t="n">
        <x:v>116.74499999999999</x:v>
      </x:c>
      <x:c r="K373" s="52" t="n">
        <x:f>IFERROR(I373/H373,"")</x:f>
        <x:v>0.9733147028599125</x:v>
      </x:c>
      <x:c r="L373" s="52" t="n">
        <x:v>150</x:v>
      </x:c>
      <x:c r="M373" s="65" t="n">
        <x:f>IF(H373&lt;=L373,1,0)</x:f>
        <x:v>0</x:v>
      </x:c>
      <x:c r="N373" s="65" t="n">
        <x:f>IF(I373&lt;=L373,1,0)</x:f>
        <x:v>0</x:v>
      </x:c>
      <x:c r="O373" s="51" t="str">
        <x:f>IF(M373=N373,"不变",IF(N373=1,"由禁变允","由允变禁"))</x:f>
        <x:v>不变</x:v>
      </x:c>
      <x:c r="P373" s="51" t="str">
        <x:v>OSRM driving/car</x:v>
      </x:c>
      <x:c r="Q373" s="51" t="str">
        <x:v>2026-08-15</x:v>
      </x:c>
      <x:c r="R373" s="51" t="str">
        <x:v>C-开放路网计算；不是货车/危运合规路线</x:v>
      </x:c>
      <x:c r="S373" s="51" t="str">
        <x:v>https://routing.openstreetmap.de/routed-car/</x:v>
      </x:c>
    </x:row>
    <x:row r="374">
      <x:c r="A374" s="51" t="str">
        <x:v>A0370</x:v>
      </x:c>
      <x:c r="B374" s="51" t="str">
        <x:v>GD18</x:v>
      </x:c>
      <x:c r="C374" s="51" t="str">
        <x:v>source</x:v>
      </x:c>
      <x:c r="D374" s="51" t="str">
        <x:v>清远</x:v>
      </x:c>
      <x:c r="E374" s="51" t="str">
        <x:v>C13</x:v>
      </x:c>
      <x:c r="F374" s="51" t="str">
        <x:v>collection</x:v>
      </x:c>
      <x:c r="G374" s="51" t="str">
        <x:v>江门虚拟回收/检测中心</x:v>
      </x:c>
      <x:c r="H374" s="52" t="n">
        <x:v>147.02898541450745</x:v>
      </x:c>
      <x:c r="I374" s="52" t="n">
        <x:v>142.3946</x:v>
      </x:c>
      <x:c r="J374" s="52" t="n">
        <x:v>113.225</x:v>
      </x:c>
      <x:c r="K374" s="52" t="n">
        <x:f>IFERROR(I374/H374,"")</x:f>
        <x:v>0.9684797837552773</x:v>
      </x:c>
      <x:c r="L374" s="52" t="n">
        <x:v>150</x:v>
      </x:c>
      <x:c r="M374" s="65" t="n">
        <x:f>IF(H374&lt;=L374,1,0)</x:f>
        <x:v>1</x:v>
      </x:c>
      <x:c r="N374" s="65" t="n">
        <x:f>IF(I374&lt;=L374,1,0)</x:f>
        <x:v>1</x:v>
      </x:c>
      <x:c r="O374" s="51" t="str">
        <x:f>IF(M374=N374,"不变",IF(N374=1,"由禁变允","由允变禁"))</x:f>
        <x:v>不变</x:v>
      </x:c>
      <x:c r="P374" s="51" t="str">
        <x:v>OSRM driving/car</x:v>
      </x:c>
      <x:c r="Q374" s="51" t="str">
        <x:v>2026-08-15</x:v>
      </x:c>
      <x:c r="R374" s="51" t="str">
        <x:v>C-开放路网计算；不是货车/危运合规路线</x:v>
      </x:c>
      <x:c r="S374" s="51" t="str">
        <x:v>https://routing.openstreetmap.de/routed-car/</x:v>
      </x:c>
    </x:row>
    <x:row r="375">
      <x:c r="A375" s="51" t="str">
        <x:v>A0371</x:v>
      </x:c>
      <x:c r="B375" s="51" t="str">
        <x:v>GD18</x:v>
      </x:c>
      <x:c r="C375" s="51" t="str">
        <x:v>source</x:v>
      </x:c>
      <x:c r="D375" s="51" t="str">
        <x:v>清远</x:v>
      </x:c>
      <x:c r="E375" s="51" t="str">
        <x:v>C14</x:v>
      </x:c>
      <x:c r="F375" s="51" t="str">
        <x:v>collection</x:v>
      </x:c>
      <x:c r="G375" s="51" t="str">
        <x:v>阳江虚拟回收/检测中心</x:v>
      </x:c>
      <x:c r="H375" s="52" t="n">
        <x:v>262.9480259372752</x:v>
      </x:c>
      <x:c r="I375" s="52" t="n">
        <x:v>272.5957</x:v>
      </x:c>
      <x:c r="J375" s="52" t="n">
        <x:v>202.69166666666666</x:v>
      </x:c>
      <x:c r="K375" s="52" t="n">
        <x:f>IFERROR(I375/H375,"")</x:f>
        <x:v>1.036690422102755</x:v>
      </x:c>
      <x:c r="L375" s="52" t="n">
        <x:v>150</x:v>
      </x:c>
      <x:c r="M375" s="65" t="n">
        <x:f>IF(H375&lt;=L375,1,0)</x:f>
        <x:v>0</x:v>
      </x:c>
      <x:c r="N375" s="65" t="n">
        <x:f>IF(I375&lt;=L375,1,0)</x:f>
        <x:v>0</x:v>
      </x:c>
      <x:c r="O375" s="51" t="str">
        <x:f>IF(M375=N375,"不变",IF(N375=1,"由禁变允","由允变禁"))</x:f>
        <x:v>不变</x:v>
      </x:c>
      <x:c r="P375" s="51" t="str">
        <x:v>OSRM driving/car</x:v>
      </x:c>
      <x:c r="Q375" s="51" t="str">
        <x:v>2026-08-15</x:v>
      </x:c>
      <x:c r="R375" s="51" t="str">
        <x:v>C-开放路网计算；不是货车/危运合规路线</x:v>
      </x:c>
      <x:c r="S375" s="51" t="str">
        <x:v>https://routing.openstreetmap.de/routed-car/</x:v>
      </x:c>
    </x:row>
    <x:row r="376">
      <x:c r="A376" s="51" t="str">
        <x:v>A0372</x:v>
      </x:c>
      <x:c r="B376" s="51" t="str">
        <x:v>GD18</x:v>
      </x:c>
      <x:c r="C376" s="51" t="str">
        <x:v>source</x:v>
      </x:c>
      <x:c r="D376" s="51" t="str">
        <x:v>清远</x:v>
      </x:c>
      <x:c r="E376" s="51" t="str">
        <x:v>C15</x:v>
      </x:c>
      <x:c r="F376" s="51" t="str">
        <x:v>collection</x:v>
      </x:c>
      <x:c r="G376" s="51" t="str">
        <x:v>湛江虚拟回收/检测中心</x:v>
      </x:c>
      <x:c r="H376" s="52" t="n">
        <x:v>462.40989323879114</x:v>
      </x:c>
      <x:c r="I376" s="52" t="n">
        <x:v>472.5423</x:v>
      </x:c>
      <x:c r="J376" s="52" t="n">
        <x:v>324.97999999999996</x:v>
      </x:c>
      <x:c r="K376" s="52" t="n">
        <x:f>IFERROR(I376/H376,"")</x:f>
        <x:v>1.0219121755597396</x:v>
      </x:c>
      <x:c r="L376" s="52" t="n">
        <x:v>150</x:v>
      </x:c>
      <x:c r="M376" s="65" t="n">
        <x:f>IF(H376&lt;=L376,1,0)</x:f>
        <x:v>0</x:v>
      </x:c>
      <x:c r="N376" s="65" t="n">
        <x:f>IF(I376&lt;=L376,1,0)</x:f>
        <x:v>0</x:v>
      </x:c>
      <x:c r="O376" s="51" t="str">
        <x:f>IF(M376=N376,"不变",IF(N376=1,"由禁变允","由允变禁"))</x:f>
        <x:v>不变</x:v>
      </x:c>
      <x:c r="P376" s="51" t="str">
        <x:v>OSRM driving/car</x:v>
      </x:c>
      <x:c r="Q376" s="51" t="str">
        <x:v>2026-08-15</x:v>
      </x:c>
      <x:c r="R376" s="51" t="str">
        <x:v>C-开放路网计算；不是货车/危运合规路线</x:v>
      </x:c>
      <x:c r="S376" s="51" t="str">
        <x:v>https://routing.openstreetmap.de/routed-car/</x:v>
      </x:c>
    </x:row>
    <x:row r="377">
      <x:c r="A377" s="51" t="str">
        <x:v>A0373</x:v>
      </x:c>
      <x:c r="B377" s="51" t="str">
        <x:v>GD18</x:v>
      </x:c>
      <x:c r="C377" s="51" t="str">
        <x:v>source</x:v>
      </x:c>
      <x:c r="D377" s="51" t="str">
        <x:v>清远</x:v>
      </x:c>
      <x:c r="E377" s="51" t="str">
        <x:v>C16</x:v>
      </x:c>
      <x:c r="F377" s="51" t="str">
        <x:v>collection</x:v>
      </x:c>
      <x:c r="G377" s="51" t="str">
        <x:v>茂名虚拟回收/检测中心</x:v>
      </x:c>
      <x:c r="H377" s="52" t="n">
        <x:v>375.7877970270814</x:v>
      </x:c>
      <x:c r="I377" s="52" t="n">
        <x:v>363.3755</x:v>
      </x:c>
      <x:c r="J377" s="52" t="n">
        <x:v>270.23833333333334</x:v>
      </x:c>
      <x:c r="K377" s="52" t="n">
        <x:f>IFERROR(I377/H377,"")</x:f>
        <x:v>0.9669699305691214</x:v>
      </x:c>
      <x:c r="L377" s="52" t="n">
        <x:v>150</x:v>
      </x:c>
      <x:c r="M377" s="65" t="n">
        <x:f>IF(H377&lt;=L377,1,0)</x:f>
        <x:v>0</x:v>
      </x:c>
      <x:c r="N377" s="65" t="n">
        <x:f>IF(I377&lt;=L377,1,0)</x:f>
        <x:v>0</x:v>
      </x:c>
      <x:c r="O377" s="51" t="str">
        <x:f>IF(M377=N377,"不变",IF(N377=1,"由禁变允","由允变禁"))</x:f>
        <x:v>不变</x:v>
      </x:c>
      <x:c r="P377" s="51" t="str">
        <x:v>OSRM driving/car</x:v>
      </x:c>
      <x:c r="Q377" s="51" t="str">
        <x:v>2026-08-15</x:v>
      </x:c>
      <x:c r="R377" s="51" t="str">
        <x:v>C-开放路网计算；不是货车/危运合规路线</x:v>
      </x:c>
      <x:c r="S377" s="51" t="str">
        <x:v>https://routing.openstreetmap.de/routed-car/</x:v>
      </x:c>
    </x:row>
    <x:row r="378">
      <x:c r="A378" s="51" t="str">
        <x:v>A0374</x:v>
      </x:c>
      <x:c r="B378" s="51" t="str">
        <x:v>GD18</x:v>
      </x:c>
      <x:c r="C378" s="51" t="str">
        <x:v>source</x:v>
      </x:c>
      <x:c r="D378" s="51" t="str">
        <x:v>清远</x:v>
      </x:c>
      <x:c r="E378" s="51" t="str">
        <x:v>C17</x:v>
      </x:c>
      <x:c r="F378" s="51" t="str">
        <x:v>collection</x:v>
      </x:c>
      <x:c r="G378" s="51" t="str">
        <x:v>肇庆虚拟回收/检测中心</x:v>
      </x:c>
      <x:c r="H378" s="52" t="n">
        <x:v>111.19371737991149</x:v>
      </x:c>
      <x:c r="I378" s="52" t="n">
        <x:v>109.3077</x:v>
      </x:c>
      <x:c r="J378" s="52" t="n">
        <x:v>89.50333333333333</x:v>
      </x:c>
      <x:c r="K378" s="52" t="n">
        <x:f>IFERROR(I378/H378,"")</x:f>
        <x:v>0.9830384537512348</x:v>
      </x:c>
      <x:c r="L378" s="52" t="n">
        <x:v>150</x:v>
      </x:c>
      <x:c r="M378" s="65" t="n">
        <x:f>IF(H378&lt;=L378,1,0)</x:f>
        <x:v>1</x:v>
      </x:c>
      <x:c r="N378" s="65" t="n">
        <x:f>IF(I378&lt;=L378,1,0)</x:f>
        <x:v>1</x:v>
      </x:c>
      <x:c r="O378" s="51" t="str">
        <x:f>IF(M378=N378,"不变",IF(N378=1,"由禁变允","由允变禁"))</x:f>
        <x:v>不变</x:v>
      </x:c>
      <x:c r="P378" s="51" t="str">
        <x:v>OSRM driving/car</x:v>
      </x:c>
      <x:c r="Q378" s="51" t="str">
        <x:v>2026-08-15</x:v>
      </x:c>
      <x:c r="R378" s="51" t="str">
        <x:v>C-开放路网计算；不是货车/危运合规路线</x:v>
      </x:c>
      <x:c r="S378" s="51" t="str">
        <x:v>https://routing.openstreetmap.de/routed-car/</x:v>
      </x:c>
    </x:row>
    <x:row r="379">
      <x:c r="A379" s="51" t="str">
        <x:v>A0375</x:v>
      </x:c>
      <x:c r="B379" s="51" t="str">
        <x:v>GD18</x:v>
      </x:c>
      <x:c r="C379" s="51" t="str">
        <x:v>source</x:v>
      </x:c>
      <x:c r="D379" s="51" t="str">
        <x:v>清远</x:v>
      </x:c>
      <x:c r="E379" s="51" t="str">
        <x:v>C18</x:v>
      </x:c>
      <x:c r="F379" s="51" t="str">
        <x:v>collection</x:v>
      </x:c>
      <x:c r="G379" s="51" t="str">
        <x:v>清远虚拟回收/检测中心</x:v>
      </x:c>
      <x:c r="H379" s="52" t="n">
        <x:v>0</x:v>
      </x:c>
      <x:c r="I379" s="52" t="n">
        <x:v>0</x:v>
      </x:c>
      <x:c r="J379" s="52" t="n">
        <x:v>0</x:v>
      </x:c>
      <x:c r="K379" s="52" t="str">
        <x:f>IFERROR(I379/H379,"")</x:f>
      </x:c>
      <x:c r="L379" s="52" t="n">
        <x:v>150</x:v>
      </x:c>
      <x:c r="M379" s="65" t="n">
        <x:f>IF(H379&lt;=L379,1,0)</x:f>
        <x:v>1</x:v>
      </x:c>
      <x:c r="N379" s="65" t="n">
        <x:f>IF(I379&lt;=L379,1,0)</x:f>
        <x:v>1</x:v>
      </x:c>
      <x:c r="O379" s="51" t="str">
        <x:f>IF(M379=N379,"不变",IF(N379=1,"由禁变允","由允变禁"))</x:f>
        <x:v>不变</x:v>
      </x:c>
      <x:c r="P379" s="51" t="str">
        <x:v>OSRM driving/car</x:v>
      </x:c>
      <x:c r="Q379" s="51" t="str">
        <x:v>2026-08-15</x:v>
      </x:c>
      <x:c r="R379" s="51" t="str">
        <x:v>C-开放路网计算；不是货车/危运合规路线</x:v>
      </x:c>
      <x:c r="S379" s="51" t="str">
        <x:v>https://routing.openstreetmap.de/routed-car/</x:v>
      </x:c>
    </x:row>
    <x:row r="380">
      <x:c r="A380" s="51" t="str">
        <x:v>A0376</x:v>
      </x:c>
      <x:c r="B380" s="51" t="str">
        <x:v>GD18</x:v>
      </x:c>
      <x:c r="C380" s="51" t="str">
        <x:v>source</x:v>
      </x:c>
      <x:c r="D380" s="51" t="str">
        <x:v>清远</x:v>
      </x:c>
      <x:c r="E380" s="51" t="str">
        <x:v>C19</x:v>
      </x:c>
      <x:c r="F380" s="51" t="str">
        <x:v>collection</x:v>
      </x:c>
      <x:c r="G380" s="51" t="str">
        <x:v>潮州虚拟回收/检测中心</x:v>
      </x:c>
      <x:c r="H380" s="52" t="n">
        <x:v>436.26608004764904</x:v>
      </x:c>
      <x:c r="I380" s="52" t="n">
        <x:v>422.0717</x:v>
      </x:c>
      <x:c r="J380" s="52" t="n">
        <x:v>297.96666666666664</x:v>
      </x:c>
      <x:c r="K380" s="52" t="n">
        <x:f>IFERROR(I380/H380,"")</x:f>
        <x:v>0.9674639384155223</x:v>
      </x:c>
      <x:c r="L380" s="52" t="n">
        <x:v>150</x:v>
      </x:c>
      <x:c r="M380" s="65" t="n">
        <x:f>IF(H380&lt;=L380,1,0)</x:f>
        <x:v>0</x:v>
      </x:c>
      <x:c r="N380" s="65" t="n">
        <x:f>IF(I380&lt;=L380,1,0)</x:f>
        <x:v>0</x:v>
      </x:c>
      <x:c r="O380" s="51" t="str">
        <x:f>IF(M380=N380,"不变",IF(N380=1,"由禁变允","由允变禁"))</x:f>
        <x:v>不变</x:v>
      </x:c>
      <x:c r="P380" s="51" t="str">
        <x:v>OSRM driving/car</x:v>
      </x:c>
      <x:c r="Q380" s="51" t="str">
        <x:v>2026-08-15</x:v>
      </x:c>
      <x:c r="R380" s="51" t="str">
        <x:v>C-开放路网计算；不是货车/危运合规路线</x:v>
      </x:c>
      <x:c r="S380" s="51" t="str">
        <x:v>https://routing.openstreetmap.de/routed-car/</x:v>
      </x:c>
    </x:row>
    <x:row r="381">
      <x:c r="A381" s="51" t="str">
        <x:v>A0377</x:v>
      </x:c>
      <x:c r="B381" s="51" t="str">
        <x:v>GD18</x:v>
      </x:c>
      <x:c r="C381" s="51" t="str">
        <x:v>source</x:v>
      </x:c>
      <x:c r="D381" s="51" t="str">
        <x:v>清远</x:v>
      </x:c>
      <x:c r="E381" s="51" t="str">
        <x:v>C20</x:v>
      </x:c>
      <x:c r="F381" s="51" t="str">
        <x:v>collection</x:v>
      </x:c>
      <x:c r="G381" s="51" t="str">
        <x:v>揭阳虚拟回收/检测中心</x:v>
      </x:c>
      <x:c r="H381" s="52" t="n">
        <x:v>405.9416860213948</x:v>
      </x:c>
      <x:c r="I381" s="52" t="n">
        <x:v>389.156</x:v>
      </x:c>
      <x:c r="J381" s="52" t="n">
        <x:v>279.945</x:v>
      </x:c>
      <x:c r="K381" s="52" t="n">
        <x:f>IFERROR(I381/H381,"")</x:f>
        <x:v>0.9586500066403377</x:v>
      </x:c>
      <x:c r="L381" s="52" t="n">
        <x:v>150</x:v>
      </x:c>
      <x:c r="M381" s="65" t="n">
        <x:f>IF(H381&lt;=L381,1,0)</x:f>
        <x:v>0</x:v>
      </x:c>
      <x:c r="N381" s="65" t="n">
        <x:f>IF(I381&lt;=L381,1,0)</x:f>
        <x:v>0</x:v>
      </x:c>
      <x:c r="O381" s="51" t="str">
        <x:f>IF(M381=N381,"不变",IF(N381=1,"由禁变允","由允变禁"))</x:f>
        <x:v>不变</x:v>
      </x:c>
      <x:c r="P381" s="51" t="str">
        <x:v>OSRM driving/car</x:v>
      </x:c>
      <x:c r="Q381" s="51" t="str">
        <x:v>2026-08-15</x:v>
      </x:c>
      <x:c r="R381" s="51" t="str">
        <x:v>C-开放路网计算；不是货车/危运合规路线</x:v>
      </x:c>
      <x:c r="S381" s="51" t="str">
        <x:v>https://routing.openstreetmap.de/routed-car/</x:v>
      </x:c>
    </x:row>
    <x:row r="382">
      <x:c r="A382" s="51" t="str">
        <x:v>A0378</x:v>
      </x:c>
      <x:c r="B382" s="51" t="str">
        <x:v>GD18</x:v>
      </x:c>
      <x:c r="C382" s="51" t="str">
        <x:v>source</x:v>
      </x:c>
      <x:c r="D382" s="51" t="str">
        <x:v>清远</x:v>
      </x:c>
      <x:c r="E382" s="51" t="str">
        <x:v>C21</x:v>
      </x:c>
      <x:c r="F382" s="51" t="str">
        <x:v>collection</x:v>
      </x:c>
      <x:c r="G382" s="51" t="str">
        <x:v>云浮虚拟回收/检测中心</x:v>
      </x:c>
      <x:c r="H382" s="52" t="n">
        <x:v>188.23018139973763</x:v>
      </x:c>
      <x:c r="I382" s="52" t="n">
        <x:v>204.091</x:v>
      </x:c>
      <x:c r="J382" s="52" t="n">
        <x:v>149.54500000000002</x:v>
      </x:c>
      <x:c r="K382" s="52" t="n">
        <x:f>IFERROR(I382/H382,"")</x:f>
        <x:v>1.084262887504631</x:v>
      </x:c>
      <x:c r="L382" s="52" t="n">
        <x:v>150</x:v>
      </x:c>
      <x:c r="M382" s="65" t="n">
        <x:f>IF(H382&lt;=L382,1,0)</x:f>
        <x:v>0</x:v>
      </x:c>
      <x:c r="N382" s="65" t="n">
        <x:f>IF(I382&lt;=L382,1,0)</x:f>
        <x:v>0</x:v>
      </x:c>
      <x:c r="O382" s="51" t="str">
        <x:f>IF(M382=N382,"不变",IF(N382=1,"由禁变允","由允变禁"))</x:f>
        <x:v>不变</x:v>
      </x:c>
      <x:c r="P382" s="51" t="str">
        <x:v>OSRM driving/car</x:v>
      </x:c>
      <x:c r="Q382" s="51" t="str">
        <x:v>2026-08-15</x:v>
      </x:c>
      <x:c r="R382" s="51" t="str">
        <x:v>C-开放路网计算；不是货车/危运合规路线</x:v>
      </x:c>
      <x:c r="S382" s="51" t="str">
        <x:v>https://routing.openstreetmap.de/routed-car/</x:v>
      </x:c>
    </x:row>
    <x:row r="383">
      <x:c r="A383" s="51" t="str">
        <x:v>A0379</x:v>
      </x:c>
      <x:c r="B383" s="51" t="str">
        <x:v>GD19</x:v>
      </x:c>
      <x:c r="C383" s="51" t="str">
        <x:v>source</x:v>
      </x:c>
      <x:c r="D383" s="51" t="str">
        <x:v>潮州</x:v>
      </x:c>
      <x:c r="E383" s="51" t="str">
        <x:v>C01</x:v>
      </x:c>
      <x:c r="F383" s="51" t="str">
        <x:v>collection</x:v>
      </x:c>
      <x:c r="G383" s="51" t="str">
        <x:v>广州虚拟回收/检测中心</x:v>
      </x:c>
      <x:c r="H383" s="52" t="n">
        <x:v>417.6343351726079</x:v>
      </x:c>
      <x:c r="I383" s="52" t="n">
        <x:v>402.3869</x:v>
      </x:c>
      <x:c r="J383" s="52" t="n">
        <x:v>280.30333333333334</x:v>
      </x:c>
      <x:c r="K383" s="52" t="n">
        <x:f>IFERROR(I383/H383,"")</x:f>
        <x:v>0.9634909443776788</x:v>
      </x:c>
      <x:c r="L383" s="52" t="n">
        <x:v>150</x:v>
      </x:c>
      <x:c r="M383" s="65" t="n">
        <x:f>IF(H383&lt;=L383,1,0)</x:f>
        <x:v>0</x:v>
      </x:c>
      <x:c r="N383" s="65" t="n">
        <x:f>IF(I383&lt;=L383,1,0)</x:f>
        <x:v>0</x:v>
      </x:c>
      <x:c r="O383" s="51" t="str">
        <x:f>IF(M383=N383,"不变",IF(N383=1,"由禁变允","由允变禁"))</x:f>
        <x:v>不变</x:v>
      </x:c>
      <x:c r="P383" s="51" t="str">
        <x:v>OSRM driving/car</x:v>
      </x:c>
      <x:c r="Q383" s="51" t="str">
        <x:v>2026-08-15</x:v>
      </x:c>
      <x:c r="R383" s="51" t="str">
        <x:v>C-开放路网计算；不是货车/危运合规路线</x:v>
      </x:c>
      <x:c r="S383" s="51" t="str">
        <x:v>https://routing.openstreetmap.de/routed-car/</x:v>
      </x:c>
    </x:row>
    <x:row r="384">
      <x:c r="A384" s="51" t="str">
        <x:v>A0380</x:v>
      </x:c>
      <x:c r="B384" s="51" t="str">
        <x:v>GD19</x:v>
      </x:c>
      <x:c r="C384" s="51" t="str">
        <x:v>source</x:v>
      </x:c>
      <x:c r="D384" s="51" t="str">
        <x:v>潮州</x:v>
      </x:c>
      <x:c r="E384" s="51" t="str">
        <x:v>C02</x:v>
      </x:c>
      <x:c r="F384" s="51" t="str">
        <x:v>collection</x:v>
      </x:c>
      <x:c r="G384" s="51" t="str">
        <x:v>深圳虚拟回收/检测中心</x:v>
      </x:c>
      <x:c r="H384" s="52" t="n">
        <x:v>348.1177194815358</x:v>
      </x:c>
      <x:c r="I384" s="52" t="n">
        <x:v>330.90479999999997</x:v>
      </x:c>
      <x:c r="J384" s="52" t="n">
        <x:v>235.79500000000002</x:v>
      </x:c>
      <x:c r="K384" s="52" t="n">
        <x:f>IFERROR(I384/H384,"")</x:f>
        <x:v>0.9505543139051593</x:v>
      </x:c>
      <x:c r="L384" s="52" t="n">
        <x:v>150</x:v>
      </x:c>
      <x:c r="M384" s="65" t="n">
        <x:f>IF(H384&lt;=L384,1,0)</x:f>
        <x:v>0</x:v>
      </x:c>
      <x:c r="N384" s="65" t="n">
        <x:f>IF(I384&lt;=L384,1,0)</x:f>
        <x:v>0</x:v>
      </x:c>
      <x:c r="O384" s="51" t="str">
        <x:f>IF(M384=N384,"不变",IF(N384=1,"由禁变允","由允变禁"))</x:f>
        <x:v>不变</x:v>
      </x:c>
      <x:c r="P384" s="51" t="str">
        <x:v>OSRM driving/car</x:v>
      </x:c>
      <x:c r="Q384" s="51" t="str">
        <x:v>2026-08-15</x:v>
      </x:c>
      <x:c r="R384" s="51" t="str">
        <x:v>C-开放路网计算；不是货车/危运合规路线</x:v>
      </x:c>
      <x:c r="S384" s="51" t="str">
        <x:v>https://routing.openstreetmap.de/routed-car/</x:v>
      </x:c>
    </x:row>
    <x:row r="385">
      <x:c r="A385" s="51" t="str">
        <x:v>A0381</x:v>
      </x:c>
      <x:c r="B385" s="51" t="str">
        <x:v>GD19</x:v>
      </x:c>
      <x:c r="C385" s="51" t="str">
        <x:v>source</x:v>
      </x:c>
      <x:c r="D385" s="51" t="str">
        <x:v>潮州</x:v>
      </x:c>
      <x:c r="E385" s="51" t="str">
        <x:v>C03</x:v>
      </x:c>
      <x:c r="F385" s="51" t="str">
        <x:v>collection</x:v>
      </x:c>
      <x:c r="G385" s="51" t="str">
        <x:v>珠海虚拟回收/检测中心</x:v>
      </x:c>
      <x:c r="H385" s="52" t="n">
        <x:v>417.4782471021128</x:v>
      </x:c>
      <x:c r="I385" s="52" t="n">
        <x:v>441.9423</x:v>
      </x:c>
      <x:c r="J385" s="52" t="n">
        <x:v>313.8066666666667</x:v>
      </x:c>
      <x:c r="K385" s="52" t="n">
        <x:f>IFERROR(I385/H385,"")</x:f>
        <x:v>1.0585995870867577</x:v>
      </x:c>
      <x:c r="L385" s="52" t="n">
        <x:v>150</x:v>
      </x:c>
      <x:c r="M385" s="65" t="n">
        <x:f>IF(H385&lt;=L385,1,0)</x:f>
        <x:v>0</x:v>
      </x:c>
      <x:c r="N385" s="65" t="n">
        <x:f>IF(I385&lt;=L385,1,0)</x:f>
        <x:v>0</x:v>
      </x:c>
      <x:c r="O385" s="51" t="str">
        <x:f>IF(M385=N385,"不变",IF(N385=1,"由禁变允","由允变禁"))</x:f>
        <x:v>不变</x:v>
      </x:c>
      <x:c r="P385" s="51" t="str">
        <x:v>OSRM driving/car</x:v>
      </x:c>
      <x:c r="Q385" s="51" t="str">
        <x:v>2026-08-15</x:v>
      </x:c>
      <x:c r="R385" s="51" t="str">
        <x:v>C-开放路网计算；不是货车/危运合规路线</x:v>
      </x:c>
      <x:c r="S385" s="51" t="str">
        <x:v>https://routing.openstreetmap.de/routed-car/</x:v>
      </x:c>
    </x:row>
    <x:row r="386">
      <x:c r="A386" s="51" t="str">
        <x:v>A0382</x:v>
      </x:c>
      <x:c r="B386" s="51" t="str">
        <x:v>GD19</x:v>
      </x:c>
      <x:c r="C386" s="51" t="str">
        <x:v>source</x:v>
      </x:c>
      <x:c r="D386" s="51" t="str">
        <x:v>潮州</x:v>
      </x:c>
      <x:c r="E386" s="51" t="str">
        <x:v>C04</x:v>
      </x:c>
      <x:c r="F386" s="51" t="str">
        <x:v>collection</x:v>
      </x:c>
      <x:c r="G386" s="51" t="str">
        <x:v>汕头虚拟回收/检测中心</x:v>
      </x:c>
      <x:c r="H386" s="52" t="n">
        <x:v>40.66307002511119</x:v>
      </x:c>
      <x:c r="I386" s="52" t="n">
        <x:v>40.9946</x:v>
      </x:c>
      <x:c r="J386" s="52" t="n">
        <x:v>39.92666666666666</x:v>
      </x:c>
      <x:c r="K386" s="52" t="n">
        <x:f>IFERROR(I386/H386,"")</x:f>
        <x:v>1.0081530975079864</x:v>
      </x:c>
      <x:c r="L386" s="52" t="n">
        <x:v>150</x:v>
      </x:c>
      <x:c r="M386" s="65" t="n">
        <x:f>IF(H386&lt;=L386,1,0)</x:f>
        <x:v>1</x:v>
      </x:c>
      <x:c r="N386" s="65" t="n">
        <x:f>IF(I386&lt;=L386,1,0)</x:f>
        <x:v>1</x:v>
      </x:c>
      <x:c r="O386" s="51" t="str">
        <x:f>IF(M386=N386,"不变",IF(N386=1,"由禁变允","由允变禁"))</x:f>
        <x:v>不变</x:v>
      </x:c>
      <x:c r="P386" s="51" t="str">
        <x:v>OSRM driving/car</x:v>
      </x:c>
      <x:c r="Q386" s="51" t="str">
        <x:v>2026-08-15</x:v>
      </x:c>
      <x:c r="R386" s="51" t="str">
        <x:v>C-开放路网计算；不是货车/危运合规路线</x:v>
      </x:c>
      <x:c r="S386" s="51" t="str">
        <x:v>https://routing.openstreetmap.de/routed-car/</x:v>
      </x:c>
    </x:row>
    <x:row r="387">
      <x:c r="A387" s="51" t="str">
        <x:v>A0383</x:v>
      </x:c>
      <x:c r="B387" s="51" t="str">
        <x:v>GD19</x:v>
      </x:c>
      <x:c r="C387" s="51" t="str">
        <x:v>source</x:v>
      </x:c>
      <x:c r="D387" s="51" t="str">
        <x:v>潮州</x:v>
      </x:c>
      <x:c r="E387" s="51" t="str">
        <x:v>C05</x:v>
      </x:c>
      <x:c r="F387" s="51" t="str">
        <x:v>collection</x:v>
      </x:c>
      <x:c r="G387" s="51" t="str">
        <x:v>佛山虚拟回收/检测中心</x:v>
      </x:c>
      <x:c r="H387" s="52" t="n">
        <x:v>437.5544631248995</x:v>
      </x:c>
      <x:c r="I387" s="52" t="n">
        <x:v>428.2513</x:v>
      </x:c>
      <x:c r="J387" s="52" t="n">
        <x:v>298.65</x:v>
      </x:c>
      <x:c r="K387" s="52" t="n">
        <x:f>IFERROR(I387/H387,"")</x:f>
        <x:v>0.9787382739546097</x:v>
      </x:c>
      <x:c r="L387" s="52" t="n">
        <x:v>150</x:v>
      </x:c>
      <x:c r="M387" s="65" t="n">
        <x:f>IF(H387&lt;=L387,1,0)</x:f>
        <x:v>0</x:v>
      </x:c>
      <x:c r="N387" s="65" t="n">
        <x:f>IF(I387&lt;=L387,1,0)</x:f>
        <x:v>0</x:v>
      </x:c>
      <x:c r="O387" s="51" t="str">
        <x:f>IF(M387=N387,"不变",IF(N387=1,"由禁变允","由允变禁"))</x:f>
        <x:v>不变</x:v>
      </x:c>
      <x:c r="P387" s="51" t="str">
        <x:v>OSRM driving/car</x:v>
      </x:c>
      <x:c r="Q387" s="51" t="str">
        <x:v>2026-08-15</x:v>
      </x:c>
      <x:c r="R387" s="51" t="str">
        <x:v>C-开放路网计算；不是货车/危运合规路线</x:v>
      </x:c>
      <x:c r="S387" s="51" t="str">
        <x:v>https://routing.openstreetmap.de/routed-car/</x:v>
      </x:c>
    </x:row>
    <x:row r="388">
      <x:c r="A388" s="51" t="str">
        <x:v>A0384</x:v>
      </x:c>
      <x:c r="B388" s="51" t="str">
        <x:v>GD19</x:v>
      </x:c>
      <x:c r="C388" s="51" t="str">
        <x:v>source</x:v>
      </x:c>
      <x:c r="D388" s="51" t="str">
        <x:v>潮州</x:v>
      </x:c>
      <x:c r="E388" s="51" t="str">
        <x:v>C06</x:v>
      </x:c>
      <x:c r="F388" s="51" t="str">
        <x:v>collection</x:v>
      </x:c>
      <x:c r="G388" s="51" t="str">
        <x:v>韶关虚拟回收/检测中心</x:v>
      </x:c>
      <x:c r="H388" s="52" t="n">
        <x:v>375.50319781414925</x:v>
      </x:c>
      <x:c r="I388" s="52" t="n">
        <x:v>417.6153</x:v>
      </x:c>
      <x:c r="J388" s="52" t="n">
        <x:v>308.53499999999997</x:v>
      </x:c>
      <x:c r="K388" s="52" t="n">
        <x:f>IFERROR(I388/H388,"")</x:f>
        <x:v>1.1121484515471254</x:v>
      </x:c>
      <x:c r="L388" s="52" t="n">
        <x:v>150</x:v>
      </x:c>
      <x:c r="M388" s="65" t="n">
        <x:f>IF(H388&lt;=L388,1,0)</x:f>
        <x:v>0</x:v>
      </x:c>
      <x:c r="N388" s="65" t="n">
        <x:f>IF(I388&lt;=L388,1,0)</x:f>
        <x:v>0</x:v>
      </x:c>
      <x:c r="O388" s="51" t="str">
        <x:f>IF(M388=N388,"不变",IF(N388=1,"由禁变允","由允变禁"))</x:f>
        <x:v>不变</x:v>
      </x:c>
      <x:c r="P388" s="51" t="str">
        <x:v>OSRM driving/car</x:v>
      </x:c>
      <x:c r="Q388" s="51" t="str">
        <x:v>2026-08-15</x:v>
      </x:c>
      <x:c r="R388" s="51" t="str">
        <x:v>C-开放路网计算；不是货车/危运合规路线</x:v>
      </x:c>
      <x:c r="S388" s="51" t="str">
        <x:v>https://routing.openstreetmap.de/routed-car/</x:v>
      </x:c>
    </x:row>
    <x:row r="389">
      <x:c r="A389" s="51" t="str">
        <x:v>A0385</x:v>
      </x:c>
      <x:c r="B389" s="51" t="str">
        <x:v>GD19</x:v>
      </x:c>
      <x:c r="C389" s="51" t="str">
        <x:v>source</x:v>
      </x:c>
      <x:c r="D389" s="51" t="str">
        <x:v>潮州</x:v>
      </x:c>
      <x:c r="E389" s="51" t="str">
        <x:v>C07</x:v>
      </x:c>
      <x:c r="F389" s="51" t="str">
        <x:v>collection</x:v>
      </x:c>
      <x:c r="G389" s="51" t="str">
        <x:v>河源虚拟回收/检测中心</x:v>
      </x:c>
      <x:c r="H389" s="52" t="n">
        <x:v>199.69048363956173</x:v>
      </x:c>
      <x:c r="I389" s="52" t="n">
        <x:v>219.0197</x:v>
      </x:c>
      <x:c r="J389" s="52" t="n">
        <x:v>171.84</x:v>
      </x:c>
      <x:c r="K389" s="52" t="n">
        <x:f>IFERROR(I389/H389,"")</x:f>
        <x:v>1.0967958813466905</x:v>
      </x:c>
      <x:c r="L389" s="52" t="n">
        <x:v>150</x:v>
      </x:c>
      <x:c r="M389" s="65" t="n">
        <x:f>IF(H389&lt;=L389,1,0)</x:f>
        <x:v>0</x:v>
      </x:c>
      <x:c r="N389" s="65" t="n">
        <x:f>IF(I389&lt;=L389,1,0)</x:f>
        <x:v>0</x:v>
      </x:c>
      <x:c r="O389" s="51" t="str">
        <x:f>IF(M389=N389,"不变",IF(N389=1,"由禁变允","由允变禁"))</x:f>
        <x:v>不变</x:v>
      </x:c>
      <x:c r="P389" s="51" t="str">
        <x:v>OSRM driving/car</x:v>
      </x:c>
      <x:c r="Q389" s="51" t="str">
        <x:v>2026-08-15</x:v>
      </x:c>
      <x:c r="R389" s="51" t="str">
        <x:v>C-开放路网计算；不是货车/危运合规路线</x:v>
      </x:c>
      <x:c r="S389" s="51" t="str">
        <x:v>https://routing.openstreetmap.de/routed-car/</x:v>
      </x:c>
    </x:row>
    <x:row r="390">
      <x:c r="A390" s="51" t="str">
        <x:v>A0386</x:v>
      </x:c>
      <x:c r="B390" s="51" t="str">
        <x:v>GD19</x:v>
      </x:c>
      <x:c r="C390" s="51" t="str">
        <x:v>source</x:v>
      </x:c>
      <x:c r="D390" s="51" t="str">
        <x:v>潮州</x:v>
      </x:c>
      <x:c r="E390" s="51" t="str">
        <x:v>C08</x:v>
      </x:c>
      <x:c r="F390" s="51" t="str">
        <x:v>collection</x:v>
      </x:c>
      <x:c r="G390" s="51" t="str">
        <x:v>梅州虚拟回收/检测中心</x:v>
      </x:c>
      <x:c r="H390" s="52" t="n">
        <x:v>104.64220370470176</x:v>
      </x:c>
      <x:c r="I390" s="52" t="n">
        <x:v>138.8111</x:v>
      </x:c>
      <x:c r="J390" s="52" t="n">
        <x:v>98.765</x:v>
      </x:c>
      <x:c r="K390" s="52" t="n">
        <x:f>IFERROR(I390/H390,"")</x:f>
        <x:v>1.3265307408062832</x:v>
      </x:c>
      <x:c r="L390" s="52" t="n">
        <x:v>150</x:v>
      </x:c>
      <x:c r="M390" s="65" t="n">
        <x:f>IF(H390&lt;=L390,1,0)</x:f>
        <x:v>1</x:v>
      </x:c>
      <x:c r="N390" s="65" t="n">
        <x:f>IF(I390&lt;=L390,1,0)</x:f>
        <x:v>1</x:v>
      </x:c>
      <x:c r="O390" s="51" t="str">
        <x:f>IF(M390=N390,"不变",IF(N390=1,"由禁变允","由允变禁"))</x:f>
        <x:v>不变</x:v>
      </x:c>
      <x:c r="P390" s="51" t="str">
        <x:v>OSRM driving/car</x:v>
      </x:c>
      <x:c r="Q390" s="51" t="str">
        <x:v>2026-08-15</x:v>
      </x:c>
      <x:c r="R390" s="51" t="str">
        <x:v>C-开放路网计算；不是货车/危运合规路线</x:v>
      </x:c>
      <x:c r="S390" s="51" t="str">
        <x:v>https://routing.openstreetmap.de/routed-car/</x:v>
      </x:c>
    </x:row>
    <x:row r="391">
      <x:c r="A391" s="51" t="str">
        <x:v>A0387</x:v>
      </x:c>
      <x:c r="B391" s="51" t="str">
        <x:v>GD19</x:v>
      </x:c>
      <x:c r="C391" s="51" t="str">
        <x:v>source</x:v>
      </x:c>
      <x:c r="D391" s="51" t="str">
        <x:v>潮州</x:v>
      </x:c>
      <x:c r="E391" s="51" t="str">
        <x:v>C09</x:v>
      </x:c>
      <x:c r="F391" s="51" t="str">
        <x:v>collection</x:v>
      </x:c>
      <x:c r="G391" s="51" t="str">
        <x:v>惠州虚拟回收/检测中心</x:v>
      </x:c>
      <x:c r="H391" s="52" t="n">
        <x:v>279.9607688576769</x:v>
      </x:c>
      <x:c r="I391" s="52" t="n">
        <x:v>274.8254</x:v>
      </x:c>
      <x:c r="J391" s="52" t="n">
        <x:v>200.32833333333335</x:v>
      </x:c>
      <x:c r="K391" s="52" t="n">
        <x:f>IFERROR(I391/H391,"")</x:f>
        <x:v>0.9816568268524525</x:v>
      </x:c>
      <x:c r="L391" s="52" t="n">
        <x:v>150</x:v>
      </x:c>
      <x:c r="M391" s="65" t="n">
        <x:f>IF(H391&lt;=L391,1,0)</x:f>
        <x:v>0</x:v>
      </x:c>
      <x:c r="N391" s="65" t="n">
        <x:f>IF(I391&lt;=L391,1,0)</x:f>
        <x:v>0</x:v>
      </x:c>
      <x:c r="O391" s="51" t="str">
        <x:f>IF(M391=N391,"不变",IF(N391=1,"由禁变允","由允变禁"))</x:f>
        <x:v>不变</x:v>
      </x:c>
      <x:c r="P391" s="51" t="str">
        <x:v>OSRM driving/car</x:v>
      </x:c>
      <x:c r="Q391" s="51" t="str">
        <x:v>2026-08-15</x:v>
      </x:c>
      <x:c r="R391" s="51" t="str">
        <x:v>C-开放路网计算；不是货车/危运合规路线</x:v>
      </x:c>
      <x:c r="S391" s="51" t="str">
        <x:v>https://routing.openstreetmap.de/routed-car/</x:v>
      </x:c>
    </x:row>
    <x:row r="392">
      <x:c r="A392" s="51" t="str">
        <x:v>A0388</x:v>
      </x:c>
      <x:c r="B392" s="51" t="str">
        <x:v>GD19</x:v>
      </x:c>
      <x:c r="C392" s="51" t="str">
        <x:v>source</x:v>
      </x:c>
      <x:c r="D392" s="51" t="str">
        <x:v>潮州</x:v>
      </x:c>
      <x:c r="E392" s="51" t="str">
        <x:v>C10</x:v>
      </x:c>
      <x:c r="F392" s="51" t="str">
        <x:v>collection</x:v>
      </x:c>
      <x:c r="G392" s="51" t="str">
        <x:v>汕尾虚拟回收/检测中心</x:v>
      </x:c>
      <x:c r="H392" s="52" t="n">
        <x:v>160.93051256166157</x:v>
      </x:c>
      <x:c r="I392" s="52" t="n">
        <x:v>169.58589999999998</x:v>
      </x:c>
      <x:c r="J392" s="52" t="n">
        <x:v>137.645</x:v>
      </x:c>
      <x:c r="K392" s="52" t="n">
        <x:f>IFERROR(I392/H392,"")</x:f>
        <x:v>1.053783383278681</x:v>
      </x:c>
      <x:c r="L392" s="52" t="n">
        <x:v>150</x:v>
      </x:c>
      <x:c r="M392" s="65" t="n">
        <x:f>IF(H392&lt;=L392,1,0)</x:f>
        <x:v>0</x:v>
      </x:c>
      <x:c r="N392" s="65" t="n">
        <x:f>IF(I392&lt;=L392,1,0)</x:f>
        <x:v>0</x:v>
      </x:c>
      <x:c r="O392" s="51" t="str">
        <x:f>IF(M392=N392,"不变",IF(N392=1,"由禁变允","由允变禁"))</x:f>
        <x:v>不变</x:v>
      </x:c>
      <x:c r="P392" s="51" t="str">
        <x:v>OSRM driving/car</x:v>
      </x:c>
      <x:c r="Q392" s="51" t="str">
        <x:v>2026-08-15</x:v>
      </x:c>
      <x:c r="R392" s="51" t="str">
        <x:v>C-开放路网计算；不是货车/危运合规路线</x:v>
      </x:c>
      <x:c r="S392" s="51" t="str">
        <x:v>https://routing.openstreetmap.de/routed-car/</x:v>
      </x:c>
    </x:row>
    <x:row r="393">
      <x:c r="A393" s="51" t="str">
        <x:v>A0389</x:v>
      </x:c>
      <x:c r="B393" s="51" t="str">
        <x:v>GD19</x:v>
      </x:c>
      <x:c r="C393" s="51" t="str">
        <x:v>source</x:v>
      </x:c>
      <x:c r="D393" s="51" t="str">
        <x:v>潮州</x:v>
      </x:c>
      <x:c r="E393" s="51" t="str">
        <x:v>C11</x:v>
      </x:c>
      <x:c r="F393" s="51" t="str">
        <x:v>collection</x:v>
      </x:c>
      <x:c r="G393" s="51" t="str">
        <x:v>东莞虚拟回收/检测中心</x:v>
      </x:c>
      <x:c r="H393" s="52" t="n">
        <x:v>362.40036847399165</x:v>
      </x:c>
      <x:c r="I393" s="52" t="n">
        <x:v>350.4906</x:v>
      </x:c>
      <x:c r="J393" s="52" t="n">
        <x:v>242.985</x:v>
      </x:c>
      <x:c r="K393" s="52" t="n">
        <x:f>IFERROR(I393/H393,"")</x:f>
        <x:v>0.9671364338724551</x:v>
      </x:c>
      <x:c r="L393" s="52" t="n">
        <x:v>150</x:v>
      </x:c>
      <x:c r="M393" s="65" t="n">
        <x:f>IF(H393&lt;=L393,1,0)</x:f>
        <x:v>0</x:v>
      </x:c>
      <x:c r="N393" s="65" t="n">
        <x:f>IF(I393&lt;=L393,1,0)</x:f>
        <x:v>0</x:v>
      </x:c>
      <x:c r="O393" s="51" t="str">
        <x:f>IF(M393=N393,"不变",IF(N393=1,"由禁变允","由允变禁"))</x:f>
        <x:v>不变</x:v>
      </x:c>
      <x:c r="P393" s="51" t="str">
        <x:v>OSRM driving/car</x:v>
      </x:c>
      <x:c r="Q393" s="51" t="str">
        <x:v>2026-08-15</x:v>
      </x:c>
      <x:c r="R393" s="51" t="str">
        <x:v>C-开放路网计算；不是货车/危运合规路线</x:v>
      </x:c>
      <x:c r="S393" s="51" t="str">
        <x:v>https://routing.openstreetmap.de/routed-car/</x:v>
      </x:c>
    </x:row>
    <x:row r="394">
      <x:c r="A394" s="51" t="str">
        <x:v>A0390</x:v>
      </x:c>
      <x:c r="B394" s="51" t="str">
        <x:v>GD19</x:v>
      </x:c>
      <x:c r="C394" s="51" t="str">
        <x:v>source</x:v>
      </x:c>
      <x:c r="D394" s="51" t="str">
        <x:v>潮州</x:v>
      </x:c>
      <x:c r="E394" s="51" t="str">
        <x:v>C12</x:v>
      </x:c>
      <x:c r="F394" s="51" t="str">
        <x:v>collection</x:v>
      </x:c>
      <x:c r="G394" s="51" t="str">
        <x:v>中山虚拟回收/检测中心</x:v>
      </x:c>
      <x:c r="H394" s="52" t="n">
        <x:v>424.85020930041117</x:v>
      </x:c>
      <x:c r="I394" s="52" t="n">
        <x:v>408.29490000000004</x:v>
      </x:c>
      <x:c r="J394" s="52" t="n">
        <x:v>289.975</x:v>
      </x:c>
      <x:c r="K394" s="52" t="n">
        <x:f>IFERROR(I394/H394,"")</x:f>
        <x:v>0.9610325970471515</x:v>
      </x:c>
      <x:c r="L394" s="52" t="n">
        <x:v>150</x:v>
      </x:c>
      <x:c r="M394" s="65" t="n">
        <x:f>IF(H394&lt;=L394,1,0)</x:f>
        <x:v>0</x:v>
      </x:c>
      <x:c r="N394" s="65" t="n">
        <x:f>IF(I394&lt;=L394,1,0)</x:f>
        <x:v>0</x:v>
      </x:c>
      <x:c r="O394" s="51" t="str">
        <x:f>IF(M394=N394,"不变",IF(N394=1,"由禁变允","由允变禁"))</x:f>
        <x:v>不变</x:v>
      </x:c>
      <x:c r="P394" s="51" t="str">
        <x:v>OSRM driving/car</x:v>
      </x:c>
      <x:c r="Q394" s="51" t="str">
        <x:v>2026-08-15</x:v>
      </x:c>
      <x:c r="R394" s="51" t="str">
        <x:v>C-开放路网计算；不是货车/危运合规路线</x:v>
      </x:c>
      <x:c r="S394" s="51" t="str">
        <x:v>https://routing.openstreetmap.de/routed-car/</x:v>
      </x:c>
    </x:row>
    <x:row r="395">
      <x:c r="A395" s="51" t="str">
        <x:v>A0391</x:v>
      </x:c>
      <x:c r="B395" s="51" t="str">
        <x:v>GD19</x:v>
      </x:c>
      <x:c r="C395" s="51" t="str">
        <x:v>source</x:v>
      </x:c>
      <x:c r="D395" s="51" t="str">
        <x:v>潮州</x:v>
      </x:c>
      <x:c r="E395" s="51" t="str">
        <x:v>C13</x:v>
      </x:c>
      <x:c r="F395" s="51" t="str">
        <x:v>collection</x:v>
      </x:c>
      <x:c r="G395" s="51" t="str">
        <x:v>江门虚拟回收/检测中心</x:v>
      </x:c>
      <x:c r="H395" s="52" t="n">
        <x:v>457.9707384090611</x:v>
      </x:c>
      <x:c r="I395" s="52" t="n">
        <x:v>441.4133</x:v>
      </x:c>
      <x:c r="J395" s="52" t="n">
        <x:v>312.53499999999997</x:v>
      </x:c>
      <x:c r="K395" s="52" t="n">
        <x:f>IFERROR(I395/H395,"")</x:f>
        <x:v>0.9638460778813516</x:v>
      </x:c>
      <x:c r="L395" s="52" t="n">
        <x:v>150</x:v>
      </x:c>
      <x:c r="M395" s="65" t="n">
        <x:f>IF(H395&lt;=L395,1,0)</x:f>
        <x:v>0</x:v>
      </x:c>
      <x:c r="N395" s="65" t="n">
        <x:f>IF(I395&lt;=L395,1,0)</x:f>
        <x:v>0</x:v>
      </x:c>
      <x:c r="O395" s="51" t="str">
        <x:f>IF(M395=N395,"不变",IF(N395=1,"由禁变允","由允变禁"))</x:f>
        <x:v>不变</x:v>
      </x:c>
      <x:c r="P395" s="51" t="str">
        <x:v>OSRM driving/car</x:v>
      </x:c>
      <x:c r="Q395" s="51" t="str">
        <x:v>2026-08-15</x:v>
      </x:c>
      <x:c r="R395" s="51" t="str">
        <x:v>C-开放路网计算；不是货车/危运合规路线</x:v>
      </x:c>
      <x:c r="S395" s="51" t="str">
        <x:v>https://routing.openstreetmap.de/routed-car/</x:v>
      </x:c>
    </x:row>
    <x:row r="396">
      <x:c r="A396" s="51" t="str">
        <x:v>A0392</x:v>
      </x:c>
      <x:c r="B396" s="51" t="str">
        <x:v>GD19</x:v>
      </x:c>
      <x:c r="C396" s="51" t="str">
        <x:v>source</x:v>
      </x:c>
      <x:c r="D396" s="51" t="str">
        <x:v>潮州</x:v>
      </x:c>
      <x:c r="E396" s="51" t="str">
        <x:v>C14</x:v>
      </x:c>
      <x:c r="F396" s="51" t="str">
        <x:v>collection</x:v>
      </x:c>
      <x:c r="G396" s="51" t="str">
        <x:v>阳江虚拟回收/检测中心</x:v>
      </x:c>
      <x:c r="H396" s="52" t="n">
        <x:v>630.0503363792635</x:v>
      </x:c>
      <x:c r="I396" s="52" t="n">
        <x:v>628.5986</x:v>
      </x:c>
      <x:c r="J396" s="52" t="n">
        <x:v>424.62</x:v>
      </x:c>
      <x:c r="K396" s="52" t="n">
        <x:f>IFERROR(I396/H396,"")</x:f>
        <x:v>0.9976958406409141</x:v>
      </x:c>
      <x:c r="L396" s="52" t="n">
        <x:v>150</x:v>
      </x:c>
      <x:c r="M396" s="65" t="n">
        <x:f>IF(H396&lt;=L396,1,0)</x:f>
        <x:v>0</x:v>
      </x:c>
      <x:c r="N396" s="65" t="n">
        <x:f>IF(I396&lt;=L396,1,0)</x:f>
        <x:v>0</x:v>
      </x:c>
      <x:c r="O396" s="51" t="str">
        <x:f>IF(M396=N396,"不变",IF(N396=1,"由禁变允","由允变禁"))</x:f>
        <x:v>不变</x:v>
      </x:c>
      <x:c r="P396" s="51" t="str">
        <x:v>OSRM driving/car</x:v>
      </x:c>
      <x:c r="Q396" s="51" t="str">
        <x:v>2026-08-15</x:v>
      </x:c>
      <x:c r="R396" s="51" t="str">
        <x:v>C-开放路网计算；不是货车/危运合规路线</x:v>
      </x:c>
      <x:c r="S396" s="51" t="str">
        <x:v>https://routing.openstreetmap.de/routed-car/</x:v>
      </x:c>
    </x:row>
    <x:row r="397">
      <x:c r="A397" s="51" t="str">
        <x:v>A0393</x:v>
      </x:c>
      <x:c r="B397" s="51" t="str">
        <x:v>GD19</x:v>
      </x:c>
      <x:c r="C397" s="51" t="str">
        <x:v>source</x:v>
      </x:c>
      <x:c r="D397" s="51" t="str">
        <x:v>潮州</x:v>
      </x:c>
      <x:c r="E397" s="51" t="str">
        <x:v>C15</x:v>
      </x:c>
      <x:c r="F397" s="51" t="str">
        <x:v>collection</x:v>
      </x:c>
      <x:c r="G397" s="51" t="str">
        <x:v>湛江虚拟回收/检测中心</x:v>
      </x:c>
      <x:c r="H397" s="52" t="n">
        <x:v>835.335693104037</x:v>
      </x:c>
      <x:c r="I397" s="52" t="n">
        <x:v>792.9901</x:v>
      </x:c>
      <x:c r="J397" s="52" t="n">
        <x:v>534.3016666666666</x:v>
      </x:c>
      <x:c r="K397" s="52" t="n">
        <x:f>IFERROR(I397/H397,"")</x:f>
        <x:v>0.9493070947960043</x:v>
      </x:c>
      <x:c r="L397" s="52" t="n">
        <x:v>150</x:v>
      </x:c>
      <x:c r="M397" s="65" t="n">
        <x:f>IF(H397&lt;=L397,1,0)</x:f>
        <x:v>0</x:v>
      </x:c>
      <x:c r="N397" s="65" t="n">
        <x:f>IF(I397&lt;=L397,1,0)</x:f>
        <x:v>0</x:v>
      </x:c>
      <x:c r="O397" s="51" t="str">
        <x:f>IF(M397=N397,"不变",IF(N397=1,"由禁变允","由允变禁"))</x:f>
        <x:v>不变</x:v>
      </x:c>
      <x:c r="P397" s="51" t="str">
        <x:v>OSRM driving/car</x:v>
      </x:c>
      <x:c r="Q397" s="51" t="str">
        <x:v>2026-08-15</x:v>
      </x:c>
      <x:c r="R397" s="51" t="str">
        <x:v>C-开放路网计算；不是货车/危运合规路线</x:v>
      </x:c>
      <x:c r="S397" s="51" t="str">
        <x:v>https://routing.openstreetmap.de/routed-car/</x:v>
      </x:c>
    </x:row>
    <x:row r="398">
      <x:c r="A398" s="51" t="str">
        <x:v>A0394</x:v>
      </x:c>
      <x:c r="B398" s="51" t="str">
        <x:v>GD19</x:v>
      </x:c>
      <x:c r="C398" s="51" t="str">
        <x:v>source</x:v>
      </x:c>
      <x:c r="D398" s="51" t="str">
        <x:v>潮州</x:v>
      </x:c>
      <x:c r="E398" s="51" t="str">
        <x:v>C16</x:v>
      </x:c>
      <x:c r="F398" s="51" t="str">
        <x:v>collection</x:v>
      </x:c>
      <x:c r="G398" s="51" t="str">
        <x:v>茂名虚拟回收/检测中心</x:v>
      </x:c>
      <x:c r="H398" s="52" t="n">
        <x:v>750.2981020093883</x:v>
      </x:c>
      <x:c r="I398" s="52" t="n">
        <x:v>712.2408</x:v>
      </x:c>
      <x:c r="J398" s="52" t="n">
        <x:v>483.21666666666664</x:v>
      </x:c>
      <x:c r="K398" s="52" t="n">
        <x:f>IFERROR(I398/H398,"")</x:f>
        <x:v>0.9492770914554278</x:v>
      </x:c>
      <x:c r="L398" s="52" t="n">
        <x:v>150</x:v>
      </x:c>
      <x:c r="M398" s="65" t="n">
        <x:f>IF(H398&lt;=L398,1,0)</x:f>
        <x:v>0</x:v>
      </x:c>
      <x:c r="N398" s="65" t="n">
        <x:f>IF(I398&lt;=L398,1,0)</x:f>
        <x:v>0</x:v>
      </x:c>
      <x:c r="O398" s="51" t="str">
        <x:f>IF(M398=N398,"不变",IF(N398=1,"由禁变允","由允变禁"))</x:f>
        <x:v>不变</x:v>
      </x:c>
      <x:c r="P398" s="51" t="str">
        <x:v>OSRM driving/car</x:v>
      </x:c>
      <x:c r="Q398" s="51" t="str">
        <x:v>2026-08-15</x:v>
      </x:c>
      <x:c r="R398" s="51" t="str">
        <x:v>C-开放路网计算；不是货车/危运合规路线</x:v>
      </x:c>
      <x:c r="S398" s="51" t="str">
        <x:v>https://routing.openstreetmap.de/routed-car/</x:v>
      </x:c>
    </x:row>
    <x:row r="399">
      <x:c r="A399" s="51" t="str">
        <x:v>A0395</x:v>
      </x:c>
      <x:c r="B399" s="51" t="str">
        <x:v>GD19</x:v>
      </x:c>
      <x:c r="C399" s="51" t="str">
        <x:v>source</x:v>
      </x:c>
      <x:c r="D399" s="51" t="str">
        <x:v>潮州</x:v>
      </x:c>
      <x:c r="E399" s="51" t="str">
        <x:v>C17</x:v>
      </x:c>
      <x:c r="F399" s="51" t="str">
        <x:v>collection</x:v>
      </x:c>
      <x:c r="G399" s="51" t="str">
        <x:v>肇庆虚拟回收/检测中心</x:v>
      </x:c>
      <x:c r="H399" s="52" t="n">
        <x:v>515.9814766304124</x:v>
      </x:c>
      <x:c r="I399" s="52" t="n">
        <x:v>497.6209</x:v>
      </x:c>
      <x:c r="J399" s="52" t="n">
        <x:v>349.06666666666666</x:v>
      </x:c>
      <x:c r="K399" s="52" t="n">
        <x:f>IFERROR(I399/H399,"")</x:f>
        <x:v>0.9644162097633521</x:v>
      </x:c>
      <x:c r="L399" s="52" t="n">
        <x:v>150</x:v>
      </x:c>
      <x:c r="M399" s="65" t="n">
        <x:f>IF(H399&lt;=L399,1,0)</x:f>
        <x:v>0</x:v>
      </x:c>
      <x:c r="N399" s="65" t="n">
        <x:f>IF(I399&lt;=L399,1,0)</x:f>
        <x:v>0</x:v>
      </x:c>
      <x:c r="O399" s="51" t="str">
        <x:f>IF(M399=N399,"不变",IF(N399=1,"由禁变允","由允变禁"))</x:f>
        <x:v>不变</x:v>
      </x:c>
      <x:c r="P399" s="51" t="str">
        <x:v>OSRM driving/car</x:v>
      </x:c>
      <x:c r="Q399" s="51" t="str">
        <x:v>2026-08-15</x:v>
      </x:c>
      <x:c r="R399" s="51" t="str">
        <x:v>C-开放路网计算；不是货车/危运合规路线</x:v>
      </x:c>
      <x:c r="S399" s="51" t="str">
        <x:v>https://routing.openstreetmap.de/routed-car/</x:v>
      </x:c>
    </x:row>
    <x:row r="400">
      <x:c r="A400" s="51" t="str">
        <x:v>A0396</x:v>
      </x:c>
      <x:c r="B400" s="51" t="str">
        <x:v>GD19</x:v>
      </x:c>
      <x:c r="C400" s="51" t="str">
        <x:v>source</x:v>
      </x:c>
      <x:c r="D400" s="51" t="str">
        <x:v>潮州</x:v>
      </x:c>
      <x:c r="E400" s="51" t="str">
        <x:v>C18</x:v>
      </x:c>
      <x:c r="F400" s="51" t="str">
        <x:v>collection</x:v>
      </x:c>
      <x:c r="G400" s="51" t="str">
        <x:v>清远虚拟回收/检测中心</x:v>
      </x:c>
      <x:c r="H400" s="52" t="n">
        <x:v>436.26608004764904</x:v>
      </x:c>
      <x:c r="I400" s="52" t="n">
        <x:v>414.7952</x:v>
      </x:c>
      <x:c r="J400" s="52" t="n">
        <x:v>296.29833333333335</x:v>
      </x:c>
      <x:c r="K400" s="52" t="n">
        <x:f>IFERROR(I400/H400,"")</x:f>
        <x:v>0.95078489703966</x:v>
      </x:c>
      <x:c r="L400" s="52" t="n">
        <x:v>150</x:v>
      </x:c>
      <x:c r="M400" s="65" t="n">
        <x:f>IF(H400&lt;=L400,1,0)</x:f>
        <x:v>0</x:v>
      </x:c>
      <x:c r="N400" s="65" t="n">
        <x:f>IF(I400&lt;=L400,1,0)</x:f>
        <x:v>0</x:v>
      </x:c>
      <x:c r="O400" s="51" t="str">
        <x:f>IF(M400=N400,"不变",IF(N400=1,"由禁变允","由允变禁"))</x:f>
        <x:v>不变</x:v>
      </x:c>
      <x:c r="P400" s="51" t="str">
        <x:v>OSRM driving/car</x:v>
      </x:c>
      <x:c r="Q400" s="51" t="str">
        <x:v>2026-08-15</x:v>
      </x:c>
      <x:c r="R400" s="51" t="str">
        <x:v>C-开放路网计算；不是货车/危运合规路线</x:v>
      </x:c>
      <x:c r="S400" s="51" t="str">
        <x:v>https://routing.openstreetmap.de/routed-car/</x:v>
      </x:c>
    </x:row>
    <x:row r="401">
      <x:c r="A401" s="51" t="str">
        <x:v>A0397</x:v>
      </x:c>
      <x:c r="B401" s="51" t="str">
        <x:v>GD19</x:v>
      </x:c>
      <x:c r="C401" s="51" t="str">
        <x:v>source</x:v>
      </x:c>
      <x:c r="D401" s="51" t="str">
        <x:v>潮州</x:v>
      </x:c>
      <x:c r="E401" s="51" t="str">
        <x:v>C19</x:v>
      </x:c>
      <x:c r="F401" s="51" t="str">
        <x:v>collection</x:v>
      </x:c>
      <x:c r="G401" s="51" t="str">
        <x:v>潮州虚拟回收/检测中心</x:v>
      </x:c>
      <x:c r="H401" s="52" t="n">
        <x:v>0.0001139223575592041</x:v>
      </x:c>
      <x:c r="I401" s="52" t="n">
        <x:v>0</x:v>
      </x:c>
      <x:c r="J401" s="52" t="n">
        <x:v>0</x:v>
      </x:c>
      <x:c r="K401" s="52" t="n">
        <x:f>IFERROR(I401/H401,"")</x:f>
        <x:v>0</x:v>
      </x:c>
      <x:c r="L401" s="52" t="n">
        <x:v>150</x:v>
      </x:c>
      <x:c r="M401" s="65" t="n">
        <x:f>IF(H401&lt;=L401,1,0)</x:f>
        <x:v>1</x:v>
      </x:c>
      <x:c r="N401" s="65" t="n">
        <x:f>IF(I401&lt;=L401,1,0)</x:f>
        <x:v>1</x:v>
      </x:c>
      <x:c r="O401" s="51" t="str">
        <x:f>IF(M401=N401,"不变",IF(N401=1,"由禁变允","由允变禁"))</x:f>
        <x:v>不变</x:v>
      </x:c>
      <x:c r="P401" s="51" t="str">
        <x:v>OSRM driving/car</x:v>
      </x:c>
      <x:c r="Q401" s="51" t="str">
        <x:v>2026-08-15</x:v>
      </x:c>
      <x:c r="R401" s="51" t="str">
        <x:v>C-开放路网计算；不是货车/危运合规路线</x:v>
      </x:c>
      <x:c r="S401" s="51" t="str">
        <x:v>https://routing.openstreetmap.de/routed-car/</x:v>
      </x:c>
    </x:row>
    <x:row r="402">
      <x:c r="A402" s="51" t="str">
        <x:v>A0398</x:v>
      </x:c>
      <x:c r="B402" s="51" t="str">
        <x:v>GD19</x:v>
      </x:c>
      <x:c r="C402" s="51" t="str">
        <x:v>source</x:v>
      </x:c>
      <x:c r="D402" s="51" t="str">
        <x:v>潮州</x:v>
      </x:c>
      <x:c r="E402" s="51" t="str">
        <x:v>C20</x:v>
      </x:c>
      <x:c r="F402" s="51" t="str">
        <x:v>collection</x:v>
      </x:c>
      <x:c r="G402" s="51" t="str">
        <x:v>揭阳虚拟回收/检测中心</x:v>
      </x:c>
      <x:c r="H402" s="52" t="n">
        <x:v>33.805077808194795</x:v>
      </x:c>
      <x:c r="I402" s="52" t="n">
        <x:v>30.5228</x:v>
      </x:c>
      <x:c r="J402" s="52" t="n">
        <x:v>23.646666666666665</x:v>
      </x:c>
      <x:c r="K402" s="52" t="n">
        <x:f>IFERROR(I402/H402,"")</x:f>
        <x:v>0.9029057756702122</x:v>
      </x:c>
      <x:c r="L402" s="52" t="n">
        <x:v>150</x:v>
      </x:c>
      <x:c r="M402" s="65" t="n">
        <x:f>IF(H402&lt;=L402,1,0)</x:f>
        <x:v>1</x:v>
      </x:c>
      <x:c r="N402" s="65" t="n">
        <x:f>IF(I402&lt;=L402,1,0)</x:f>
        <x:v>1</x:v>
      </x:c>
      <x:c r="O402" s="51" t="str">
        <x:f>IF(M402=N402,"不变",IF(N402=1,"由禁变允","由允变禁"))</x:f>
        <x:v>不变</x:v>
      </x:c>
      <x:c r="P402" s="51" t="str">
        <x:v>OSRM driving/car</x:v>
      </x:c>
      <x:c r="Q402" s="51" t="str">
        <x:v>2026-08-15</x:v>
      </x:c>
      <x:c r="R402" s="51" t="str">
        <x:v>C-开放路网计算；不是货车/危运合规路线</x:v>
      </x:c>
      <x:c r="S402" s="51" t="str">
        <x:v>https://routing.openstreetmap.de/routed-car/</x:v>
      </x:c>
    </x:row>
    <x:row r="403">
      <x:c r="A403" s="51" t="str">
        <x:v>A0399</x:v>
      </x:c>
      <x:c r="B403" s="51" t="str">
        <x:v>GD19</x:v>
      </x:c>
      <x:c r="C403" s="51" t="str">
        <x:v>source</x:v>
      </x:c>
      <x:c r="D403" s="51" t="str">
        <x:v>潮州</x:v>
      </x:c>
      <x:c r="E403" s="51" t="str">
        <x:v>C21</x:v>
      </x:c>
      <x:c r="F403" s="51" t="str">
        <x:v>collection</x:v>
      </x:c>
      <x:c r="G403" s="51" t="str">
        <x:v>云浮虚拟回收/检测中心</x:v>
      </x:c>
      <x:c r="H403" s="52" t="n">
        <x:v>599.5763727397381</x:v>
      </x:c>
      <x:c r="I403" s="52" t="n">
        <x:v>584.4921999999999</x:v>
      </x:c>
      <x:c r="J403" s="52" t="n">
        <x:v>403.2433333333333</x:v>
      </x:c>
      <x:c r="K403" s="52" t="n">
        <x:f>IFERROR(I403/H403,"")</x:f>
        <x:v>0.9748419493736691</x:v>
      </x:c>
      <x:c r="L403" s="52" t="n">
        <x:v>150</x:v>
      </x:c>
      <x:c r="M403" s="65" t="n">
        <x:f>IF(H403&lt;=L403,1,0)</x:f>
        <x:v>0</x:v>
      </x:c>
      <x:c r="N403" s="65" t="n">
        <x:f>IF(I403&lt;=L403,1,0)</x:f>
        <x:v>0</x:v>
      </x:c>
      <x:c r="O403" s="51" t="str">
        <x:f>IF(M403=N403,"不变",IF(N403=1,"由禁变允","由允变禁"))</x:f>
        <x:v>不变</x:v>
      </x:c>
      <x:c r="P403" s="51" t="str">
        <x:v>OSRM driving/car</x:v>
      </x:c>
      <x:c r="Q403" s="51" t="str">
        <x:v>2026-08-15</x:v>
      </x:c>
      <x:c r="R403" s="51" t="str">
        <x:v>C-开放路网计算；不是货车/危运合规路线</x:v>
      </x:c>
      <x:c r="S403" s="51" t="str">
        <x:v>https://routing.openstreetmap.de/routed-car/</x:v>
      </x:c>
    </x:row>
    <x:row r="404">
      <x:c r="A404" s="51" t="str">
        <x:v>A0400</x:v>
      </x:c>
      <x:c r="B404" s="51" t="str">
        <x:v>GD20</x:v>
      </x:c>
      <x:c r="C404" s="51" t="str">
        <x:v>source</x:v>
      </x:c>
      <x:c r="D404" s="51" t="str">
        <x:v>揭阳</x:v>
      </x:c>
      <x:c r="E404" s="51" t="str">
        <x:v>C01</x:v>
      </x:c>
      <x:c r="F404" s="51" t="str">
        <x:v>collection</x:v>
      </x:c>
      <x:c r="G404" s="51" t="str">
        <x:v>广州虚拟回收/检测中心</x:v>
      </x:c>
      <x:c r="H404" s="52" t="n">
        <x:v>385.08202812819275</x:v>
      </x:c>
      <x:c r="I404" s="52" t="n">
        <x:v>374.5526</x:v>
      </x:c>
      <x:c r="J404" s="52" t="n">
        <x:v>261.9733333333333</x:v>
      </x:c>
      <x:c r="K404" s="52" t="n">
        <x:f>IFERROR(I404/H404,"")</x:f>
        <x:v>0.9726566618043064</x:v>
      </x:c>
      <x:c r="L404" s="52" t="n">
        <x:v>150</x:v>
      </x:c>
      <x:c r="M404" s="65" t="n">
        <x:f>IF(H404&lt;=L404,1,0)</x:f>
        <x:v>0</x:v>
      </x:c>
      <x:c r="N404" s="65" t="n">
        <x:f>IF(I404&lt;=L404,1,0)</x:f>
        <x:v>0</x:v>
      </x:c>
      <x:c r="O404" s="51" t="str">
        <x:f>IF(M404=N404,"不变",IF(N404=1,"由禁变允","由允变禁"))</x:f>
        <x:v>不变</x:v>
      </x:c>
      <x:c r="P404" s="51" t="str">
        <x:v>OSRM driving/car</x:v>
      </x:c>
      <x:c r="Q404" s="51" t="str">
        <x:v>2026-08-15</x:v>
      </x:c>
      <x:c r="R404" s="51" t="str">
        <x:v>C-开放路网计算；不是货车/危运合规路线</x:v>
      </x:c>
      <x:c r="S404" s="51" t="str">
        <x:v>https://routing.openstreetmap.de/routed-car/</x:v>
      </x:c>
    </x:row>
    <x:row r="405">
      <x:c r="A405" s="51" t="str">
        <x:v>A0401</x:v>
      </x:c>
      <x:c r="B405" s="51" t="str">
        <x:v>GD20</x:v>
      </x:c>
      <x:c r="C405" s="51" t="str">
        <x:v>source</x:v>
      </x:c>
      <x:c r="D405" s="51" t="str">
        <x:v>揭阳</x:v>
      </x:c>
      <x:c r="E405" s="51" t="str">
        <x:v>C02</x:v>
      </x:c>
      <x:c r="F405" s="51" t="str">
        <x:v>collection</x:v>
      </x:c>
      <x:c r="G405" s="51" t="str">
        <x:v>深圳虚拟回收/检测中心</x:v>
      </x:c>
      <x:c r="H405" s="52" t="n">
        <x:v>314.31523480563175</x:v>
      </x:c>
      <x:c r="I405" s="52" t="n">
        <x:v>303.0705</x:v>
      </x:c>
      <x:c r="J405" s="52" t="n">
        <x:v>217.465</x:v>
      </x:c>
      <x:c r="K405" s="52" t="n">
        <x:f>IFERROR(I405/H405,"")</x:f>
        <x:v>0.9642246586851403</x:v>
      </x:c>
      <x:c r="L405" s="52" t="n">
        <x:v>150</x:v>
      </x:c>
      <x:c r="M405" s="65" t="n">
        <x:f>IF(H405&lt;=L405,1,0)</x:f>
        <x:v>0</x:v>
      </x:c>
      <x:c r="N405" s="65" t="n">
        <x:f>IF(I405&lt;=L405,1,0)</x:f>
        <x:v>0</x:v>
      </x:c>
      <x:c r="O405" s="51" t="str">
        <x:f>IF(M405=N405,"不变",IF(N405=1,"由禁变允","由允变禁"))</x:f>
        <x:v>不变</x:v>
      </x:c>
      <x:c r="P405" s="51" t="str">
        <x:v>OSRM driving/car</x:v>
      </x:c>
      <x:c r="Q405" s="51" t="str">
        <x:v>2026-08-15</x:v>
      </x:c>
      <x:c r="R405" s="51" t="str">
        <x:v>C-开放路网计算；不是货车/危运合规路线</x:v>
      </x:c>
      <x:c r="S405" s="51" t="str">
        <x:v>https://routing.openstreetmap.de/routed-car/</x:v>
      </x:c>
    </x:row>
    <x:row r="406">
      <x:c r="A406" s="51" t="str">
        <x:v>A0402</x:v>
      </x:c>
      <x:c r="B406" s="51" t="str">
        <x:v>GD20</x:v>
      </x:c>
      <x:c r="C406" s="51" t="str">
        <x:v>source</x:v>
      </x:c>
      <x:c r="D406" s="51" t="str">
        <x:v>揭阳</x:v>
      </x:c>
      <x:c r="E406" s="51" t="str">
        <x:v>C03</x:v>
      </x:c>
      <x:c r="F406" s="51" t="str">
        <x:v>collection</x:v>
      </x:c>
      <x:c r="G406" s="51" t="str">
        <x:v>珠海虚拟回收/检测中心</x:v>
      </x:c>
      <x:c r="H406" s="52" t="n">
        <x:v>383.6871953974436</x:v>
      </x:c>
      <x:c r="I406" s="52" t="n">
        <x:v>414.108</x:v>
      </x:c>
      <x:c r="J406" s="52" t="n">
        <x:v>295.47666666666663</x:v>
      </x:c>
      <x:c r="K406" s="52" t="n">
        <x:f>IFERROR(I406/H406,"")</x:f>
        <x:v>1.0792854308600133</x:v>
      </x:c>
      <x:c r="L406" s="52" t="n">
        <x:v>150</x:v>
      </x:c>
      <x:c r="M406" s="65" t="n">
        <x:f>IF(H406&lt;=L406,1,0)</x:f>
        <x:v>0</x:v>
      </x:c>
      <x:c r="N406" s="65" t="n">
        <x:f>IF(I406&lt;=L406,1,0)</x:f>
        <x:v>0</x:v>
      </x:c>
      <x:c r="O406" s="51" t="str">
        <x:f>IF(M406=N406,"不变",IF(N406=1,"由禁变允","由允变禁"))</x:f>
        <x:v>不变</x:v>
      </x:c>
      <x:c r="P406" s="51" t="str">
        <x:v>OSRM driving/car</x:v>
      </x:c>
      <x:c r="Q406" s="51" t="str">
        <x:v>2026-08-15</x:v>
      </x:c>
      <x:c r="R406" s="51" t="str">
        <x:v>C-开放路网计算；不是货车/危运合规路线</x:v>
      </x:c>
      <x:c r="S406" s="51" t="str">
        <x:v>https://routing.openstreetmap.de/routed-car/</x:v>
      </x:c>
    </x:row>
    <x:row r="407">
      <x:c r="A407" s="51" t="str">
        <x:v>A0403</x:v>
      </x:c>
      <x:c r="B407" s="51" t="str">
        <x:v>GD20</x:v>
      </x:c>
      <x:c r="C407" s="51" t="str">
        <x:v>source</x:v>
      </x:c>
      <x:c r="D407" s="51" t="str">
        <x:v>揭阳</x:v>
      </x:c>
      <x:c r="E407" s="51" t="str">
        <x:v>C04</x:v>
      </x:c>
      <x:c r="F407" s="51" t="str">
        <x:v>collection</x:v>
      </x:c>
      <x:c r="G407" s="51" t="str">
        <x:v>汕头虚拟回收/检测中心</x:v>
      </x:c>
      <x:c r="H407" s="52" t="n">
        <x:v>46.098821191901905</x:v>
      </x:c>
      <x:c r="I407" s="52" t="n">
        <x:v>46.2965</x:v>
      </x:c>
      <x:c r="J407" s="52" t="n">
        <x:v>37.35</x:v>
      </x:c>
      <x:c r="K407" s="52" t="n">
        <x:f>IFERROR(I407/H407,"")</x:f>
        <x:v>1.0042881532105818</x:v>
      </x:c>
      <x:c r="L407" s="52" t="n">
        <x:v>150</x:v>
      </x:c>
      <x:c r="M407" s="65" t="n">
        <x:f>IF(H407&lt;=L407,1,0)</x:f>
        <x:v>1</x:v>
      </x:c>
      <x:c r="N407" s="65" t="n">
        <x:f>IF(I407&lt;=L407,1,0)</x:f>
        <x:v>1</x:v>
      </x:c>
      <x:c r="O407" s="51" t="str">
        <x:f>IF(M407=N407,"不变",IF(N407=1,"由禁变允","由允变禁"))</x:f>
        <x:v>不变</x:v>
      </x:c>
      <x:c r="P407" s="51" t="str">
        <x:v>OSRM driving/car</x:v>
      </x:c>
      <x:c r="Q407" s="51" t="str">
        <x:v>2026-08-15</x:v>
      </x:c>
      <x:c r="R407" s="51" t="str">
        <x:v>C-开放路网计算；不是货车/危运合规路线</x:v>
      </x:c>
      <x:c r="S407" s="51" t="str">
        <x:v>https://routing.openstreetmap.de/routed-car/</x:v>
      </x:c>
    </x:row>
    <x:row r="408">
      <x:c r="A408" s="51" t="str">
        <x:v>A0404</x:v>
      </x:c>
      <x:c r="B408" s="51" t="str">
        <x:v>GD20</x:v>
      </x:c>
      <x:c r="C408" s="51" t="str">
        <x:v>source</x:v>
      </x:c>
      <x:c r="D408" s="51" t="str">
        <x:v>揭阳</x:v>
      </x:c>
      <x:c r="E408" s="51" t="str">
        <x:v>C05</x:v>
      </x:c>
      <x:c r="F408" s="51" t="str">
        <x:v>collection</x:v>
      </x:c>
      <x:c r="G408" s="51" t="str">
        <x:v>佛山虚拟回收/检测中心</x:v>
      </x:c>
      <x:c r="H408" s="52" t="n">
        <x:v>404.77843839887186</x:v>
      </x:c>
      <x:c r="I408" s="52" t="n">
        <x:v>400.417</x:v>
      </x:c>
      <x:c r="J408" s="52" t="n">
        <x:v>280.32</x:v>
      </x:c>
      <x:c r="K408" s="52" t="n">
        <x:f>IFERROR(I408/H408,"")</x:f>
        <x:v>0.9892251217329563</x:v>
      </x:c>
      <x:c r="L408" s="52" t="n">
        <x:v>150</x:v>
      </x:c>
      <x:c r="M408" s="65" t="n">
        <x:f>IF(H408&lt;=L408,1,0)</x:f>
        <x:v>0</x:v>
      </x:c>
      <x:c r="N408" s="65" t="n">
        <x:f>IF(I408&lt;=L408,1,0)</x:f>
        <x:v>0</x:v>
      </x:c>
      <x:c r="O408" s="51" t="str">
        <x:f>IF(M408=N408,"不变",IF(N408=1,"由禁变允","由允变禁"))</x:f>
        <x:v>不变</x:v>
      </x:c>
      <x:c r="P408" s="51" t="str">
        <x:v>OSRM driving/car</x:v>
      </x:c>
      <x:c r="Q408" s="51" t="str">
        <x:v>2026-08-15</x:v>
      </x:c>
      <x:c r="R408" s="51" t="str">
        <x:v>C-开放路网计算；不是货车/危运合规路线</x:v>
      </x:c>
      <x:c r="S408" s="51" t="str">
        <x:v>https://routing.openstreetmap.de/routed-car/</x:v>
      </x:c>
    </x:row>
    <x:row r="409">
      <x:c r="A409" s="51" t="str">
        <x:v>A0405</x:v>
      </x:c>
      <x:c r="B409" s="51" t="str">
        <x:v>GD20</x:v>
      </x:c>
      <x:c r="C409" s="51" t="str">
        <x:v>source</x:v>
      </x:c>
      <x:c r="D409" s="51" t="str">
        <x:v>揭阳</x:v>
      </x:c>
      <x:c r="E409" s="51" t="str">
        <x:v>C06</x:v>
      </x:c>
      <x:c r="F409" s="51" t="str">
        <x:v>collection</x:v>
      </x:c>
      <x:c r="G409" s="51" t="str">
        <x:v>韶关虚拟回收/检测中心</x:v>
      </x:c>
      <x:c r="H409" s="52" t="n">
        <x:v>354.3772228511982</x:v>
      </x:c>
      <x:c r="I409" s="52" t="n">
        <x:v>390.4708</x:v>
      </x:c>
      <x:c r="J409" s="52" t="n">
        <x:v>291.2183333333333</x:v>
      </x:c>
      <x:c r="K409" s="52" t="n">
        <x:f>IFERROR(I409/H409,"")</x:f>
        <x:v>1.1018507252198806</x:v>
      </x:c>
      <x:c r="L409" s="52" t="n">
        <x:v>150</x:v>
      </x:c>
      <x:c r="M409" s="65" t="n">
        <x:f>IF(H409&lt;=L409,1,0)</x:f>
        <x:v>0</x:v>
      </x:c>
      <x:c r="N409" s="65" t="n">
        <x:f>IF(I409&lt;=L409,1,0)</x:f>
        <x:v>0</x:v>
      </x:c>
      <x:c r="O409" s="51" t="str">
        <x:f>IF(M409=N409,"不变",IF(N409=1,"由禁变允","由允变禁"))</x:f>
        <x:v>不变</x:v>
      </x:c>
      <x:c r="P409" s="51" t="str">
        <x:v>OSRM driving/car</x:v>
      </x:c>
      <x:c r="Q409" s="51" t="str">
        <x:v>2026-08-15</x:v>
      </x:c>
      <x:c r="R409" s="51" t="str">
        <x:v>C-开放路网计算；不是货车/危运合规路线</x:v>
      </x:c>
      <x:c r="S409" s="51" t="str">
        <x:v>https://routing.openstreetmap.de/routed-car/</x:v>
      </x:c>
    </x:row>
    <x:row r="410">
      <x:c r="A410" s="51" t="str">
        <x:v>A0406</x:v>
      </x:c>
      <x:c r="B410" s="51" t="str">
        <x:v>GD20</x:v>
      </x:c>
      <x:c r="C410" s="51" t="str">
        <x:v>source</x:v>
      </x:c>
      <x:c r="D410" s="51" t="str">
        <x:v>揭阳</x:v>
      </x:c>
      <x:c r="E410" s="51" t="str">
        <x:v>C07</x:v>
      </x:c>
      <x:c r="F410" s="51" t="str">
        <x:v>collection</x:v>
      </x:c>
      <x:c r="G410" s="51" t="str">
        <x:v>河源虚拟回收/检测中心</x:v>
      </x:c>
      <x:c r="H410" s="52" t="n">
        <x:v>175.87360917758068</x:v>
      </x:c>
      <x:c r="I410" s="52" t="n">
        <x:v>191.8751</x:v>
      </x:c>
      <x:c r="J410" s="52" t="n">
        <x:v>154.52333333333334</x:v>
      </x:c>
      <x:c r="K410" s="52" t="n">
        <x:f>IFERROR(I410/H410,"")</x:f>
        <x:v>1.090982899010519</x:v>
      </x:c>
      <x:c r="L410" s="52" t="n">
        <x:v>150</x:v>
      </x:c>
      <x:c r="M410" s="65" t="n">
        <x:f>IF(H410&lt;=L410,1,0)</x:f>
        <x:v>0</x:v>
      </x:c>
      <x:c r="N410" s="65" t="n">
        <x:f>IF(I410&lt;=L410,1,0)</x:f>
        <x:v>0</x:v>
      </x:c>
      <x:c r="O410" s="51" t="str">
        <x:f>IF(M410=N410,"不变",IF(N410=1,"由禁变允","由允变禁"))</x:f>
        <x:v>不变</x:v>
      </x:c>
      <x:c r="P410" s="51" t="str">
        <x:v>OSRM driving/car</x:v>
      </x:c>
      <x:c r="Q410" s="51" t="str">
        <x:v>2026-08-15</x:v>
      </x:c>
      <x:c r="R410" s="51" t="str">
        <x:v>C-开放路网计算；不是货车/危运合规路线</x:v>
      </x:c>
      <x:c r="S410" s="51" t="str">
        <x:v>https://routing.openstreetmap.de/routed-car/</x:v>
      </x:c>
    </x:row>
    <x:row r="411">
      <x:c r="A411" s="51" t="str">
        <x:v>A0407</x:v>
      </x:c>
      <x:c r="B411" s="51" t="str">
        <x:v>GD20</x:v>
      </x:c>
      <x:c r="C411" s="51" t="str">
        <x:v>source</x:v>
      </x:c>
      <x:c r="D411" s="51" t="str">
        <x:v>揭阳</x:v>
      </x:c>
      <x:c r="E411" s="51" t="str">
        <x:v>C08</x:v>
      </x:c>
      <x:c r="F411" s="51" t="str">
        <x:v>collection</x:v>
      </x:c>
      <x:c r="G411" s="51" t="str">
        <x:v>梅州虚拟回收/检测中心</x:v>
      </x:c>
      <x:c r="H411" s="52" t="n">
        <x:v>103.20676285733127</x:v>
      </x:c>
      <x:c r="I411" s="52" t="n">
        <x:v>111.6665</x:v>
      </x:c>
      <x:c r="J411" s="52" t="n">
        <x:v>81.44833333333332</x:v>
      </x:c>
      <x:c r="K411" s="52" t="n">
        <x:f>IFERROR(I411/H411,"")</x:f>
        <x:v>1.0819688255736024</x:v>
      </x:c>
      <x:c r="L411" s="52" t="n">
        <x:v>150</x:v>
      </x:c>
      <x:c r="M411" s="65" t="n">
        <x:f>IF(H411&lt;=L411,1,0)</x:f>
        <x:v>1</x:v>
      </x:c>
      <x:c r="N411" s="65" t="n">
        <x:f>IF(I411&lt;=L411,1,0)</x:f>
        <x:v>1</x:v>
      </x:c>
      <x:c r="O411" s="51" t="str">
        <x:f>IF(M411=N411,"不变",IF(N411=1,"由禁变允","由允变禁"))</x:f>
        <x:v>不变</x:v>
      </x:c>
      <x:c r="P411" s="51" t="str">
        <x:v>OSRM driving/car</x:v>
      </x:c>
      <x:c r="Q411" s="51" t="str">
        <x:v>2026-08-15</x:v>
      </x:c>
      <x:c r="R411" s="51" t="str">
        <x:v>C-开放路网计算；不是货车/危运合规路线</x:v>
      </x:c>
      <x:c r="S411" s="51" t="str">
        <x:v>https://routing.openstreetmap.de/routed-car/</x:v>
      </x:c>
    </x:row>
    <x:row r="412">
      <x:c r="A412" s="51" t="str">
        <x:v>A0408</x:v>
      </x:c>
      <x:c r="B412" s="51" t="str">
        <x:v>GD20</x:v>
      </x:c>
      <x:c r="C412" s="51" t="str">
        <x:v>source</x:v>
      </x:c>
      <x:c r="D412" s="51" t="str">
        <x:v>揭阳</x:v>
      </x:c>
      <x:c r="E412" s="51" t="str">
        <x:v>C09</x:v>
      </x:c>
      <x:c r="F412" s="51" t="str">
        <x:v>collection</x:v>
      </x:c>
      <x:c r="G412" s="51" t="str">
        <x:v>惠州虚拟回收/检测中心</x:v>
      </x:c>
      <x:c r="H412" s="52" t="n">
        <x:v>246.6776550795714</x:v>
      </x:c>
      <x:c r="I412" s="52" t="n">
        <x:v>246.99110000000002</x:v>
      </x:c>
      <x:c r="J412" s="52" t="n">
        <x:v>181.99833333333333</x:v>
      </x:c>
      <x:c r="K412" s="52" t="n">
        <x:f>IFERROR(I412/H412,"")</x:f>
        <x:v>1.0012706660452384</x:v>
      </x:c>
      <x:c r="L412" s="52" t="n">
        <x:v>150</x:v>
      </x:c>
      <x:c r="M412" s="65" t="n">
        <x:f>IF(H412&lt;=L412,1,0)</x:f>
        <x:v>0</x:v>
      </x:c>
      <x:c r="N412" s="65" t="n">
        <x:f>IF(I412&lt;=L412,1,0)</x:f>
        <x:v>0</x:v>
      </x:c>
      <x:c r="O412" s="51" t="str">
        <x:f>IF(M412=N412,"不变",IF(N412=1,"由禁变允","由允变禁"))</x:f>
        <x:v>不变</x:v>
      </x:c>
      <x:c r="P412" s="51" t="str">
        <x:v>OSRM driving/car</x:v>
      </x:c>
      <x:c r="Q412" s="51" t="str">
        <x:v>2026-08-15</x:v>
      </x:c>
      <x:c r="R412" s="51" t="str">
        <x:v>C-开放路网计算；不是货车/危运合规路线</x:v>
      </x:c>
      <x:c r="S412" s="51" t="str">
        <x:v>https://routing.openstreetmap.de/routed-car/</x:v>
      </x:c>
    </x:row>
    <x:row r="413">
      <x:c r="A413" s="51" t="str">
        <x:v>A0409</x:v>
      </x:c>
      <x:c r="B413" s="51" t="str">
        <x:v>GD20</x:v>
      </x:c>
      <x:c r="C413" s="51" t="str">
        <x:v>source</x:v>
      </x:c>
      <x:c r="D413" s="51" t="str">
        <x:v>揭阳</x:v>
      </x:c>
      <x:c r="E413" s="51" t="str">
        <x:v>C10</x:v>
      </x:c>
      <x:c r="F413" s="51" t="str">
        <x:v>collection</x:v>
      </x:c>
      <x:c r="G413" s="51" t="str">
        <x:v>汕尾虚拟回收/检测中心</x:v>
      </x:c>
      <x:c r="H413" s="52" t="n">
        <x:v>127.54320301757497</x:v>
      </x:c>
      <x:c r="I413" s="52" t="n">
        <x:v>141.7516</x:v>
      </x:c>
      <x:c r="J413" s="52" t="n">
        <x:v>119.315</x:v>
      </x:c>
      <x:c r="K413" s="52" t="n">
        <x:f>IFERROR(I413/H413,"")</x:f>
        <x:v>1.1114006599039792</x:v>
      </x:c>
      <x:c r="L413" s="52" t="n">
        <x:v>150</x:v>
      </x:c>
      <x:c r="M413" s="65" t="n">
        <x:f>IF(H413&lt;=L413,1,0)</x:f>
        <x:v>1</x:v>
      </x:c>
      <x:c r="N413" s="65" t="n">
        <x:f>IF(I413&lt;=L413,1,0)</x:f>
        <x:v>1</x:v>
      </x:c>
      <x:c r="O413" s="51" t="str">
        <x:f>IF(M413=N413,"不变",IF(N413=1,"由禁变允","由允变禁"))</x:f>
        <x:v>不变</x:v>
      </x:c>
      <x:c r="P413" s="51" t="str">
        <x:v>OSRM driving/car</x:v>
      </x:c>
      <x:c r="Q413" s="51" t="str">
        <x:v>2026-08-15</x:v>
      </x:c>
      <x:c r="R413" s="51" t="str">
        <x:v>C-开放路网计算；不是货车/危运合规路线</x:v>
      </x:c>
      <x:c r="S413" s="51" t="str">
        <x:v>https://routing.openstreetmap.de/routed-car/</x:v>
      </x:c>
    </x:row>
    <x:row r="414">
      <x:c r="A414" s="51" t="str">
        <x:v>A0410</x:v>
      </x:c>
      <x:c r="B414" s="51" t="str">
        <x:v>GD20</x:v>
      </x:c>
      <x:c r="C414" s="51" t="str">
        <x:v>source</x:v>
      </x:c>
      <x:c r="D414" s="51" t="str">
        <x:v>揭阳</x:v>
      </x:c>
      <x:c r="E414" s="51" t="str">
        <x:v>C11</x:v>
      </x:c>
      <x:c r="F414" s="51" t="str">
        <x:v>collection</x:v>
      </x:c>
      <x:c r="G414" s="51" t="str">
        <x:v>东莞虚拟回收/检测中心</x:v>
      </x:c>
      <x:c r="H414" s="52" t="n">
        <x:v>329.2829682634781</x:v>
      </x:c>
      <x:c r="I414" s="52" t="n">
        <x:v>322.6563</x:v>
      </x:c>
      <x:c r="J414" s="52" t="n">
        <x:v>224.655</x:v>
      </x:c>
      <x:c r="K414" s="52" t="n">
        <x:f>IFERROR(I414/H414,"")</x:f>
        <x:v>0.9798754600080751</x:v>
      </x:c>
      <x:c r="L414" s="52" t="n">
        <x:v>150</x:v>
      </x:c>
      <x:c r="M414" s="65" t="n">
        <x:f>IF(H414&lt;=L414,1,0)</x:f>
        <x:v>0</x:v>
      </x:c>
      <x:c r="N414" s="65" t="n">
        <x:f>IF(I414&lt;=L414,1,0)</x:f>
        <x:v>0</x:v>
      </x:c>
      <x:c r="O414" s="51" t="str">
        <x:f>IF(M414=N414,"不变",IF(N414=1,"由禁变允","由允变禁"))</x:f>
        <x:v>不变</x:v>
      </x:c>
      <x:c r="P414" s="51" t="str">
        <x:v>OSRM driving/car</x:v>
      </x:c>
      <x:c r="Q414" s="51" t="str">
        <x:v>2026-08-15</x:v>
      </x:c>
      <x:c r="R414" s="51" t="str">
        <x:v>C-开放路网计算；不是货车/危运合规路线</x:v>
      </x:c>
      <x:c r="S414" s="51" t="str">
        <x:v>https://routing.openstreetmap.de/routed-car/</x:v>
      </x:c>
    </x:row>
    <x:row r="415">
      <x:c r="A415" s="51" t="str">
        <x:v>A0411</x:v>
      </x:c>
      <x:c r="B415" s="51" t="str">
        <x:v>GD20</x:v>
      </x:c>
      <x:c r="C415" s="51" t="str">
        <x:v>source</x:v>
      </x:c>
      <x:c r="D415" s="51" t="str">
        <x:v>揭阳</x:v>
      </x:c>
      <x:c r="E415" s="51" t="str">
        <x:v>C12</x:v>
      </x:c>
      <x:c r="F415" s="51" t="str">
        <x:v>collection</x:v>
      </x:c>
      <x:c r="G415" s="51" t="str">
        <x:v>中山虚拟回收/检测中心</x:v>
      </x:c>
      <x:c r="H415" s="52" t="n">
        <x:v>391.1244551256192</x:v>
      </x:c>
      <x:c r="I415" s="52" t="n">
        <x:v>380.4606</x:v>
      </x:c>
      <x:c r="J415" s="52" t="n">
        <x:v>271.64500000000004</x:v>
      </x:c>
      <x:c r="K415" s="52" t="n">
        <x:f>IFERROR(I415/H415,"")</x:f>
        <x:v>0.9727353915464216</x:v>
      </x:c>
      <x:c r="L415" s="52" t="n">
        <x:v>150</x:v>
      </x:c>
      <x:c r="M415" s="65" t="n">
        <x:f>IF(H415&lt;=L415,1,0)</x:f>
        <x:v>0</x:v>
      </x:c>
      <x:c r="N415" s="65" t="n">
        <x:f>IF(I415&lt;=L415,1,0)</x:f>
        <x:v>0</x:v>
      </x:c>
      <x:c r="O415" s="51" t="str">
        <x:f>IF(M415=N415,"不变",IF(N415=1,"由禁变允","由允变禁"))</x:f>
        <x:v>不变</x:v>
      </x:c>
      <x:c r="P415" s="51" t="str">
        <x:v>OSRM driving/car</x:v>
      </x:c>
      <x:c r="Q415" s="51" t="str">
        <x:v>2026-08-15</x:v>
      </x:c>
      <x:c r="R415" s="51" t="str">
        <x:v>C-开放路网计算；不是货车/危运合规路线</x:v>
      </x:c>
      <x:c r="S415" s="51" t="str">
        <x:v>https://routing.openstreetmap.de/routed-car/</x:v>
      </x:c>
    </x:row>
    <x:row r="416">
      <x:c r="A416" s="51" t="str">
        <x:v>A0412</x:v>
      </x:c>
      <x:c r="B416" s="51" t="str">
        <x:v>GD20</x:v>
      </x:c>
      <x:c r="C416" s="51" t="str">
        <x:v>source</x:v>
      </x:c>
      <x:c r="D416" s="51" t="str">
        <x:v>揭阳</x:v>
      </x:c>
      <x:c r="E416" s="51" t="str">
        <x:v>C13</x:v>
      </x:c>
      <x:c r="F416" s="51" t="str">
        <x:v>collection</x:v>
      </x:c>
      <x:c r="G416" s="51" t="str">
        <x:v>江门虚拟回收/检测中心</x:v>
      </x:c>
      <x:c r="H416" s="52" t="n">
        <x:v>424.40000183942857</x:v>
      </x:c>
      <x:c r="I416" s="52" t="n">
        <x:v>413.579</x:v>
      </x:c>
      <x:c r="J416" s="52" t="n">
        <x:v>294.205</x:v>
      </x:c>
      <x:c r="K416" s="52" t="n">
        <x:f>IFERROR(I416/H416,"")</x:f>
        <x:v>0.9745028232975299</x:v>
      </x:c>
      <x:c r="L416" s="52" t="n">
        <x:v>150</x:v>
      </x:c>
      <x:c r="M416" s="65" t="n">
        <x:f>IF(H416&lt;=L416,1,0)</x:f>
        <x:v>0</x:v>
      </x:c>
      <x:c r="N416" s="65" t="n">
        <x:f>IF(I416&lt;=L416,1,0)</x:f>
        <x:v>0</x:v>
      </x:c>
      <x:c r="O416" s="51" t="str">
        <x:f>IF(M416=N416,"不变",IF(N416=1,"由禁变允","由允变禁"))</x:f>
        <x:v>不变</x:v>
      </x:c>
      <x:c r="P416" s="51" t="str">
        <x:v>OSRM driving/car</x:v>
      </x:c>
      <x:c r="Q416" s="51" t="str">
        <x:v>2026-08-15</x:v>
      </x:c>
      <x:c r="R416" s="51" t="str">
        <x:v>C-开放路网计算；不是货车/危运合规路线</x:v>
      </x:c>
      <x:c r="S416" s="51" t="str">
        <x:v>https://routing.openstreetmap.de/routed-car/</x:v>
      </x:c>
    </x:row>
    <x:row r="417">
      <x:c r="A417" s="51" t="str">
        <x:v>A0413</x:v>
      </x:c>
      <x:c r="B417" s="51" t="str">
        <x:v>GD20</x:v>
      </x:c>
      <x:c r="C417" s="51" t="str">
        <x:v>source</x:v>
      </x:c>
      <x:c r="D417" s="51" t="str">
        <x:v>揭阳</x:v>
      </x:c>
      <x:c r="E417" s="51" t="str">
        <x:v>C14</x:v>
      </x:c>
      <x:c r="F417" s="51" t="str">
        <x:v>collection</x:v>
      </x:c>
      <x:c r="G417" s="51" t="str">
        <x:v>阳江虚拟回收/检测中心</x:v>
      </x:c>
      <x:c r="H417" s="52" t="n">
        <x:v>596.4217203202264</x:v>
      </x:c>
      <x:c r="I417" s="52" t="n">
        <x:v>600.7644</x:v>
      </x:c>
      <x:c r="J417" s="52" t="n">
        <x:v>406.29</x:v>
      </x:c>
      <x:c r="K417" s="52" t="n">
        <x:f>IFERROR(I417/H417,"")</x:f>
        <x:v>1.0072812232214514</x:v>
      </x:c>
      <x:c r="L417" s="52" t="n">
        <x:v>150</x:v>
      </x:c>
      <x:c r="M417" s="65" t="n">
        <x:f>IF(H417&lt;=L417,1,0)</x:f>
        <x:v>0</x:v>
      </x:c>
      <x:c r="N417" s="65" t="n">
        <x:f>IF(I417&lt;=L417,1,0)</x:f>
        <x:v>0</x:v>
      </x:c>
      <x:c r="O417" s="51" t="str">
        <x:f>IF(M417=N417,"不变",IF(N417=1,"由禁变允","由允变禁"))</x:f>
        <x:v>不变</x:v>
      </x:c>
      <x:c r="P417" s="51" t="str">
        <x:v>OSRM driving/car</x:v>
      </x:c>
      <x:c r="Q417" s="51" t="str">
        <x:v>2026-08-15</x:v>
      </x:c>
      <x:c r="R417" s="51" t="str">
        <x:v>C-开放路网计算；不是货车/危运合规路线</x:v>
      </x:c>
      <x:c r="S417" s="51" t="str">
        <x:v>https://routing.openstreetmap.de/routed-car/</x:v>
      </x:c>
    </x:row>
    <x:row r="418">
      <x:c r="A418" s="51" t="str">
        <x:v>A0414</x:v>
      </x:c>
      <x:c r="B418" s="51" t="str">
        <x:v>GD20</x:v>
      </x:c>
      <x:c r="C418" s="51" t="str">
        <x:v>source</x:v>
      </x:c>
      <x:c r="D418" s="51" t="str">
        <x:v>揭阳</x:v>
      </x:c>
      <x:c r="E418" s="51" t="str">
        <x:v>C15</x:v>
      </x:c>
      <x:c r="F418" s="51" t="str">
        <x:v>collection</x:v>
      </x:c>
      <x:c r="G418" s="51" t="str">
        <x:v>湛江虚拟回收/检测中心</x:v>
      </x:c>
      <x:c r="H418" s="52" t="n">
        <x:v>801.5756313567111</x:v>
      </x:c>
      <x:c r="I418" s="52" t="n">
        <x:v>765.1558</x:v>
      </x:c>
      <x:c r="J418" s="52" t="n">
        <x:v>515.9716666666667</x:v>
      </x:c>
      <x:c r="K418" s="52" t="n">
        <x:f>IFERROR(I418/H418,"")</x:f>
        <x:v>0.9545646974134324</x:v>
      </x:c>
      <x:c r="L418" s="52" t="n">
        <x:v>150</x:v>
      </x:c>
      <x:c r="M418" s="65" t="n">
        <x:f>IF(H418&lt;=L418,1,0)</x:f>
        <x:v>0</x:v>
      </x:c>
      <x:c r="N418" s="65" t="n">
        <x:f>IF(I418&lt;=L418,1,0)</x:f>
        <x:v>0</x:v>
      </x:c>
      <x:c r="O418" s="51" t="str">
        <x:f>IF(M418=N418,"不变",IF(N418=1,"由禁变允","由允变禁"))</x:f>
        <x:v>不变</x:v>
      </x:c>
      <x:c r="P418" s="51" t="str">
        <x:v>OSRM driving/car</x:v>
      </x:c>
      <x:c r="Q418" s="51" t="str">
        <x:v>2026-08-15</x:v>
      </x:c>
      <x:c r="R418" s="51" t="str">
        <x:v>C-开放路网计算；不是货车/危运合规路线</x:v>
      </x:c>
      <x:c r="S418" s="51" t="str">
        <x:v>https://routing.openstreetmap.de/routed-car/</x:v>
      </x:c>
    </x:row>
    <x:row r="419">
      <x:c r="A419" s="51" t="str">
        <x:v>A0415</x:v>
      </x:c>
      <x:c r="B419" s="51" t="str">
        <x:v>GD20</x:v>
      </x:c>
      <x:c r="C419" s="51" t="str">
        <x:v>source</x:v>
      </x:c>
      <x:c r="D419" s="51" t="str">
        <x:v>揭阳</x:v>
      </x:c>
      <x:c r="E419" s="51" t="str">
        <x:v>C16</x:v>
      </x:c>
      <x:c r="F419" s="51" t="str">
        <x:v>collection</x:v>
      </x:c>
      <x:c r="G419" s="51" t="str">
        <x:v>茂名虚拟回收/检测中心</x:v>
      </x:c>
      <x:c r="H419" s="52" t="n">
        <x:v>716.5986854516393</x:v>
      </x:c>
      <x:c r="I419" s="52" t="n">
        <x:v>684.4064000000001</x:v>
      </x:c>
      <x:c r="J419" s="52" t="n">
        <x:v>464.88666666666666</x:v>
      </x:c>
      <x:c r="K419" s="52" t="n">
        <x:f>IFERROR(I419/H419,"")</x:f>
        <x:v>0.9550762705748617</x:v>
      </x:c>
      <x:c r="L419" s="52" t="n">
        <x:v>150</x:v>
      </x:c>
      <x:c r="M419" s="65" t="n">
        <x:f>IF(H419&lt;=L419,1,0)</x:f>
        <x:v>0</x:v>
      </x:c>
      <x:c r="N419" s="65" t="n">
        <x:f>IF(I419&lt;=L419,1,0)</x:f>
        <x:v>0</x:v>
      </x:c>
      <x:c r="O419" s="51" t="str">
        <x:f>IF(M419=N419,"不变",IF(N419=1,"由禁变允","由允变禁"))</x:f>
        <x:v>不变</x:v>
      </x:c>
      <x:c r="P419" s="51" t="str">
        <x:v>OSRM driving/car</x:v>
      </x:c>
      <x:c r="Q419" s="51" t="str">
        <x:v>2026-08-15</x:v>
      </x:c>
      <x:c r="R419" s="51" t="str">
        <x:v>C-开放路网计算；不是货车/危运合规路线</x:v>
      </x:c>
      <x:c r="S419" s="51" t="str">
        <x:v>https://routing.openstreetmap.de/routed-car/</x:v>
      </x:c>
    </x:row>
    <x:row r="420">
      <x:c r="A420" s="51" t="str">
        <x:v>A0416</x:v>
      </x:c>
      <x:c r="B420" s="51" t="str">
        <x:v>GD20</x:v>
      </x:c>
      <x:c r="C420" s="51" t="str">
        <x:v>source</x:v>
      </x:c>
      <x:c r="D420" s="51" t="str">
        <x:v>揭阳</x:v>
      </x:c>
      <x:c r="E420" s="51" t="str">
        <x:v>C17</x:v>
      </x:c>
      <x:c r="F420" s="51" t="str">
        <x:v>collection</x:v>
      </x:c>
      <x:c r="G420" s="51" t="str">
        <x:v>肇庆虚拟回收/检测中心</x:v>
      </x:c>
      <x:c r="H420" s="52" t="n">
        <x:v>483.5501987128742</x:v>
      </x:c>
      <x:c r="I420" s="52" t="n">
        <x:v>469.78659999999996</x:v>
      </x:c>
      <x:c r="J420" s="52" t="n">
        <x:v>330.7366666666667</x:v>
      </x:c>
      <x:c r="K420" s="52" t="n">
        <x:f>IFERROR(I420/H420,"")</x:f>
        <x:v>0.9715363601348722</x:v>
      </x:c>
      <x:c r="L420" s="52" t="n">
        <x:v>150</x:v>
      </x:c>
      <x:c r="M420" s="65" t="n">
        <x:f>IF(H420&lt;=L420,1,0)</x:f>
        <x:v>0</x:v>
      </x:c>
      <x:c r="N420" s="65" t="n">
        <x:f>IF(I420&lt;=L420,1,0)</x:f>
        <x:v>0</x:v>
      </x:c>
      <x:c r="O420" s="51" t="str">
        <x:f>IF(M420=N420,"不变",IF(N420=1,"由禁变允","由允变禁"))</x:f>
        <x:v>不变</x:v>
      </x:c>
      <x:c r="P420" s="51" t="str">
        <x:v>OSRM driving/car</x:v>
      </x:c>
      <x:c r="Q420" s="51" t="str">
        <x:v>2026-08-15</x:v>
      </x:c>
      <x:c r="R420" s="51" t="str">
        <x:v>C-开放路网计算；不是货车/危运合规路线</x:v>
      </x:c>
      <x:c r="S420" s="51" t="str">
        <x:v>https://routing.openstreetmap.de/routed-car/</x:v>
      </x:c>
    </x:row>
    <x:row r="421">
      <x:c r="A421" s="51" t="str">
        <x:v>A0417</x:v>
      </x:c>
      <x:c r="B421" s="51" t="str">
        <x:v>GD20</x:v>
      </x:c>
      <x:c r="C421" s="51" t="str">
        <x:v>source</x:v>
      </x:c>
      <x:c r="D421" s="51" t="str">
        <x:v>揭阳</x:v>
      </x:c>
      <x:c r="E421" s="51" t="str">
        <x:v>C18</x:v>
      </x:c>
      <x:c r="F421" s="51" t="str">
        <x:v>collection</x:v>
      </x:c>
      <x:c r="G421" s="51" t="str">
        <x:v>清远虚拟回收/检测中心</x:v>
      </x:c>
      <x:c r="H421" s="52" t="n">
        <x:v>405.9416860213948</x:v>
      </x:c>
      <x:c r="I421" s="52" t="n">
        <x:v>386.96090000000004</x:v>
      </x:c>
      <x:c r="J421" s="52" t="n">
        <x:v>277.9683333333333</x:v>
      </x:c>
      <x:c r="K421" s="52" t="n">
        <x:f>IFERROR(I421/H421,"")</x:f>
        <x:v>0.953242579722659</x:v>
      </x:c>
      <x:c r="L421" s="52" t="n">
        <x:v>150</x:v>
      </x:c>
      <x:c r="M421" s="65" t="n">
        <x:f>IF(H421&lt;=L421,1,0)</x:f>
        <x:v>0</x:v>
      </x:c>
      <x:c r="N421" s="65" t="n">
        <x:f>IF(I421&lt;=L421,1,0)</x:f>
        <x:v>0</x:v>
      </x:c>
      <x:c r="O421" s="51" t="str">
        <x:f>IF(M421=N421,"不变",IF(N421=1,"由禁变允","由允变禁"))</x:f>
        <x:v>不变</x:v>
      </x:c>
      <x:c r="P421" s="51" t="str">
        <x:v>OSRM driving/car</x:v>
      </x:c>
      <x:c r="Q421" s="51" t="str">
        <x:v>2026-08-15</x:v>
      </x:c>
      <x:c r="R421" s="51" t="str">
        <x:v>C-开放路网计算；不是货车/危运合规路线</x:v>
      </x:c>
      <x:c r="S421" s="51" t="str">
        <x:v>https://routing.openstreetmap.de/routed-car/</x:v>
      </x:c>
    </x:row>
    <x:row r="422">
      <x:c r="A422" s="51" t="str">
        <x:v>A0418</x:v>
      </x:c>
      <x:c r="B422" s="51" t="str">
        <x:v>GD20</x:v>
      </x:c>
      <x:c r="C422" s="51" t="str">
        <x:v>source</x:v>
      </x:c>
      <x:c r="D422" s="51" t="str">
        <x:v>揭阳</x:v>
      </x:c>
      <x:c r="E422" s="51" t="str">
        <x:v>C19</x:v>
      </x:c>
      <x:c r="F422" s="51" t="str">
        <x:v>collection</x:v>
      </x:c>
      <x:c r="G422" s="51" t="str">
        <x:v>潮州虚拟回收/检测中心</x:v>
      </x:c>
      <x:c r="H422" s="52" t="n">
        <x:v>33.805077808194795</x:v>
      </x:c>
      <x:c r="I422" s="52" t="n">
        <x:v>30.9425</x:v>
      </x:c>
      <x:c r="J422" s="52" t="n">
        <x:v>24.279999999999998</x:v>
      </x:c>
      <x:c r="K422" s="52" t="n">
        <x:f>IFERROR(I422/H422,"")</x:f>
        <x:v>0.9153210702712576</x:v>
      </x:c>
      <x:c r="L422" s="52" t="n">
        <x:v>150</x:v>
      </x:c>
      <x:c r="M422" s="65" t="n">
        <x:f>IF(H422&lt;=L422,1,0)</x:f>
        <x:v>1</x:v>
      </x:c>
      <x:c r="N422" s="65" t="n">
        <x:f>IF(I422&lt;=L422,1,0)</x:f>
        <x:v>1</x:v>
      </x:c>
      <x:c r="O422" s="51" t="str">
        <x:f>IF(M422=N422,"不变",IF(N422=1,"由禁变允","由允变禁"))</x:f>
        <x:v>不变</x:v>
      </x:c>
      <x:c r="P422" s="51" t="str">
        <x:v>OSRM driving/car</x:v>
      </x:c>
      <x:c r="Q422" s="51" t="str">
        <x:v>2026-08-15</x:v>
      </x:c>
      <x:c r="R422" s="51" t="str">
        <x:v>C-开放路网计算；不是货车/危运合规路线</x:v>
      </x:c>
      <x:c r="S422" s="51" t="str">
        <x:v>https://routing.openstreetmap.de/routed-car/</x:v>
      </x:c>
    </x:row>
    <x:row r="423">
      <x:c r="A423" s="51" t="str">
        <x:v>A0419</x:v>
      </x:c>
      <x:c r="B423" s="51" t="str">
        <x:v>GD20</x:v>
      </x:c>
      <x:c r="C423" s="51" t="str">
        <x:v>source</x:v>
      </x:c>
      <x:c r="D423" s="51" t="str">
        <x:v>揭阳</x:v>
      </x:c>
      <x:c r="E423" s="51" t="str">
        <x:v>C20</x:v>
      </x:c>
      <x:c r="F423" s="51" t="str">
        <x:v>collection</x:v>
      </x:c>
      <x:c r="G423" s="51" t="str">
        <x:v>揭阳虚拟回收/检测中心</x:v>
      </x:c>
      <x:c r="H423" s="52" t="n">
        <x:v>0</x:v>
      </x:c>
      <x:c r="I423" s="52" t="n">
        <x:v>0</x:v>
      </x:c>
      <x:c r="J423" s="52" t="n">
        <x:v>0</x:v>
      </x:c>
      <x:c r="K423" s="52" t="str">
        <x:f>IFERROR(I423/H423,"")</x:f>
      </x:c>
      <x:c r="L423" s="52" t="n">
        <x:v>150</x:v>
      </x:c>
      <x:c r="M423" s="65" t="n">
        <x:f>IF(H423&lt;=L423,1,0)</x:f>
        <x:v>1</x:v>
      </x:c>
      <x:c r="N423" s="65" t="n">
        <x:f>IF(I423&lt;=L423,1,0)</x:f>
        <x:v>1</x:v>
      </x:c>
      <x:c r="O423" s="51" t="str">
        <x:f>IF(M423=N423,"不变",IF(N423=1,"由禁变允","由允变禁"))</x:f>
        <x:v>不变</x:v>
      </x:c>
      <x:c r="P423" s="51" t="str">
        <x:v>OSRM driving/car</x:v>
      </x:c>
      <x:c r="Q423" s="51" t="str">
        <x:v>2026-08-15</x:v>
      </x:c>
      <x:c r="R423" s="51" t="str">
        <x:v>C-开放路网计算；不是货车/危运合规路线</x:v>
      </x:c>
      <x:c r="S423" s="51" t="str">
        <x:v>https://routing.openstreetmap.de/routed-car/</x:v>
      </x:c>
    </x:row>
    <x:row r="424">
      <x:c r="A424" s="51" t="str">
        <x:v>A0420</x:v>
      </x:c>
      <x:c r="B424" s="51" t="str">
        <x:v>GD20</x:v>
      </x:c>
      <x:c r="C424" s="51" t="str">
        <x:v>source</x:v>
      </x:c>
      <x:c r="D424" s="51" t="str">
        <x:v>揭阳</x:v>
      </x:c>
      <x:c r="E424" s="51" t="str">
        <x:v>C21</x:v>
      </x:c>
      <x:c r="F424" s="51" t="str">
        <x:v>collection</x:v>
      </x:c>
      <x:c r="G424" s="51" t="str">
        <x:v>云浮虚拟回收/检测中心</x:v>
      </x:c>
      <x:c r="H424" s="52" t="n">
        <x:v>566.9462403145282</x:v>
      </x:c>
      <x:c r="I424" s="52" t="n">
        <x:v>556.6579</x:v>
      </x:c>
      <x:c r="J424" s="52" t="n">
        <x:v>384.9133333333333</x:v>
      </x:c>
      <x:c r="K424" s="52" t="n">
        <x:f>IFERROR(I424/H424,"")</x:f>
        <x:v>0.981853058397882</x:v>
      </x:c>
      <x:c r="L424" s="52" t="n">
        <x:v>150</x:v>
      </x:c>
      <x:c r="M424" s="65" t="n">
        <x:f>IF(H424&lt;=L424,1,0)</x:f>
        <x:v>0</x:v>
      </x:c>
      <x:c r="N424" s="65" t="n">
        <x:f>IF(I424&lt;=L424,1,0)</x:f>
        <x:v>0</x:v>
      </x:c>
      <x:c r="O424" s="51" t="str">
        <x:f>IF(M424=N424,"不变",IF(N424=1,"由禁变允","由允变禁"))</x:f>
        <x:v>不变</x:v>
      </x:c>
      <x:c r="P424" s="51" t="str">
        <x:v>OSRM driving/car</x:v>
      </x:c>
      <x:c r="Q424" s="51" t="str">
        <x:v>2026-08-15</x:v>
      </x:c>
      <x:c r="R424" s="51" t="str">
        <x:v>C-开放路网计算；不是货车/危运合规路线</x:v>
      </x:c>
      <x:c r="S424" s="51" t="str">
        <x:v>https://routing.openstreetmap.de/routed-car/</x:v>
      </x:c>
    </x:row>
    <x:row r="425">
      <x:c r="A425" s="51" t="str">
        <x:v>A0421</x:v>
      </x:c>
      <x:c r="B425" s="51" t="str">
        <x:v>GD21</x:v>
      </x:c>
      <x:c r="C425" s="51" t="str">
        <x:v>source</x:v>
      </x:c>
      <x:c r="D425" s="51" t="str">
        <x:v>云浮</x:v>
      </x:c>
      <x:c r="E425" s="51" t="str">
        <x:v>C01</x:v>
      </x:c>
      <x:c r="F425" s="51" t="str">
        <x:v>collection</x:v>
      </x:c>
      <x:c r="G425" s="51" t="str">
        <x:v>广州虚拟回收/检测中心</x:v>
      </x:c>
      <x:c r="H425" s="52" t="n">
        <x:v>181.95921019073626</x:v>
      </x:c>
      <x:c r="I425" s="52" t="n">
        <x:v>185.1616</x:v>
      </x:c>
      <x:c r="J425" s="52" t="n">
        <x:v>131.84333333333333</x:v>
      </x:c>
      <x:c r="K425" s="52" t="n">
        <x:f>IFERROR(I425/H425,"")</x:f>
        <x:v>1.0175994927979017</x:v>
      </x:c>
      <x:c r="L425" s="52" t="n">
        <x:v>150</x:v>
      </x:c>
      <x:c r="M425" s="65" t="n">
        <x:f>IF(H425&lt;=L425,1,0)</x:f>
        <x:v>0</x:v>
      </x:c>
      <x:c r="N425" s="65" t="n">
        <x:f>IF(I425&lt;=L425,1,0)</x:f>
        <x:v>0</x:v>
      </x:c>
      <x:c r="O425" s="51" t="str">
        <x:f>IF(M425=N425,"不变",IF(N425=1,"由禁变允","由允变禁"))</x:f>
        <x:v>不变</x:v>
      </x:c>
      <x:c r="P425" s="51" t="str">
        <x:v>OSRM driving/car</x:v>
      </x:c>
      <x:c r="Q425" s="51" t="str">
        <x:v>2026-08-15</x:v>
      </x:c>
      <x:c r="R425" s="51" t="str">
        <x:v>C-开放路网计算；不是货车/危运合规路线</x:v>
      </x:c>
      <x:c r="S425" s="51" t="str">
        <x:v>https://routing.openstreetmap.de/routed-car/</x:v>
      </x:c>
    </x:row>
    <x:row r="426">
      <x:c r="A426" s="51" t="str">
        <x:v>A0422</x:v>
      </x:c>
      <x:c r="B426" s="51" t="str">
        <x:v>GD21</x:v>
      </x:c>
      <x:c r="C426" s="51" t="str">
        <x:v>source</x:v>
      </x:c>
      <x:c r="D426" s="51" t="str">
        <x:v>云浮</x:v>
      </x:c>
      <x:c r="E426" s="51" t="str">
        <x:v>C02</x:v>
      </x:c>
      <x:c r="F426" s="51" t="str">
        <x:v>collection</x:v>
      </x:c>
      <x:c r="G426" s="51" t="str">
        <x:v>深圳虚拟回收/检测中心</x:v>
      </x:c>
      <x:c r="H426" s="52" t="n">
        <x:v>279.6377737499675</x:v>
      </x:c>
      <x:c r="I426" s="52" t="n">
        <x:v>286.25079999999997</x:v>
      </x:c>
      <x:c r="J426" s="52" t="n">
        <x:v>205.08333333333334</x:v>
      </x:c>
      <x:c r="K426" s="52" t="n">
        <x:f>IFERROR(I426/H426,"")</x:f>
        <x:v>1.0236485441911198</x:v>
      </x:c>
      <x:c r="L426" s="52" t="n">
        <x:v>150</x:v>
      </x:c>
      <x:c r="M426" s="65" t="n">
        <x:f>IF(H426&lt;=L426,1,0)</x:f>
        <x:v>0</x:v>
      </x:c>
      <x:c r="N426" s="65" t="n">
        <x:f>IF(I426&lt;=L426,1,0)</x:f>
        <x:v>0</x:v>
      </x:c>
      <x:c r="O426" s="51" t="str">
        <x:f>IF(M426=N426,"不变",IF(N426=1,"由禁变允","由允变禁"))</x:f>
        <x:v>不变</x:v>
      </x:c>
      <x:c r="P426" s="51" t="str">
        <x:v>OSRM driving/car</x:v>
      </x:c>
      <x:c r="Q426" s="51" t="str">
        <x:v>2026-08-15</x:v>
      </x:c>
      <x:c r="R426" s="51" t="str">
        <x:v>C-开放路网计算；不是货车/危运合规路线</x:v>
      </x:c>
      <x:c r="S426" s="51" t="str">
        <x:v>https://routing.openstreetmap.de/routed-car/</x:v>
      </x:c>
    </x:row>
    <x:row r="427">
      <x:c r="A427" s="51" t="str">
        <x:v>A0423</x:v>
      </x:c>
      <x:c r="B427" s="51" t="str">
        <x:v>GD21</x:v>
      </x:c>
      <x:c r="C427" s="51" t="str">
        <x:v>source</x:v>
      </x:c>
      <x:c r="D427" s="51" t="str">
        <x:v>云浮</x:v>
      </x:c>
      <x:c r="E427" s="51" t="str">
        <x:v>C03</x:v>
      </x:c>
      <x:c r="F427" s="51" t="str">
        <x:v>collection</x:v>
      </x:c>
      <x:c r="G427" s="51" t="str">
        <x:v>珠海虚拟回收/检测中心</x:v>
      </x:c>
      <x:c r="H427" s="52" t="n">
        <x:v>230.79716660051145</x:v>
      </x:c>
      <x:c r="I427" s="52" t="n">
        <x:v>246.8161</x:v>
      </x:c>
      <x:c r="J427" s="52" t="n">
        <x:v>174.98666666666668</x:v>
      </x:c>
      <x:c r="K427" s="52" t="n">
        <x:f>IFERROR(I427/H427,"")</x:f>
        <x:v>1.0694069759843103</x:v>
      </x:c>
      <x:c r="L427" s="52" t="n">
        <x:v>150</x:v>
      </x:c>
      <x:c r="M427" s="65" t="n">
        <x:f>IF(H427&lt;=L427,1,0)</x:f>
        <x:v>0</x:v>
      </x:c>
      <x:c r="N427" s="65" t="n">
        <x:f>IF(I427&lt;=L427,1,0)</x:f>
        <x:v>0</x:v>
      </x:c>
      <x:c r="O427" s="51" t="str">
        <x:f>IF(M427=N427,"不变",IF(N427=1,"由禁变允","由允变禁"))</x:f>
        <x:v>不变</x:v>
      </x:c>
      <x:c r="P427" s="51" t="str">
        <x:v>OSRM driving/car</x:v>
      </x:c>
      <x:c r="Q427" s="51" t="str">
        <x:v>2026-08-15</x:v>
      </x:c>
      <x:c r="R427" s="51" t="str">
        <x:v>C-开放路网计算；不是货车/危运合规路线</x:v>
      </x:c>
      <x:c r="S427" s="51" t="str">
        <x:v>https://routing.openstreetmap.de/routed-car/</x:v>
      </x:c>
    </x:row>
    <x:row r="428">
      <x:c r="A428" s="51" t="str">
        <x:v>A0424</x:v>
      </x:c>
      <x:c r="B428" s="51" t="str">
        <x:v>GD21</x:v>
      </x:c>
      <x:c r="C428" s="51" t="str">
        <x:v>source</x:v>
      </x:c>
      <x:c r="D428" s="51" t="str">
        <x:v>云浮</x:v>
      </x:c>
      <x:c r="E428" s="51" t="str">
        <x:v>C04</x:v>
      </x:c>
      <x:c r="F428" s="51" t="str">
        <x:v>collection</x:v>
      </x:c>
      <x:c r="G428" s="51" t="str">
        <x:v>汕头虚拟回收/检测中心</x:v>
      </x:c>
      <x:c r="H428" s="52" t="n">
        <x:v>601.3705692723286</x:v>
      </x:c>
      <x:c r="I428" s="52" t="n">
        <x:v>593.8164</x:v>
      </x:c>
      <x:c r="J428" s="52" t="n">
        <x:v>412.13</x:v>
      </x:c>
      <x:c r="K428" s="52" t="n">
        <x:f>IFERROR(I428/H428,"")</x:f>
        <x:v>0.9874384120901207</x:v>
      </x:c>
      <x:c r="L428" s="52" t="n">
        <x:v>150</x:v>
      </x:c>
      <x:c r="M428" s="65" t="n">
        <x:f>IF(H428&lt;=L428,1,0)</x:f>
        <x:v>0</x:v>
      </x:c>
      <x:c r="N428" s="65" t="n">
        <x:f>IF(I428&lt;=L428,1,0)</x:f>
        <x:v>0</x:v>
      </x:c>
      <x:c r="O428" s="51" t="str">
        <x:f>IF(M428=N428,"不变",IF(N428=1,"由禁变允","由允变禁"))</x:f>
        <x:v>不变</x:v>
      </x:c>
      <x:c r="P428" s="51" t="str">
        <x:v>OSRM driving/car</x:v>
      </x:c>
      <x:c r="Q428" s="51" t="str">
        <x:v>2026-08-15</x:v>
      </x:c>
      <x:c r="R428" s="51" t="str">
        <x:v>C-开放路网计算；不是货车/危运合规路线</x:v>
      </x:c>
      <x:c r="S428" s="51" t="str">
        <x:v>https://routing.openstreetmap.de/routed-car/</x:v>
      </x:c>
    </x:row>
    <x:row r="429">
      <x:c r="A429" s="51" t="str">
        <x:v>A0425</x:v>
      </x:c>
      <x:c r="B429" s="51" t="str">
        <x:v>GD21</x:v>
      </x:c>
      <x:c r="C429" s="51" t="str">
        <x:v>source</x:v>
      </x:c>
      <x:c r="D429" s="51" t="str">
        <x:v>云浮</x:v>
      </x:c>
      <x:c r="E429" s="51" t="str">
        <x:v>C05</x:v>
      </x:c>
      <x:c r="F429" s="51" t="str">
        <x:v>collection</x:v>
      </x:c>
      <x:c r="G429" s="51" t="str">
        <x:v>佛山虚拟回收/检测中心</x:v>
      </x:c>
      <x:c r="H429" s="52" t="n">
        <x:v>162.32048508893257</x:v>
      </x:c>
      <x:c r="I429" s="52" t="n">
        <x:v>172.26170000000002</x:v>
      </x:c>
      <x:c r="J429" s="52" t="n">
        <x:v>124.47666666666667</x:v>
      </x:c>
      <x:c r="K429" s="52" t="n">
        <x:f>IFERROR(I429/H429,"")</x:f>
        <x:v>1.0612443642317901</x:v>
      </x:c>
      <x:c r="L429" s="52" t="n">
        <x:v>150</x:v>
      </x:c>
      <x:c r="M429" s="65" t="n">
        <x:f>IF(H429&lt;=L429,1,0)</x:f>
        <x:v>0</x:v>
      </x:c>
      <x:c r="N429" s="65" t="n">
        <x:f>IF(I429&lt;=L429,1,0)</x:f>
        <x:v>0</x:v>
      </x:c>
      <x:c r="O429" s="51" t="str">
        <x:f>IF(M429=N429,"不变",IF(N429=1,"由禁变允","由允变禁"))</x:f>
        <x:v>不变</x:v>
      </x:c>
      <x:c r="P429" s="51" t="str">
        <x:v>OSRM driving/car</x:v>
      </x:c>
      <x:c r="Q429" s="51" t="str">
        <x:v>2026-08-15</x:v>
      </x:c>
      <x:c r="R429" s="51" t="str">
        <x:v>C-开放路网计算；不是货车/危运合规路线</x:v>
      </x:c>
      <x:c r="S429" s="51" t="str">
        <x:v>https://routing.openstreetmap.de/routed-car/</x:v>
      </x:c>
    </x:row>
    <x:row r="430">
      <x:c r="A430" s="51" t="str">
        <x:v>A0426</x:v>
      </x:c>
      <x:c r="B430" s="51" t="str">
        <x:v>GD21</x:v>
      </x:c>
      <x:c r="C430" s="51" t="str">
        <x:v>source</x:v>
      </x:c>
      <x:c r="D430" s="51" t="str">
        <x:v>云浮</x:v>
      </x:c>
      <x:c r="E430" s="51" t="str">
        <x:v>C06</x:v>
      </x:c>
      <x:c r="F430" s="51" t="str">
        <x:v>collection</x:v>
      </x:c>
      <x:c r="G430" s="51" t="str">
        <x:v>韶关虚拟回收/检测中心</x:v>
      </x:c>
      <x:c r="H430" s="52" t="n">
        <x:v>359.95540729726775</x:v>
      </x:c>
      <x:c r="I430" s="52" t="n">
        <x:v>378.5116</x:v>
      </x:c>
      <x:c r="J430" s="52" t="n">
        <x:v>275.82</x:v>
      </x:c>
      <x:c r="K430" s="52" t="n">
        <x:f>IFERROR(I430/H430,"")</x:f>
        <x:v>1.051551365326227</x:v>
      </x:c>
      <x:c r="L430" s="52" t="n">
        <x:v>150</x:v>
      </x:c>
      <x:c r="M430" s="65" t="n">
        <x:f>IF(H430&lt;=L430,1,0)</x:f>
        <x:v>0</x:v>
      </x:c>
      <x:c r="N430" s="65" t="n">
        <x:f>IF(I430&lt;=L430,1,0)</x:f>
        <x:v>0</x:v>
      </x:c>
      <x:c r="O430" s="51" t="str">
        <x:f>IF(M430=N430,"不变",IF(N430=1,"由禁变允","由允变禁"))</x:f>
        <x:v>不变</x:v>
      </x:c>
      <x:c r="P430" s="51" t="str">
        <x:v>OSRM driving/car</x:v>
      </x:c>
      <x:c r="Q430" s="51" t="str">
        <x:v>2026-08-15</x:v>
      </x:c>
      <x:c r="R430" s="51" t="str">
        <x:v>C-开放路网计算；不是货车/危运合规路线</x:v>
      </x:c>
      <x:c r="S430" s="51" t="str">
        <x:v>https://routing.openstreetmap.de/routed-car/</x:v>
      </x:c>
    </x:row>
    <x:row r="431">
      <x:c r="A431" s="51" t="str">
        <x:v>A0427</x:v>
      </x:c>
      <x:c r="B431" s="51" t="str">
        <x:v>GD21</x:v>
      </x:c>
      <x:c r="C431" s="51" t="str">
        <x:v>source</x:v>
      </x:c>
      <x:c r="D431" s="51" t="str">
        <x:v>云浮</x:v>
      </x:c>
      <x:c r="E431" s="51" t="str">
        <x:v>C07</x:v>
      </x:c>
      <x:c r="F431" s="51" t="str">
        <x:v>collection</x:v>
      </x:c>
      <x:c r="G431" s="51" t="str">
        <x:v>河源虚拟回收/检测中心</x:v>
      </x:c>
      <x:c r="H431" s="52" t="n">
        <x:v>431.1184555708482</x:v>
      </x:c>
      <x:c r="I431" s="52" t="n">
        <x:v>453.9076</x:v>
      </x:c>
      <x:c r="J431" s="52" t="n">
        <x:v>336.02666666666664</x:v>
      </x:c>
      <x:c r="K431" s="52" t="n">
        <x:f>IFERROR(I431/H431,"")</x:f>
        <x:v>1.052860516952299</x:v>
      </x:c>
      <x:c r="L431" s="52" t="n">
        <x:v>150</x:v>
      </x:c>
      <x:c r="M431" s="65" t="n">
        <x:f>IF(H431&lt;=L431,1,0)</x:f>
        <x:v>0</x:v>
      </x:c>
      <x:c r="N431" s="65" t="n">
        <x:f>IF(I431&lt;=L431,1,0)</x:f>
        <x:v>0</x:v>
      </x:c>
      <x:c r="O431" s="51" t="str">
        <x:f>IF(M431=N431,"不变",IF(N431=1,"由禁变允","由允变禁"))</x:f>
        <x:v>不变</x:v>
      </x:c>
      <x:c r="P431" s="51" t="str">
        <x:v>OSRM driving/car</x:v>
      </x:c>
      <x:c r="Q431" s="51" t="str">
        <x:v>2026-08-15</x:v>
      </x:c>
      <x:c r="R431" s="51" t="str">
        <x:v>C-开放路网计算；不是货车/危运合规路线</x:v>
      </x:c>
      <x:c r="S431" s="51" t="str">
        <x:v>https://routing.openstreetmap.de/routed-car/</x:v>
      </x:c>
    </x:row>
    <x:row r="432">
      <x:c r="A432" s="51" t="str">
        <x:v>A0428</x:v>
      </x:c>
      <x:c r="B432" s="51" t="str">
        <x:v>GD21</x:v>
      </x:c>
      <x:c r="C432" s="51" t="str">
        <x:v>source</x:v>
      </x:c>
      <x:c r="D432" s="51" t="str">
        <x:v>云浮</x:v>
      </x:c>
      <x:c r="E432" s="51" t="str">
        <x:v>C08</x:v>
      </x:c>
      <x:c r="F432" s="51" t="str">
        <x:v>collection</x:v>
      </x:c>
      <x:c r="G432" s="51" t="str">
        <x:v>梅州虚拟回收/检测中心</x:v>
      </x:c>
      <x:c r="H432" s="52" t="n">
        <x:v>560.7864276308262</x:v>
      </x:c>
      <x:c r="I432" s="52" t="n">
        <x:v>562.7836</x:v>
      </x:c>
      <x:c r="J432" s="52" t="n">
        <x:v>391.88666666666666</x:v>
      </x:c>
      <x:c r="K432" s="52" t="n">
        <x:f>IFERROR(I432/H432,"")</x:f>
        <x:v>1.0035613778628902</x:v>
      </x:c>
      <x:c r="L432" s="52" t="n">
        <x:v>150</x:v>
      </x:c>
      <x:c r="M432" s="65" t="n">
        <x:f>IF(H432&lt;=L432,1,0)</x:f>
        <x:v>0</x:v>
      </x:c>
      <x:c r="N432" s="65" t="n">
        <x:f>IF(I432&lt;=L432,1,0)</x:f>
        <x:v>0</x:v>
      </x:c>
      <x:c r="O432" s="51" t="str">
        <x:f>IF(M432=N432,"不变",IF(N432=1,"由禁变允","由允变禁"))</x:f>
        <x:v>不变</x:v>
      </x:c>
      <x:c r="P432" s="51" t="str">
        <x:v>OSRM driving/car</x:v>
      </x:c>
      <x:c r="Q432" s="51" t="str">
        <x:v>2026-08-15</x:v>
      </x:c>
      <x:c r="R432" s="51" t="str">
        <x:v>C-开放路网计算；不是货车/危运合规路线</x:v>
      </x:c>
      <x:c r="S432" s="51" t="str">
        <x:v>https://routing.openstreetmap.de/routed-car/</x:v>
      </x:c>
    </x:row>
    <x:row r="433">
      <x:c r="A433" s="51" t="str">
        <x:v>A0429</x:v>
      </x:c>
      <x:c r="B433" s="51" t="str">
        <x:v>GD21</x:v>
      </x:c>
      <x:c r="C433" s="51" t="str">
        <x:v>source</x:v>
      </x:c>
      <x:c r="D433" s="51" t="str">
        <x:v>云浮</x:v>
      </x:c>
      <x:c r="E433" s="51" t="str">
        <x:v>C09</x:v>
      </x:c>
      <x:c r="F433" s="51" t="str">
        <x:v>collection</x:v>
      </x:c>
      <x:c r="G433" s="51" t="str">
        <x:v>惠州虚拟回收/检测中心</x:v>
      </x:c>
      <x:c r="H433" s="52" t="n">
        <x:v>321.82250195374496</x:v>
      </x:c>
      <x:c r="I433" s="52" t="n">
        <x:v>319.70320000000004</x:v>
      </x:c>
      <x:c r="J433" s="52" t="n">
        <x:v>223.09666666666666</x:v>
      </x:c>
      <x:c r="K433" s="52" t="n">
        <x:f>IFERROR(I433/H433,"")</x:f>
        <x:v>0.9934146868510471</x:v>
      </x:c>
      <x:c r="L433" s="52" t="n">
        <x:v>150</x:v>
      </x:c>
      <x:c r="M433" s="65" t="n">
        <x:f>IF(H433&lt;=L433,1,0)</x:f>
        <x:v>0</x:v>
      </x:c>
      <x:c r="N433" s="65" t="n">
        <x:f>IF(I433&lt;=L433,1,0)</x:f>
        <x:v>0</x:v>
      </x:c>
      <x:c r="O433" s="51" t="str">
        <x:f>IF(M433=N433,"不变",IF(N433=1,"由禁变允","由允变禁"))</x:f>
        <x:v>不变</x:v>
      </x:c>
      <x:c r="P433" s="51" t="str">
        <x:v>OSRM driving/car</x:v>
      </x:c>
      <x:c r="Q433" s="51" t="str">
        <x:v>2026-08-15</x:v>
      </x:c>
      <x:c r="R433" s="51" t="str">
        <x:v>C-开放路网计算；不是货车/危运合规路线</x:v>
      </x:c>
      <x:c r="S433" s="51" t="str">
        <x:v>https://routing.openstreetmap.de/routed-car/</x:v>
      </x:c>
    </x:row>
    <x:row r="434">
      <x:c r="A434" s="51" t="str">
        <x:v>A0430</x:v>
      </x:c>
      <x:c r="B434" s="51" t="str">
        <x:v>GD21</x:v>
      </x:c>
      <x:c r="C434" s="51" t="str">
        <x:v>source</x:v>
      </x:c>
      <x:c r="D434" s="51" t="str">
        <x:v>云浮</x:v>
      </x:c>
      <x:c r="E434" s="51" t="str">
        <x:v>C10</x:v>
      </x:c>
      <x:c r="F434" s="51" t="str">
        <x:v>collection</x:v>
      </x:c>
      <x:c r="G434" s="51" t="str">
        <x:v>汕尾虚拟回收/检测中心</x:v>
      </x:c>
      <x:c r="H434" s="52" t="n">
        <x:v>455.41833629892034</x:v>
      </x:c>
      <x:c r="I434" s="52" t="n">
        <x:v>455.48440000000005</x:v>
      </x:c>
      <x:c r="J434" s="52" t="n">
        <x:v>332.48833333333334</x:v>
      </x:c>
      <x:c r="K434" s="52" t="n">
        <x:f>IFERROR(I434/H434,"")</x:f>
        <x:v>1.0001450615748513</x:v>
      </x:c>
      <x:c r="L434" s="52" t="n">
        <x:v>150</x:v>
      </x:c>
      <x:c r="M434" s="65" t="n">
        <x:f>IF(H434&lt;=L434,1,0)</x:f>
        <x:v>0</x:v>
      </x:c>
      <x:c r="N434" s="65" t="n">
        <x:f>IF(I434&lt;=L434,1,0)</x:f>
        <x:v>0</x:v>
      </x:c>
      <x:c r="O434" s="51" t="str">
        <x:f>IF(M434=N434,"不变",IF(N434=1,"由禁变允","由允变禁"))</x:f>
        <x:v>不变</x:v>
      </x:c>
      <x:c r="P434" s="51" t="str">
        <x:v>OSRM driving/car</x:v>
      </x:c>
      <x:c r="Q434" s="51" t="str">
        <x:v>2026-08-15</x:v>
      </x:c>
      <x:c r="R434" s="51" t="str">
        <x:v>C-开放路网计算；不是货车/危运合规路线</x:v>
      </x:c>
      <x:c r="S434" s="51" t="str">
        <x:v>https://routing.openstreetmap.de/routed-car/</x:v>
      </x:c>
    </x:row>
    <x:row r="435">
      <x:c r="A435" s="51" t="str">
        <x:v>A0431</x:v>
      </x:c>
      <x:c r="B435" s="51" t="str">
        <x:v>GD21</x:v>
      </x:c>
      <x:c r="C435" s="51" t="str">
        <x:v>source</x:v>
      </x:c>
      <x:c r="D435" s="51" t="str">
        <x:v>云浮</x:v>
      </x:c>
      <x:c r="E435" s="51" t="str">
        <x:v>C11</x:v>
      </x:c>
      <x:c r="F435" s="51" t="str">
        <x:v>collection</x:v>
      </x:c>
      <x:c r="G435" s="51" t="str">
        <x:v>东莞虚拟回收/检测中心</x:v>
      </x:c>
      <x:c r="H435" s="52" t="n">
        <x:v>239.07084014080786</x:v>
      </x:c>
      <x:c r="I435" s="52" t="n">
        <x:v>244.1204</x:v>
      </x:c>
      <x:c r="J435" s="52" t="n">
        <x:v>173.39333333333335</x:v>
      </x:c>
      <x:c r="K435" s="52" t="n">
        <x:f>IFERROR(I435/H435,"")</x:f>
        <x:v>1.0211216050281082</x:v>
      </x:c>
      <x:c r="L435" s="52" t="n">
        <x:v>150</x:v>
      </x:c>
      <x:c r="M435" s="65" t="n">
        <x:f>IF(H435&lt;=L435,1,0)</x:f>
        <x:v>0</x:v>
      </x:c>
      <x:c r="N435" s="65" t="n">
        <x:f>IF(I435&lt;=L435,1,0)</x:f>
        <x:v>0</x:v>
      </x:c>
      <x:c r="O435" s="51" t="str">
        <x:f>IF(M435=N435,"不变",IF(N435=1,"由禁变允","由允变禁"))</x:f>
        <x:v>不变</x:v>
      </x:c>
      <x:c r="P435" s="51" t="str">
        <x:v>OSRM driving/car</x:v>
      </x:c>
      <x:c r="Q435" s="51" t="str">
        <x:v>2026-08-15</x:v>
      </x:c>
      <x:c r="R435" s="51" t="str">
        <x:v>C-开放路网计算；不是货车/危运合规路线</x:v>
      </x:c>
      <x:c r="S435" s="51" t="str">
        <x:v>https://routing.openstreetmap.de/routed-car/</x:v>
      </x:c>
    </x:row>
    <x:row r="436">
      <x:c r="A436" s="51" t="str">
        <x:v>A0432</x:v>
      </x:c>
      <x:c r="B436" s="51" t="str">
        <x:v>GD21</x:v>
      </x:c>
      <x:c r="C436" s="51" t="str">
        <x:v>source</x:v>
      </x:c>
      <x:c r="D436" s="51" t="str">
        <x:v>云浮</x:v>
      </x:c>
      <x:c r="E436" s="51" t="str">
        <x:v>C12</x:v>
      </x:c>
      <x:c r="F436" s="51" t="str">
        <x:v>collection</x:v>
      </x:c>
      <x:c r="G436" s="51" t="str">
        <x:v>中山虚拟回收/检测中心</x:v>
      </x:c>
      <x:c r="H436" s="52" t="n">
        <x:v>199.50503646734242</x:v>
      </x:c>
      <x:c r="I436" s="52" t="n">
        <x:v>206.168</x:v>
      </x:c>
      <x:c r="J436" s="52" t="n">
        <x:v>150.86166666666668</x:v>
      </x:c>
      <x:c r="K436" s="52" t="n">
        <x:f>IFERROR(I436/H436,"")</x:f>
        <x:v>1.0333974703127269</x:v>
      </x:c>
      <x:c r="L436" s="52" t="n">
        <x:v>150</x:v>
      </x:c>
      <x:c r="M436" s="65" t="n">
        <x:f>IF(H436&lt;=L436,1,0)</x:f>
        <x:v>0</x:v>
      </x:c>
      <x:c r="N436" s="65" t="n">
        <x:f>IF(I436&lt;=L436,1,0)</x:f>
        <x:v>0</x:v>
      </x:c>
      <x:c r="O436" s="51" t="str">
        <x:f>IF(M436=N436,"不变",IF(N436=1,"由禁变允","由允变禁"))</x:f>
        <x:v>不变</x:v>
      </x:c>
      <x:c r="P436" s="51" t="str">
        <x:v>OSRM driving/car</x:v>
      </x:c>
      <x:c r="Q436" s="51" t="str">
        <x:v>2026-08-15</x:v>
      </x:c>
      <x:c r="R436" s="51" t="str">
        <x:v>C-开放路网计算；不是货车/危运合规路线</x:v>
      </x:c>
      <x:c r="S436" s="51" t="str">
        <x:v>https://routing.openstreetmap.de/routed-car/</x:v>
      </x:c>
    </x:row>
    <x:row r="437">
      <x:c r="A437" s="51" t="str">
        <x:v>A0433</x:v>
      </x:c>
      <x:c r="B437" s="51" t="str">
        <x:v>GD21</x:v>
      </x:c>
      <x:c r="C437" s="51" t="str">
        <x:v>source</x:v>
      </x:c>
      <x:c r="D437" s="51" t="str">
        <x:v>云浮</x:v>
      </x:c>
      <x:c r="E437" s="51" t="str">
        <x:v>C13</x:v>
      </x:c>
      <x:c r="F437" s="51" t="str">
        <x:v>collection</x:v>
      </x:c>
      <x:c r="G437" s="51" t="str">
        <x:v>江门虚拟回收/检测中心</x:v>
      </x:c>
      <x:c r="H437" s="52" t="n">
        <x:v>160.29151114661695</x:v>
      </x:c>
      <x:c r="I437" s="52" t="n">
        <x:v>167.4085</x:v>
      </x:c>
      <x:c r="J437" s="52" t="n">
        <x:v>122.115</x:v>
      </x:c>
      <x:c r="K437" s="52" t="n">
        <x:f>IFERROR(I437/H437,"")</x:f>
        <x:v>1.0444002854703467</x:v>
      </x:c>
      <x:c r="L437" s="52" t="n">
        <x:v>150</x:v>
      </x:c>
      <x:c r="M437" s="65" t="n">
        <x:f>IF(H437&lt;=L437,1,0)</x:f>
        <x:v>0</x:v>
      </x:c>
      <x:c r="N437" s="65" t="n">
        <x:f>IF(I437&lt;=L437,1,0)</x:f>
        <x:v>0</x:v>
      </x:c>
      <x:c r="O437" s="51" t="str">
        <x:f>IF(M437=N437,"不变",IF(N437=1,"由禁变允","由允变禁"))</x:f>
        <x:v>不变</x:v>
      </x:c>
      <x:c r="P437" s="51" t="str">
        <x:v>OSRM driving/car</x:v>
      </x:c>
      <x:c r="Q437" s="51" t="str">
        <x:v>2026-08-15</x:v>
      </x:c>
      <x:c r="R437" s="51" t="str">
        <x:v>C-开放路网计算；不是货车/危运合规路线</x:v>
      </x:c>
      <x:c r="S437" s="51" t="str">
        <x:v>https://routing.openstreetmap.de/routed-car/</x:v>
      </x:c>
    </x:row>
    <x:row r="438">
      <x:c r="A438" s="51" t="str">
        <x:v>A0434</x:v>
      </x:c>
      <x:c r="B438" s="51" t="str">
        <x:v>GD21</x:v>
      </x:c>
      <x:c r="C438" s="51" t="str">
        <x:v>source</x:v>
      </x:c>
      <x:c r="D438" s="51" t="str">
        <x:v>云浮</x:v>
      </x:c>
      <x:c r="E438" s="51" t="str">
        <x:v>C14</x:v>
      </x:c>
      <x:c r="F438" s="51" t="str">
        <x:v>collection</x:v>
      </x:c>
      <x:c r="G438" s="51" t="str">
        <x:v>阳江虚拟回收/检测中心</x:v>
      </x:c>
      <x:c r="H438" s="52" t="n">
        <x:v>101.30138350861198</x:v>
      </x:c>
      <x:c r="I438" s="52" t="n">
        <x:v>125.2613</x:v>
      </x:c>
      <x:c r="J438" s="52" t="n">
        <x:v>88.39833333333333</x:v>
      </x:c>
      <x:c r="K438" s="52" t="n">
        <x:f>IFERROR(I438/H438,"")</x:f>
        <x:v>1.2365211180886895</x:v>
      </x:c>
      <x:c r="L438" s="52" t="n">
        <x:v>150</x:v>
      </x:c>
      <x:c r="M438" s="65" t="n">
        <x:f>IF(H438&lt;=L438,1,0)</x:f>
        <x:v>1</x:v>
      </x:c>
      <x:c r="N438" s="65" t="n">
        <x:f>IF(I438&lt;=L438,1,0)</x:f>
        <x:v>1</x:v>
      </x:c>
      <x:c r="O438" s="51" t="str">
        <x:f>IF(M438=N438,"不变",IF(N438=1,"由禁变允","由允变禁"))</x:f>
        <x:v>不变</x:v>
      </x:c>
      <x:c r="P438" s="51" t="str">
        <x:v>OSRM driving/car</x:v>
      </x:c>
      <x:c r="Q438" s="51" t="str">
        <x:v>2026-08-15</x:v>
      </x:c>
      <x:c r="R438" s="51" t="str">
        <x:v>C-开放路网计算；不是货车/危运合规路线</x:v>
      </x:c>
      <x:c r="S438" s="51" t="str">
        <x:v>https://routing.openstreetmap.de/routed-car/</x:v>
      </x:c>
    </x:row>
    <x:row r="439">
      <x:c r="A439" s="51" t="str">
        <x:v>A0435</x:v>
      </x:c>
      <x:c r="B439" s="51" t="str">
        <x:v>GD21</x:v>
      </x:c>
      <x:c r="C439" s="51" t="str">
        <x:v>source</x:v>
      </x:c>
      <x:c r="D439" s="51" t="str">
        <x:v>云浮</x:v>
      </x:c>
      <x:c r="E439" s="51" t="str">
        <x:v>C15</x:v>
      </x:c>
      <x:c r="F439" s="51" t="str">
        <x:v>collection</x:v>
      </x:c>
      <x:c r="G439" s="51" t="str">
        <x:v>湛江虚拟回收/检测中心</x:v>
      </x:c>
      <x:c r="H439" s="52" t="n">
        <x:v>277.0998258571257</x:v>
      </x:c>
      <x:c r="I439" s="52" t="n">
        <x:v>283.6011</x:v>
      </x:c>
      <x:c r="J439" s="52" t="n">
        <x:v>203.00833333333333</x:v>
      </x:c>
      <x:c r="K439" s="52" t="n">
        <x:f>IFERROR(I439/H439,"")</x:f>
        <x:v>1.0234618485333382</x:v>
      </x:c>
      <x:c r="L439" s="52" t="n">
        <x:v>150</x:v>
      </x:c>
      <x:c r="M439" s="65" t="n">
        <x:f>IF(H439&lt;=L439,1,0)</x:f>
        <x:v>0</x:v>
      </x:c>
      <x:c r="N439" s="65" t="n">
        <x:f>IF(I439&lt;=L439,1,0)</x:f>
        <x:v>0</x:v>
      </x:c>
      <x:c r="O439" s="51" t="str">
        <x:f>IF(M439=N439,"不变",IF(N439=1,"由禁变允","由允变禁"))</x:f>
        <x:v>不变</x:v>
      </x:c>
      <x:c r="P439" s="51" t="str">
        <x:v>OSRM driving/car</x:v>
      </x:c>
      <x:c r="Q439" s="51" t="str">
        <x:v>2026-08-15</x:v>
      </x:c>
      <x:c r="R439" s="51" t="str">
        <x:v>C-开放路网计算；不是货车/危运合规路线</x:v>
      </x:c>
      <x:c r="S439" s="51" t="str">
        <x:v>https://routing.openstreetmap.de/routed-car/</x:v>
      </x:c>
    </x:row>
    <x:row r="440">
      <x:c r="A440" s="51" t="str">
        <x:v>A0436</x:v>
      </x:c>
      <x:c r="B440" s="51" t="str">
        <x:v>GD21</x:v>
      </x:c>
      <x:c r="C440" s="51" t="str">
        <x:v>source</x:v>
      </x:c>
      <x:c r="D440" s="51" t="str">
        <x:v>云浮</x:v>
      </x:c>
      <x:c r="E440" s="51" t="str">
        <x:v>C16</x:v>
      </x:c>
      <x:c r="F440" s="51" t="str">
        <x:v>collection</x:v>
      </x:c>
      <x:c r="G440" s="51" t="str">
        <x:v>茂名虚拟回收/检测中心</x:v>
      </x:c>
      <x:c r="H440" s="52" t="n">
        <x:v>192.78035000681058</x:v>
      </x:c>
      <x:c r="I440" s="52" t="n">
        <x:v>211.8268</x:v>
      </x:c>
      <x:c r="J440" s="52" t="n">
        <x:v>148.79833333333332</x:v>
      </x:c>
      <x:c r="K440" s="52" t="n">
        <x:f>IFERROR(I440/H440,"")</x:f>
        <x:v>1.0987987105144095</x:v>
      </x:c>
      <x:c r="L440" s="52" t="n">
        <x:v>150</x:v>
      </x:c>
      <x:c r="M440" s="65" t="n">
        <x:f>IF(H440&lt;=L440,1,0)</x:f>
        <x:v>0</x:v>
      </x:c>
      <x:c r="N440" s="65" t="n">
        <x:f>IF(I440&lt;=L440,1,0)</x:f>
        <x:v>0</x:v>
      </x:c>
      <x:c r="O440" s="51" t="str">
        <x:f>IF(M440=N440,"不变",IF(N440=1,"由禁变允","由允变禁"))</x:f>
        <x:v>不变</x:v>
      </x:c>
      <x:c r="P440" s="51" t="str">
        <x:v>OSRM driving/car</x:v>
      </x:c>
      <x:c r="Q440" s="51" t="str">
        <x:v>2026-08-15</x:v>
      </x:c>
      <x:c r="R440" s="51" t="str">
        <x:v>C-开放路网计算；不是货车/危运合规路线</x:v>
      </x:c>
      <x:c r="S440" s="51" t="str">
        <x:v>https://routing.openstreetmap.de/routed-car/</x:v>
      </x:c>
    </x:row>
    <x:row r="441">
      <x:c r="A441" s="51" t="str">
        <x:v>A0437</x:v>
      </x:c>
      <x:c r="B441" s="51" t="str">
        <x:v>GD21</x:v>
      </x:c>
      <x:c r="C441" s="51" t="str">
        <x:v>source</x:v>
      </x:c>
      <x:c r="D441" s="51" t="str">
        <x:v>云浮</x:v>
      </x:c>
      <x:c r="E441" s="51" t="str">
        <x:v>C17</x:v>
      </x:c>
      <x:c r="F441" s="51" t="str">
        <x:v>collection</x:v>
      </x:c>
      <x:c r="G441" s="51" t="str">
        <x:v>肇庆虚拟回收/检测中心</x:v>
      </x:c>
      <x:c r="H441" s="52" t="n">
        <x:v>84.3101346674444</x:v>
      </x:c>
      <x:c r="I441" s="52" t="n">
        <x:v>99.117</x:v>
      </x:c>
      <x:c r="J441" s="52" t="n">
        <x:v>75.73833333333333</x:v>
      </x:c>
      <x:c r="K441" s="52" t="n">
        <x:f>IFERROR(I441/H441,"")</x:f>
        <x:v>1.1756237893695731</x:v>
      </x:c>
      <x:c r="L441" s="52" t="n">
        <x:v>150</x:v>
      </x:c>
      <x:c r="M441" s="65" t="n">
        <x:f>IF(H441&lt;=L441,1,0)</x:f>
        <x:v>1</x:v>
      </x:c>
      <x:c r="N441" s="65" t="n">
        <x:f>IF(I441&lt;=L441,1,0)</x:f>
        <x:v>1</x:v>
      </x:c>
      <x:c r="O441" s="51" t="str">
        <x:f>IF(M441=N441,"不变",IF(N441=1,"由禁变允","由允变禁"))</x:f>
        <x:v>不变</x:v>
      </x:c>
      <x:c r="P441" s="51" t="str">
        <x:v>OSRM driving/car</x:v>
      </x:c>
      <x:c r="Q441" s="51" t="str">
        <x:v>2026-08-15</x:v>
      </x:c>
      <x:c r="R441" s="51" t="str">
        <x:v>C-开放路网计算；不是货车/危运合规路线</x:v>
      </x:c>
      <x:c r="S441" s="51" t="str">
        <x:v>https://routing.openstreetmap.de/routed-car/</x:v>
      </x:c>
    </x:row>
    <x:row r="442">
      <x:c r="A442" s="51" t="str">
        <x:v>A0438</x:v>
      </x:c>
      <x:c r="B442" s="51" t="str">
        <x:v>GD21</x:v>
      </x:c>
      <x:c r="C442" s="51" t="str">
        <x:v>source</x:v>
      </x:c>
      <x:c r="D442" s="51" t="str">
        <x:v>云浮</x:v>
      </x:c>
      <x:c r="E442" s="51" t="str">
        <x:v>C18</x:v>
      </x:c>
      <x:c r="F442" s="51" t="str">
        <x:v>collection</x:v>
      </x:c>
      <x:c r="G442" s="51" t="str">
        <x:v>清远虚拟回收/检测中心</x:v>
      </x:c>
      <x:c r="H442" s="52" t="n">
        <x:v>188.23018139973763</x:v>
      </x:c>
      <x:c r="I442" s="52" t="n">
        <x:v>206.3306</x:v>
      </x:c>
      <x:c r="J442" s="52" t="n">
        <x:v>151.97666666666666</x:v>
      </x:c>
      <x:c r="K442" s="52" t="n">
        <x:f>IFERROR(I442/H442,"")</x:f>
        <x:v>1.0961610856753263</x:v>
      </x:c>
      <x:c r="L442" s="52" t="n">
        <x:v>150</x:v>
      </x:c>
      <x:c r="M442" s="65" t="n">
        <x:f>IF(H442&lt;=L442,1,0)</x:f>
        <x:v>0</x:v>
      </x:c>
      <x:c r="N442" s="65" t="n">
        <x:f>IF(I442&lt;=L442,1,0)</x:f>
        <x:v>0</x:v>
      </x:c>
      <x:c r="O442" s="51" t="str">
        <x:f>IF(M442=N442,"不变",IF(N442=1,"由禁变允","由允变禁"))</x:f>
        <x:v>不变</x:v>
      </x:c>
      <x:c r="P442" s="51" t="str">
        <x:v>OSRM driving/car</x:v>
      </x:c>
      <x:c r="Q442" s="51" t="str">
        <x:v>2026-08-15</x:v>
      </x:c>
      <x:c r="R442" s="51" t="str">
        <x:v>C-开放路网计算；不是货车/危运合规路线</x:v>
      </x:c>
      <x:c r="S442" s="51" t="str">
        <x:v>https://routing.openstreetmap.de/routed-car/</x:v>
      </x:c>
    </x:row>
    <x:row r="443">
      <x:c r="A443" s="51" t="str">
        <x:v>A0439</x:v>
      </x:c>
      <x:c r="B443" s="51" t="str">
        <x:v>GD21</x:v>
      </x:c>
      <x:c r="C443" s="51" t="str">
        <x:v>source</x:v>
      </x:c>
      <x:c r="D443" s="51" t="str">
        <x:v>云浮</x:v>
      </x:c>
      <x:c r="E443" s="51" t="str">
        <x:v>C19</x:v>
      </x:c>
      <x:c r="F443" s="51" t="str">
        <x:v>collection</x:v>
      </x:c>
      <x:c r="G443" s="51" t="str">
        <x:v>潮州虚拟回收/检测中心</x:v>
      </x:c>
      <x:c r="H443" s="52" t="n">
        <x:v>599.5763727397381</x:v>
      </x:c>
      <x:c r="I443" s="52" t="n">
        <x:v>588.5052</x:v>
      </x:c>
      <x:c r="J443" s="52" t="n">
        <x:v>404.51666666666665</x:v>
      </x:c>
      <x:c r="K443" s="52" t="n">
        <x:f>IFERROR(I443/H443,"")</x:f>
        <x:v>0.981535008310703</x:v>
      </x:c>
      <x:c r="L443" s="52" t="n">
        <x:v>150</x:v>
      </x:c>
      <x:c r="M443" s="65" t="n">
        <x:f>IF(H443&lt;=L443,1,0)</x:f>
        <x:v>0</x:v>
      </x:c>
      <x:c r="N443" s="65" t="n">
        <x:f>IF(I443&lt;=L443,1,0)</x:f>
        <x:v>0</x:v>
      </x:c>
      <x:c r="O443" s="51" t="str">
        <x:f>IF(M443=N443,"不变",IF(N443=1,"由禁变允","由允变禁"))</x:f>
        <x:v>不变</x:v>
      </x:c>
      <x:c r="P443" s="51" t="str">
        <x:v>OSRM driving/car</x:v>
      </x:c>
      <x:c r="Q443" s="51" t="str">
        <x:v>2026-08-15</x:v>
      </x:c>
      <x:c r="R443" s="51" t="str">
        <x:v>C-开放路网计算；不是货车/危运合规路线</x:v>
      </x:c>
      <x:c r="S443" s="51" t="str">
        <x:v>https://routing.openstreetmap.de/routed-car/</x:v>
      </x:c>
    </x:row>
    <x:row r="444">
      <x:c r="A444" s="51" t="str">
        <x:v>A0440</x:v>
      </x:c>
      <x:c r="B444" s="51" t="str">
        <x:v>GD21</x:v>
      </x:c>
      <x:c r="C444" s="51" t="str">
        <x:v>source</x:v>
      </x:c>
      <x:c r="D444" s="51" t="str">
        <x:v>云浮</x:v>
      </x:c>
      <x:c r="E444" s="51" t="str">
        <x:v>C20</x:v>
      </x:c>
      <x:c r="F444" s="51" t="str">
        <x:v>collection</x:v>
      </x:c>
      <x:c r="G444" s="51" t="str">
        <x:v>揭阳虚拟回收/检测中心</x:v>
      </x:c>
      <x:c r="H444" s="52" t="n">
        <x:v>566.9462403145282</x:v>
      </x:c>
      <x:c r="I444" s="52" t="n">
        <x:v>555.5895</x:v>
      </x:c>
      <x:c r="J444" s="52" t="n">
        <x:v>386.495</x:v>
      </x:c>
      <x:c r="K444" s="52" t="n">
        <x:f>IFERROR(I444/H444,"")</x:f>
        <x:v>0.979968576371143</x:v>
      </x:c>
      <x:c r="L444" s="52" t="n">
        <x:v>150</x:v>
      </x:c>
      <x:c r="M444" s="65" t="n">
        <x:f>IF(H444&lt;=L444,1,0)</x:f>
        <x:v>0</x:v>
      </x:c>
      <x:c r="N444" s="65" t="n">
        <x:f>IF(I444&lt;=L444,1,0)</x:f>
        <x:v>0</x:v>
      </x:c>
      <x:c r="O444" s="51" t="str">
        <x:f>IF(M444=N444,"不变",IF(N444=1,"由禁变允","由允变禁"))</x:f>
        <x:v>不变</x:v>
      </x:c>
      <x:c r="P444" s="51" t="str">
        <x:v>OSRM driving/car</x:v>
      </x:c>
      <x:c r="Q444" s="51" t="str">
        <x:v>2026-08-15</x:v>
      </x:c>
      <x:c r="R444" s="51" t="str">
        <x:v>C-开放路网计算；不是货车/危运合规路线</x:v>
      </x:c>
      <x:c r="S444" s="51" t="str">
        <x:v>https://routing.openstreetmap.de/routed-car/</x:v>
      </x:c>
    </x:row>
    <x:row r="445">
      <x:c r="A445" s="51" t="str">
        <x:v>A0441</x:v>
      </x:c>
      <x:c r="B445" s="51" t="str">
        <x:v>GD21</x:v>
      </x:c>
      <x:c r="C445" s="51" t="str">
        <x:v>source</x:v>
      </x:c>
      <x:c r="D445" s="51" t="str">
        <x:v>云浮</x:v>
      </x:c>
      <x:c r="E445" s="51" t="str">
        <x:v>C21</x:v>
      </x:c>
      <x:c r="F445" s="51" t="str">
        <x:v>collection</x:v>
      </x:c>
      <x:c r="G445" s="51" t="str">
        <x:v>云浮虚拟回收/检测中心</x:v>
      </x:c>
      <x:c r="H445" s="52" t="n">
        <x:v>0</x:v>
      </x:c>
      <x:c r="I445" s="52" t="n">
        <x:v>0</x:v>
      </x:c>
      <x:c r="J445" s="52" t="n">
        <x:v>0</x:v>
      </x:c>
      <x:c r="K445" s="52" t="str">
        <x:f>IFERROR(I445/H445,"")</x:f>
      </x:c>
      <x:c r="L445" s="52" t="n">
        <x:v>150</x:v>
      </x:c>
      <x:c r="M445" s="65" t="n">
        <x:f>IF(H445&lt;=L445,1,0)</x:f>
        <x:v>1</x:v>
      </x:c>
      <x:c r="N445" s="65" t="n">
        <x:f>IF(I445&lt;=L445,1,0)</x:f>
        <x:v>1</x:v>
      </x:c>
      <x:c r="O445" s="51" t="str">
        <x:f>IF(M445=N445,"不变",IF(N445=1,"由禁变允","由允变禁"))</x:f>
        <x:v>不变</x:v>
      </x:c>
      <x:c r="P445" s="51" t="str">
        <x:v>OSRM driving/car</x:v>
      </x:c>
      <x:c r="Q445" s="51" t="str">
        <x:v>2026-08-15</x:v>
      </x:c>
      <x:c r="R445" s="51" t="str">
        <x:v>C-开放路网计算；不是货车/危运合规路线</x:v>
      </x:c>
      <x:c r="S445" s="51" t="str">
        <x:v>https://routing.openstreetmap.de/routed-car/</x:v>
      </x:c>
    </x:row>
    <x:row r="446">
      <x:c r="A446" s="51" t="str">
        <x:v>A0442</x:v>
      </x:c>
      <x:c r="B446" s="51" t="str">
        <x:v>C01</x:v>
      </x:c>
      <x:c r="C446" s="51" t="str">
        <x:v>collection</x:v>
      </x:c>
      <x:c r="D446" s="51" t="str">
        <x:v>广州虚拟回收/检测中心</x:v>
      </x:c>
      <x:c r="E446" s="51" t="str">
        <x:v>P01</x:v>
      </x:c>
      <x:c r="F446" s="51" t="str">
        <x:v>recycling</x:v>
      </x:c>
      <x:c r="G446" s="51" t="str">
        <x:v>汕尾比亚迪废旧动力电池回收项目</x:v>
      </x:c>
      <x:c r="H446" s="52" t="n">
        <x:v>259.6891464052893</x:v>
      </x:c>
      <x:c r="I446" s="52" t="n">
        <x:v>260.8387</x:v>
      </x:c>
      <x:c r="J446" s="52" t="n">
        <x:v>179.55166666666668</x:v>
      </x:c>
      <x:c r="K446" s="52" t="n">
        <x:f>IFERROR(I446/H446,"")</x:f>
        <x:v>1.0044266524443677</x:v>
      </x:c>
      <x:c r="L446" s="52" t="n">
        <x:v>400</x:v>
      </x:c>
      <x:c r="M446" s="65" t="n">
        <x:f>IF(H446&lt;=L446,1,0)</x:f>
        <x:v>1</x:v>
      </x:c>
      <x:c r="N446" s="65" t="n">
        <x:f>IF(I446&lt;=L446,1,0)</x:f>
        <x:v>1</x:v>
      </x:c>
      <x:c r="O446" s="51" t="str">
        <x:f>IF(M446=N446,"不变",IF(N446=1,"由禁变允","由允变禁"))</x:f>
        <x:v>不变</x:v>
      </x:c>
      <x:c r="P446" s="51" t="str">
        <x:v>OSRM driving/car</x:v>
      </x:c>
      <x:c r="Q446" s="51" t="str">
        <x:v>2026-08-15</x:v>
      </x:c>
      <x:c r="R446" s="51" t="str">
        <x:v>C-开放路网计算；不是货车/危运合规路线</x:v>
      </x:c>
      <x:c r="S446" s="51" t="str">
        <x:v>https://routing.openstreetmap.de/routed-car/</x:v>
      </x:c>
    </x:row>
    <x:row r="447">
      <x:c r="A447" s="51" t="str">
        <x:v>A0443</x:v>
      </x:c>
      <x:c r="B447" s="51" t="str">
        <x:v>C01</x:v>
      </x:c>
      <x:c r="C447" s="51" t="str">
        <x:v>collection</x:v>
      </x:c>
      <x:c r="D447" s="51" t="str">
        <x:v>广州虚拟回收/检测中心</x:v>
      </x:c>
      <x:c r="E447" s="51" t="str">
        <x:v>P02E</x:v>
      </x:c>
      <x:c r="F447" s="51" t="str">
        <x:v>echelon</x:v>
      </x:c>
      <x:c r="G447" s="51" t="str">
        <x:v>广东光华科技股份有限公司（梯次功能）</x:v>
      </x:c>
      <x:c r="H447" s="52" t="n">
        <x:v>420.22799394481007</x:v>
      </x:c>
      <x:c r="I447" s="52" t="n">
        <x:v>414.9252</x:v>
      </x:c>
      <x:c r="J447" s="52" t="n">
        <x:v>289.405</x:v>
      </x:c>
      <x:c r="K447" s="52" t="n">
        <x:f>IFERROR(I447/H447,"")</x:f>
        <x:v>0.9873811501822354</x:v>
      </x:c>
      <x:c r="L447" s="52" t="n">
        <x:v>300</x:v>
      </x:c>
      <x:c r="M447" s="65" t="n">
        <x:f>IF(H447&lt;=L447,1,0)</x:f>
        <x:v>0</x:v>
      </x:c>
      <x:c r="N447" s="65" t="n">
        <x:f>IF(I447&lt;=L447,1,0)</x:f>
        <x:v>0</x:v>
      </x:c>
      <x:c r="O447" s="51" t="str">
        <x:f>IF(M447=N447,"不变",IF(N447=1,"由禁变允","由允变禁"))</x:f>
        <x:v>不变</x:v>
      </x:c>
      <x:c r="P447" s="51" t="str">
        <x:v>OSRM driving/car</x:v>
      </x:c>
      <x:c r="Q447" s="51" t="str">
        <x:v>2026-08-15</x:v>
      </x:c>
      <x:c r="R447" s="51" t="str">
        <x:v>C-开放路网计算；不是货车/危运合规路线</x:v>
      </x:c>
      <x:c r="S447" s="51" t="str">
        <x:v>https://routing.openstreetmap.de/routed-car/</x:v>
      </x:c>
    </x:row>
    <x:row r="448">
      <x:c r="A448" s="51" t="str">
        <x:v>A0444</x:v>
      </x:c>
      <x:c r="B448" s="51" t="str">
        <x:v>C01</x:v>
      </x:c>
      <x:c r="C448" s="51" t="str">
        <x:v>collection</x:v>
      </x:c>
      <x:c r="D448" s="51" t="str">
        <x:v>广州虚拟回收/检测中心</x:v>
      </x:c>
      <x:c r="E448" s="51" t="str">
        <x:v>P02R</x:v>
      </x:c>
      <x:c r="F448" s="51" t="str">
        <x:v>recycling</x:v>
      </x:c>
      <x:c r="G448" s="51" t="str">
        <x:v>广东光华科技股份有限公司（再生功能）</x:v>
      </x:c>
      <x:c r="H448" s="52" t="n">
        <x:v>420.22799394481007</x:v>
      </x:c>
      <x:c r="I448" s="52" t="n">
        <x:v>414.9252</x:v>
      </x:c>
      <x:c r="J448" s="52" t="n">
        <x:v>289.405</x:v>
      </x:c>
      <x:c r="K448" s="52" t="n">
        <x:f>IFERROR(I448/H448,"")</x:f>
        <x:v>0.9873811501822354</x:v>
      </x:c>
      <x:c r="L448" s="52" t="n">
        <x:v>400</x:v>
      </x:c>
      <x:c r="M448" s="65" t="n">
        <x:f>IF(H448&lt;=L448,1,0)</x:f>
        <x:v>0</x:v>
      </x:c>
      <x:c r="N448" s="65" t="n">
        <x:f>IF(I448&lt;=L448,1,0)</x:f>
        <x:v>0</x:v>
      </x:c>
      <x:c r="O448" s="51" t="str">
        <x:f>IF(M448=N448,"不变",IF(N448=1,"由禁变允","由允变禁"))</x:f>
        <x:v>不变</x:v>
      </x:c>
      <x:c r="P448" s="51" t="str">
        <x:v>OSRM driving/car</x:v>
      </x:c>
      <x:c r="Q448" s="51" t="str">
        <x:v>2026-08-15</x:v>
      </x:c>
      <x:c r="R448" s="51" t="str">
        <x:v>C-开放路网计算；不是货车/危运合规路线</x:v>
      </x:c>
      <x:c r="S448" s="51" t="str">
        <x:v>https://routing.openstreetmap.de/routed-car/</x:v>
      </x:c>
    </x:row>
    <x:row r="449">
      <x:c r="A449" s="51" t="str">
        <x:v>A0445</x:v>
      </x:c>
      <x:c r="B449" s="51" t="str">
        <x:v>C01</x:v>
      </x:c>
      <x:c r="C449" s="51" t="str">
        <x:v>collection</x:v>
      </x:c>
      <x:c r="D449" s="51" t="str">
        <x:v>广州虚拟回收/检测中心</x:v>
      </x:c>
      <x:c r="E449" s="51" t="str">
        <x:v>P03</x:v>
      </x:c>
      <x:c r="F449" s="51" t="str">
        <x:v>echelon</x:v>
      </x:c>
      <x:c r="G449" s="51" t="str">
        <x:v>深圳深汕特别合作区乾泰技术有限公司</x:v>
      </x:c>
      <x:c r="H449" s="52" t="n">
        <x:v>276.7760629013141</x:v>
      </x:c>
      <x:c r="I449" s="52" t="n">
        <x:v>274.5215</x:v>
      </x:c>
      <x:c r="J449" s="52" t="n">
        <x:v>207.79166666666666</x:v>
      </x:c>
      <x:c r="K449" s="52" t="n">
        <x:f>IFERROR(I449/H449,"")</x:f>
        <x:v>0.991854198380884</x:v>
      </x:c>
      <x:c r="L449" s="52" t="n">
        <x:v>300</x:v>
      </x:c>
      <x:c r="M449" s="65" t="n">
        <x:f>IF(H449&lt;=L449,1,0)</x:f>
        <x:v>1</x:v>
      </x:c>
      <x:c r="N449" s="65" t="n">
        <x:f>IF(I449&lt;=L449,1,0)</x:f>
        <x:v>1</x:v>
      </x:c>
      <x:c r="O449" s="51" t="str">
        <x:f>IF(M449=N449,"不变",IF(N449=1,"由禁变允","由允变禁"))</x:f>
        <x:v>不变</x:v>
      </x:c>
      <x:c r="P449" s="51" t="str">
        <x:v>OSRM driving/car</x:v>
      </x:c>
      <x:c r="Q449" s="51" t="str">
        <x:v>2026-08-15</x:v>
      </x:c>
      <x:c r="R449" s="51" t="str">
        <x:v>C-开放路网计算；不是货车/危运合规路线</x:v>
      </x:c>
      <x:c r="S449" s="51" t="str">
        <x:v>https://routing.openstreetmap.de/routed-car/</x:v>
      </x:c>
    </x:row>
    <x:row r="450">
      <x:c r="A450" s="51" t="str">
        <x:v>A0446</x:v>
      </x:c>
      <x:c r="B450" s="51" t="str">
        <x:v>C01</x:v>
      </x:c>
      <x:c r="C450" s="51" t="str">
        <x:v>collection</x:v>
      </x:c>
      <x:c r="D450" s="51" t="str">
        <x:v>广州虚拟回收/检测中心</x:v>
      </x:c>
      <x:c r="E450" s="51" t="str">
        <x:v>P04</x:v>
      </x:c>
      <x:c r="F450" s="51" t="str">
        <x:v>echelon</x:v>
      </x:c>
      <x:c r="G450" s="51" t="str">
        <x:v>珠海中力新能源科技有限公司</x:v>
      </x:c>
      <x:c r="H450" s="52" t="n">
        <x:v>120.43690722365889</x:v>
      </x:c>
      <x:c r="I450" s="52" t="n">
        <x:v>127.8165</x:v>
      </x:c>
      <x:c r="J450" s="52" t="n">
        <x:v>94.055</x:v>
      </x:c>
      <x:c r="K450" s="52" t="n">
        <x:f>IFERROR(I450/H450,"")</x:f>
        <x:v>1.0612735161210736</x:v>
      </x:c>
      <x:c r="L450" s="52" t="n">
        <x:v>300</x:v>
      </x:c>
      <x:c r="M450" s="65" t="n">
        <x:f>IF(H450&lt;=L450,1,0)</x:f>
        <x:v>1</x:v>
      </x:c>
      <x:c r="N450" s="65" t="n">
        <x:f>IF(I450&lt;=L450,1,0)</x:f>
        <x:v>1</x:v>
      </x:c>
      <x:c r="O450" s="51" t="str">
        <x:f>IF(M450=N450,"不变",IF(N450=1,"由禁变允","由允变禁"))</x:f>
        <x:v>不变</x:v>
      </x:c>
      <x:c r="P450" s="51" t="str">
        <x:v>OSRM driving/car</x:v>
      </x:c>
      <x:c r="Q450" s="51" t="str">
        <x:v>2026-08-15</x:v>
      </x:c>
      <x:c r="R450" s="51" t="str">
        <x:v>C-开放路网计算；不是货车/危运合规路线</x:v>
      </x:c>
      <x:c r="S450" s="51" t="str">
        <x:v>https://routing.openstreetmap.de/routed-car/</x:v>
      </x:c>
    </x:row>
    <x:row r="451">
      <x:c r="A451" s="51" t="str">
        <x:v>A0447</x:v>
      </x:c>
      <x:c r="B451" s="51" t="str">
        <x:v>C01</x:v>
      </x:c>
      <x:c r="C451" s="51" t="str">
        <x:v>collection</x:v>
      </x:c>
      <x:c r="D451" s="51" t="str">
        <x:v>广州虚拟回收/检测中心</x:v>
      </x:c>
      <x:c r="E451" s="51" t="str">
        <x:v>P05</x:v>
      </x:c>
      <x:c r="F451" s="51" t="str">
        <x:v>echelon</x:v>
      </x:c>
      <x:c r="G451" s="51" t="str">
        <x:v>惠州市恒创睿能环保科技有限公司</x:v>
      </x:c>
      <x:c r="H451" s="52" t="n">
        <x:v>141.59962050860264</x:v>
      </x:c>
      <x:c r="I451" s="52" t="n">
        <x:v>138.7404</x:v>
      </x:c>
      <x:c r="J451" s="52" t="n">
        <x:v>98.4</x:v>
      </x:c>
      <x:c r="K451" s="52" t="n">
        <x:f>IFERROR(I451/H451,"")</x:f>
        <x:v>0.9798077106539355</x:v>
      </x:c>
      <x:c r="L451" s="52" t="n">
        <x:v>300</x:v>
      </x:c>
      <x:c r="M451" s="65" t="n">
        <x:f>IF(H451&lt;=L451,1,0)</x:f>
        <x:v>1</x:v>
      </x:c>
      <x:c r="N451" s="65" t="n">
        <x:f>IF(I451&lt;=L451,1,0)</x:f>
        <x:v>1</x:v>
      </x:c>
      <x:c r="O451" s="51" t="str">
        <x:f>IF(M451=N451,"不变",IF(N451=1,"由禁变允","由允变禁"))</x:f>
        <x:v>不变</x:v>
      </x:c>
      <x:c r="P451" s="51" t="str">
        <x:v>OSRM driving/car</x:v>
      </x:c>
      <x:c r="Q451" s="51" t="str">
        <x:v>2026-08-15</x:v>
      </x:c>
      <x:c r="R451" s="51" t="str">
        <x:v>C-开放路网计算；不是货车/危运合规路线</x:v>
      </x:c>
      <x:c r="S451" s="51" t="str">
        <x:v>https://routing.openstreetmap.de/routed-car/</x:v>
      </x:c>
    </x:row>
    <x:row r="452">
      <x:c r="A452" s="51" t="str">
        <x:v>A0448</x:v>
      </x:c>
      <x:c r="B452" s="51" t="str">
        <x:v>C01</x:v>
      </x:c>
      <x:c r="C452" s="51" t="str">
        <x:v>collection</x:v>
      </x:c>
      <x:c r="D452" s="51" t="str">
        <x:v>广州虚拟回收/检测中心</x:v>
      </x:c>
      <x:c r="E452" s="51" t="str">
        <x:v>P06</x:v>
      </x:c>
      <x:c r="F452" s="51" t="str">
        <x:v>echelon</x:v>
      </x:c>
      <x:c r="G452" s="51" t="str">
        <x:v>江门市朗达锂电池有限公司</x:v>
      </x:c>
      <x:c r="H452" s="52" t="n">
        <x:v>76.3956958586808</x:v>
      </x:c>
      <x:c r="I452" s="52" t="n">
        <x:v>81.83030000000001</x:v>
      </x:c>
      <x:c r="J452" s="52" t="n">
        <x:v>64.17833333333333</x:v>
      </x:c>
      <x:c r="K452" s="52" t="n">
        <x:f>IFERROR(I452/H452,"")</x:f>
        <x:v>1.0711375697313146</x:v>
      </x:c>
      <x:c r="L452" s="52" t="n">
        <x:v>300</x:v>
      </x:c>
      <x:c r="M452" s="65" t="n">
        <x:f>IF(H452&lt;=L452,1,0)</x:f>
        <x:v>1</x:v>
      </x:c>
      <x:c r="N452" s="65" t="n">
        <x:f>IF(I452&lt;=L452,1,0)</x:f>
        <x:v>1</x:v>
      </x:c>
      <x:c r="O452" s="51" t="str">
        <x:f>IF(M452=N452,"不变",IF(N452=1,"由禁变允","由允变禁"))</x:f>
        <x:v>不变</x:v>
      </x:c>
      <x:c r="P452" s="51" t="str">
        <x:v>OSRM driving/car</x:v>
      </x:c>
      <x:c r="Q452" s="51" t="str">
        <x:v>2026-08-15</x:v>
      </x:c>
      <x:c r="R452" s="51" t="str">
        <x:v>C-开放路网计算；不是货车/危运合规路线</x:v>
      </x:c>
      <x:c r="S452" s="51" t="str">
        <x:v>https://routing.openstreetmap.de/routed-car/</x:v>
      </x:c>
    </x:row>
    <x:row r="453">
      <x:c r="A453" s="51" t="str">
        <x:v>A0449</x:v>
      </x:c>
      <x:c r="B453" s="51" t="str">
        <x:v>C01</x:v>
      </x:c>
      <x:c r="C453" s="51" t="str">
        <x:v>collection</x:v>
      </x:c>
      <x:c r="D453" s="51" t="str">
        <x:v>广州虚拟回收/检测中心</x:v>
      </x:c>
      <x:c r="E453" s="51" t="str">
        <x:v>P07</x:v>
      </x:c>
      <x:c r="F453" s="51" t="str">
        <x:v>echelon</x:v>
      </x:c>
      <x:c r="G453" s="51" t="str">
        <x:v>广东迪度新能源有限公司</x:v>
      </x:c>
      <x:c r="H453" s="52" t="n">
        <x:v>61.48835744881942</x:v>
      </x:c>
      <x:c r="I453" s="52" t="n">
        <x:v>63.2176</x:v>
      </x:c>
      <x:c r="J453" s="52" t="n">
        <x:v>48.34666666666667</x:v>
      </x:c>
      <x:c r="K453" s="52" t="n">
        <x:f>IFERROR(I453/H453,"")</x:f>
        <x:v>1.0281230890355126</x:v>
      </x:c>
      <x:c r="L453" s="52" t="n">
        <x:v>300</x:v>
      </x:c>
      <x:c r="M453" s="65" t="n">
        <x:f>IF(H453&lt;=L453,1,0)</x:f>
        <x:v>1</x:v>
      </x:c>
      <x:c r="N453" s="65" t="n">
        <x:f>IF(I453&lt;=L453,1,0)</x:f>
        <x:v>1</x:v>
      </x:c>
      <x:c r="O453" s="51" t="str">
        <x:f>IF(M453=N453,"不变",IF(N453=1,"由禁变允","由允变禁"))</x:f>
        <x:v>不变</x:v>
      </x:c>
      <x:c r="P453" s="51" t="str">
        <x:v>OSRM driving/car</x:v>
      </x:c>
      <x:c r="Q453" s="51" t="str">
        <x:v>2026-08-15</x:v>
      </x:c>
      <x:c r="R453" s="51" t="str">
        <x:v>C-开放路网计算；不是货车/危运合规路线</x:v>
      </x:c>
      <x:c r="S453" s="51" t="str">
        <x:v>https://routing.openstreetmap.de/routed-car/</x:v>
      </x:c>
    </x:row>
    <x:row r="454">
      <x:c r="A454" s="51" t="str">
        <x:v>A0450</x:v>
      </x:c>
      <x:c r="B454" s="51" t="str">
        <x:v>C01</x:v>
      </x:c>
      <x:c r="C454" s="51" t="str">
        <x:v>collection</x:v>
      </x:c>
      <x:c r="D454" s="51" t="str">
        <x:v>广州虚拟回收/检测中心</x:v>
      </x:c>
      <x:c r="E454" s="51" t="str">
        <x:v>P08</x:v>
      </x:c>
      <x:c r="F454" s="51" t="str">
        <x:v>echelon</x:v>
      </x:c>
      <x:c r="G454" s="51" t="str">
        <x:v>东莞市博森新能源有限公司</x:v>
      </x:c>
      <x:c r="H454" s="52" t="n">
        <x:v>61.48835744881942</x:v>
      </x:c>
      <x:c r="I454" s="52" t="n">
        <x:v>63.2176</x:v>
      </x:c>
      <x:c r="J454" s="52" t="n">
        <x:v>48.34666666666667</x:v>
      </x:c>
      <x:c r="K454" s="52" t="n">
        <x:f>IFERROR(I454/H454,"")</x:f>
        <x:v>1.0281230890355126</x:v>
      </x:c>
      <x:c r="L454" s="52" t="n">
        <x:v>300</x:v>
      </x:c>
      <x:c r="M454" s="65" t="n">
        <x:f>IF(H454&lt;=L454,1,0)</x:f>
        <x:v>1</x:v>
      </x:c>
      <x:c r="N454" s="65" t="n">
        <x:f>IF(I454&lt;=L454,1,0)</x:f>
        <x:v>1</x:v>
      </x:c>
      <x:c r="O454" s="51" t="str">
        <x:f>IF(M454=N454,"不变",IF(N454=1,"由禁变允","由允变禁"))</x:f>
        <x:v>不变</x:v>
      </x:c>
      <x:c r="P454" s="51" t="str">
        <x:v>OSRM driving/car</x:v>
      </x:c>
      <x:c r="Q454" s="51" t="str">
        <x:v>2026-08-15</x:v>
      </x:c>
      <x:c r="R454" s="51" t="str">
        <x:v>C-开放路网计算；不是货车/危运合规路线</x:v>
      </x:c>
      <x:c r="S454" s="51" t="str">
        <x:v>https://routing.openstreetmap.de/routed-car/</x:v>
      </x:c>
    </x:row>
    <x:row r="455">
      <x:c r="A455" s="51" t="str">
        <x:v>A0451</x:v>
      </x:c>
      <x:c r="B455" s="51" t="str">
        <x:v>C01</x:v>
      </x:c>
      <x:c r="C455" s="51" t="str">
        <x:v>collection</x:v>
      </x:c>
      <x:c r="D455" s="51" t="str">
        <x:v>广州虚拟回收/检测中心</x:v>
      </x:c>
      <x:c r="E455" s="51" t="str">
        <x:v>P09</x:v>
      </x:c>
      <x:c r="F455" s="51" t="str">
        <x:v>echelon</x:v>
      </x:c>
      <x:c r="G455" s="51" t="str">
        <x:v>广东宇阳新能源有限公司</x:v>
      </x:c>
      <x:c r="H455" s="52" t="n">
        <x:v>61.48835744881942</x:v>
      </x:c>
      <x:c r="I455" s="52" t="n">
        <x:v>63.2176</x:v>
      </x:c>
      <x:c r="J455" s="52" t="n">
        <x:v>48.34666666666667</x:v>
      </x:c>
      <x:c r="K455" s="52" t="n">
        <x:f>IFERROR(I455/H455,"")</x:f>
        <x:v>1.0281230890355126</x:v>
      </x:c>
      <x:c r="L455" s="52" t="n">
        <x:v>300</x:v>
      </x:c>
      <x:c r="M455" s="65" t="n">
        <x:f>IF(H455&lt;=L455,1,0)</x:f>
        <x:v>1</x:v>
      </x:c>
      <x:c r="N455" s="65" t="n">
        <x:f>IF(I455&lt;=L455,1,0)</x:f>
        <x:v>1</x:v>
      </x:c>
      <x:c r="O455" s="51" t="str">
        <x:f>IF(M455=N455,"不变",IF(N455=1,"由禁变允","由允变禁"))</x:f>
        <x:v>不变</x:v>
      </x:c>
      <x:c r="P455" s="51" t="str">
        <x:v>OSRM driving/car</x:v>
      </x:c>
      <x:c r="Q455" s="51" t="str">
        <x:v>2026-08-15</x:v>
      </x:c>
      <x:c r="R455" s="51" t="str">
        <x:v>C-开放路网计算；不是货车/危运合规路线</x:v>
      </x:c>
      <x:c r="S455" s="51" t="str">
        <x:v>https://routing.openstreetmap.de/routed-car/</x:v>
      </x:c>
    </x:row>
    <x:row r="456">
      <x:c r="A456" s="51" t="str">
        <x:v>A0452</x:v>
      </x:c>
      <x:c r="B456" s="51" t="str">
        <x:v>C01</x:v>
      </x:c>
      <x:c r="C456" s="51" t="str">
        <x:v>collection</x:v>
      </x:c>
      <x:c r="D456" s="51" t="str">
        <x:v>广州虚拟回收/检测中心</x:v>
      </x:c>
      <x:c r="E456" s="51" t="str">
        <x:v>P10</x:v>
      </x:c>
      <x:c r="F456" s="51" t="str">
        <x:v>echelon</x:v>
      </x:c>
      <x:c r="G456" s="51" t="str">
        <x:v>广州广汽商贸再生资源有限公司</x:v>
      </x:c>
      <x:c r="H456" s="52" t="n">
        <x:v>0</x:v>
      </x:c>
      <x:c r="I456" s="52" t="n">
        <x:v>0</x:v>
      </x:c>
      <x:c r="J456" s="52" t="n">
        <x:v>0</x:v>
      </x:c>
      <x:c r="K456" s="52" t="str">
        <x:f>IFERROR(I456/H456,"")</x:f>
      </x:c>
      <x:c r="L456" s="52" t="n">
        <x:v>300</x:v>
      </x:c>
      <x:c r="M456" s="65" t="n">
        <x:f>IF(H456&lt;=L456,1,0)</x:f>
        <x:v>1</x:v>
      </x:c>
      <x:c r="N456" s="65" t="n">
        <x:f>IF(I456&lt;=L456,1,0)</x:f>
        <x:v>1</x:v>
      </x:c>
      <x:c r="O456" s="51" t="str">
        <x:f>IF(M456=N456,"不变",IF(N456=1,"由禁变允","由允变禁"))</x:f>
        <x:v>不变</x:v>
      </x:c>
      <x:c r="P456" s="51" t="str">
        <x:v>OSRM driving/car</x:v>
      </x:c>
      <x:c r="Q456" s="51" t="str">
        <x:v>2026-08-15</x:v>
      </x:c>
      <x:c r="R456" s="51" t="str">
        <x:v>C-开放路网计算；不是货车/危运合规路线</x:v>
      </x:c>
      <x:c r="S456" s="51" t="str">
        <x:v>https://routing.openstreetmap.de/routed-car/</x:v>
      </x:c>
    </x:row>
    <x:row r="457">
      <x:c r="A457" s="51" t="str">
        <x:v>A0453</x:v>
      </x:c>
      <x:c r="B457" s="51" t="str">
        <x:v>C01</x:v>
      </x:c>
      <x:c r="C457" s="51" t="str">
        <x:v>collection</x:v>
      </x:c>
      <x:c r="D457" s="51" t="str">
        <x:v>广州虚拟回收/检测中心</x:v>
      </x:c>
      <x:c r="E457" s="51" t="str">
        <x:v>P11</x:v>
      </x:c>
      <x:c r="F457" s="51" t="str">
        <x:v>echelon</x:v>
      </x:c>
      <x:c r="G457" s="51" t="str">
        <x:v>深圳市杰成镍钴新能源科技有限公司</x:v>
      </x:c>
      <x:c r="H457" s="52" t="n">
        <x:v>125.09932920710673</x:v>
      </x:c>
      <x:c r="I457" s="52" t="n">
        <x:v>141.4812</x:v>
      </x:c>
      <x:c r="J457" s="52" t="n">
        <x:v>94.66833333333334</x:v>
      </x:c>
      <x:c r="K457" s="52" t="n">
        <x:f>IFERROR(I457/H457,"")</x:f>
        <x:v>1.1309509083439804</x:v>
      </x:c>
      <x:c r="L457" s="52" t="n">
        <x:v>300</x:v>
      </x:c>
      <x:c r="M457" s="65" t="n">
        <x:f>IF(H457&lt;=L457,1,0)</x:f>
        <x:v>1</x:v>
      </x:c>
      <x:c r="N457" s="65" t="n">
        <x:f>IF(I457&lt;=L457,1,0)</x:f>
        <x:v>1</x:v>
      </x:c>
      <x:c r="O457" s="51" t="str">
        <x:f>IF(M457=N457,"不变",IF(N457=1,"由禁变允","由允变禁"))</x:f>
        <x:v>不变</x:v>
      </x:c>
      <x:c r="P457" s="51" t="str">
        <x:v>OSRM driving/car</x:v>
      </x:c>
      <x:c r="Q457" s="51" t="str">
        <x:v>2026-08-15</x:v>
      </x:c>
      <x:c r="R457" s="51" t="str">
        <x:v>C-开放路网计算；不是货车/危运合规路线</x:v>
      </x:c>
      <x:c r="S457" s="51" t="str">
        <x:v>https://routing.openstreetmap.de/routed-car/</x:v>
      </x:c>
    </x:row>
    <x:row r="458">
      <x:c r="A458" s="51" t="str">
        <x:v>A0454</x:v>
      </x:c>
      <x:c r="B458" s="51" t="str">
        <x:v>C01</x:v>
      </x:c>
      <x:c r="C458" s="51" t="str">
        <x:v>collection</x:v>
      </x:c>
      <x:c r="D458" s="51" t="str">
        <x:v>广州虚拟回收/检测中心</x:v>
      </x:c>
      <x:c r="E458" s="51" t="str">
        <x:v>P12</x:v>
      </x:c>
      <x:c r="F458" s="51" t="str">
        <x:v>recycling</x:v>
      </x:c>
      <x:c r="G458" s="51" t="str">
        <x:v>江门市恒创睿能环保科技有限公司</x:v>
      </x:c>
      <x:c r="H458" s="52" t="n">
        <x:v>76.3956958586808</x:v>
      </x:c>
      <x:c r="I458" s="52" t="n">
        <x:v>81.83030000000001</x:v>
      </x:c>
      <x:c r="J458" s="52" t="n">
        <x:v>64.17833333333333</x:v>
      </x:c>
      <x:c r="K458" s="52" t="n">
        <x:f>IFERROR(I458/H458,"")</x:f>
        <x:v>1.0711375697313146</x:v>
      </x:c>
      <x:c r="L458" s="52" t="n">
        <x:v>400</x:v>
      </x:c>
      <x:c r="M458" s="65" t="n">
        <x:f>IF(H458&lt;=L458,1,0)</x:f>
        <x:v>1</x:v>
      </x:c>
      <x:c r="N458" s="65" t="n">
        <x:f>IF(I458&lt;=L458,1,0)</x:f>
        <x:v>1</x:v>
      </x:c>
      <x:c r="O458" s="51" t="str">
        <x:f>IF(M458=N458,"不变",IF(N458=1,"由禁变允","由允变禁"))</x:f>
        <x:v>不变</x:v>
      </x:c>
      <x:c r="P458" s="51" t="str">
        <x:v>OSRM driving/car</x:v>
      </x:c>
      <x:c r="Q458" s="51" t="str">
        <x:v>2026-08-15</x:v>
      </x:c>
      <x:c r="R458" s="51" t="str">
        <x:v>C-开放路网计算；不是货车/危运合规路线</x:v>
      </x:c>
      <x:c r="S458" s="51" t="str">
        <x:v>https://routing.openstreetmap.de/routed-car/</x:v>
      </x:c>
    </x:row>
    <x:row r="459">
      <x:c r="A459" s="51" t="str">
        <x:v>A0455</x:v>
      </x:c>
      <x:c r="B459" s="51" t="str">
        <x:v>C01</x:v>
      </x:c>
      <x:c r="C459" s="51" t="str">
        <x:v>collection</x:v>
      </x:c>
      <x:c r="D459" s="51" t="str">
        <x:v>广州虚拟回收/检测中心</x:v>
      </x:c>
      <x:c r="E459" s="51" t="str">
        <x:v>P13</x:v>
      </x:c>
      <x:c r="F459" s="51" t="str">
        <x:v>recycling</x:v>
      </x:c>
      <x:c r="G459" s="51" t="str">
        <x:v>广东佳纳能源科技有限公司</x:v>
      </x:c>
      <x:c r="H459" s="52" t="n">
        <x:v>78.25907590976536</x:v>
      </x:c>
      <x:c r="I459" s="52" t="n">
        <x:v>78.0213</x:v>
      </x:c>
      <x:c r="J459" s="52" t="n">
        <x:v>59.126666666666665</x:v>
      </x:c>
      <x:c r="K459" s="52" t="n">
        <x:f>IFERROR(I459/H459,"")</x:f>
        <x:v>0.9969616826291238</x:v>
      </x:c>
      <x:c r="L459" s="52" t="n">
        <x:v>400</x:v>
      </x:c>
      <x:c r="M459" s="65" t="n">
        <x:f>IF(H459&lt;=L459,1,0)</x:f>
        <x:v>1</x:v>
      </x:c>
      <x:c r="N459" s="65" t="n">
        <x:f>IF(I459&lt;=L459,1,0)</x:f>
        <x:v>1</x:v>
      </x:c>
      <x:c r="O459" s="51" t="str">
        <x:f>IF(M459=N459,"不变",IF(N459=1,"由禁变允","由允变禁"))</x:f>
        <x:v>不变</x:v>
      </x:c>
      <x:c r="P459" s="51" t="str">
        <x:v>OSRM driving/car</x:v>
      </x:c>
      <x:c r="Q459" s="51" t="str">
        <x:v>2026-08-15</x:v>
      </x:c>
      <x:c r="R459" s="51" t="str">
        <x:v>C-开放路网计算；不是货车/危运合规路线</x:v>
      </x:c>
      <x:c r="S459" s="51" t="str">
        <x:v>https://routing.openstreetmap.de/routed-car/</x:v>
      </x:c>
    </x:row>
    <x:row r="460">
      <x:c r="A460" s="51" t="str">
        <x:v>A0456</x:v>
      </x:c>
      <x:c r="B460" s="51" t="str">
        <x:v>C01</x:v>
      </x:c>
      <x:c r="C460" s="51" t="str">
        <x:v>collection</x:v>
      </x:c>
      <x:c r="D460" s="51" t="str">
        <x:v>广州虚拟回收/检测中心</x:v>
      </x:c>
      <x:c r="E460" s="51" t="str">
        <x:v>P14</x:v>
      </x:c>
      <x:c r="F460" s="51" t="str">
        <x:v>echelon</x:v>
      </x:c>
      <x:c r="G460" s="51" t="str">
        <x:v>格林美（深圳）循环科技有限公司</x:v>
      </x:c>
      <x:c r="H460" s="52" t="n">
        <x:v>125.09932920710673</x:v>
      </x:c>
      <x:c r="I460" s="52" t="n">
        <x:v>141.4812</x:v>
      </x:c>
      <x:c r="J460" s="52" t="n">
        <x:v>94.66833333333334</x:v>
      </x:c>
      <x:c r="K460" s="52" t="n">
        <x:f>IFERROR(I460/H460,"")</x:f>
        <x:v>1.1309509083439804</x:v>
      </x:c>
      <x:c r="L460" s="52" t="n">
        <x:v>300</x:v>
      </x:c>
      <x:c r="M460" s="65" t="n">
        <x:f>IF(H460&lt;=L460,1,0)</x:f>
        <x:v>1</x:v>
      </x:c>
      <x:c r="N460" s="65" t="n">
        <x:f>IF(I460&lt;=L460,1,0)</x:f>
        <x:v>1</x:v>
      </x:c>
      <x:c r="O460" s="51" t="str">
        <x:f>IF(M460=N460,"不变",IF(N460=1,"由禁变允","由允变禁"))</x:f>
        <x:v>不变</x:v>
      </x:c>
      <x:c r="P460" s="51" t="str">
        <x:v>OSRM driving/car</x:v>
      </x:c>
      <x:c r="Q460" s="51" t="str">
        <x:v>2026-08-15</x:v>
      </x:c>
      <x:c r="R460" s="51" t="str">
        <x:v>C-开放路网计算；不是货车/危运合规路线</x:v>
      </x:c>
      <x:c r="S460" s="51" t="str">
        <x:v>https://routing.openstreetmap.de/routed-car/</x:v>
      </x:c>
    </x:row>
    <x:row r="461">
      <x:c r="A461" s="51" t="str">
        <x:v>A0457</x:v>
      </x:c>
      <x:c r="B461" s="51" t="str">
        <x:v>C01</x:v>
      </x:c>
      <x:c r="C461" s="51" t="str">
        <x:v>collection</x:v>
      </x:c>
      <x:c r="D461" s="51" t="str">
        <x:v>广州虚拟回收/检测中心</x:v>
      </x:c>
      <x:c r="E461" s="51" t="str">
        <x:v>P15</x:v>
      </x:c>
      <x:c r="F461" s="51" t="str">
        <x:v>echelon</x:v>
      </x:c>
      <x:c r="G461" s="51" t="str">
        <x:v>绿循新能源科技（佛山）有限责任公司</x:v>
      </x:c>
      <x:c r="H461" s="52" t="n">
        <x:v>22.448811015599897</x:v>
      </x:c>
      <x:c r="I461" s="52" t="n">
        <x:v>25.4265</x:v>
      </x:c>
      <x:c r="J461" s="52" t="n">
        <x:v>23.546666666666667</x:v>
      </x:c>
      <x:c r="K461" s="52" t="n">
        <x:f>IFERROR(I461/H461,"")</x:f>
        <x:v>1.1326435053656463</x:v>
      </x:c>
      <x:c r="L461" s="52" t="n">
        <x:v>300</x:v>
      </x:c>
      <x:c r="M461" s="65" t="n">
        <x:f>IF(H461&lt;=L461,1,0)</x:f>
        <x:v>1</x:v>
      </x:c>
      <x:c r="N461" s="65" t="n">
        <x:f>IF(I461&lt;=L461,1,0)</x:f>
        <x:v>1</x:v>
      </x:c>
      <x:c r="O461" s="51" t="str">
        <x:f>IF(M461=N461,"不变",IF(N461=1,"由禁变允","由允变禁"))</x:f>
        <x:v>不变</x:v>
      </x:c>
      <x:c r="P461" s="51" t="str">
        <x:v>OSRM driving/car</x:v>
      </x:c>
      <x:c r="Q461" s="51" t="str">
        <x:v>2026-08-15</x:v>
      </x:c>
      <x:c r="R461" s="51" t="str">
        <x:v>C-开放路网计算；不是货车/危运合规路线</x:v>
      </x:c>
      <x:c r="S461" s="51" t="str">
        <x:v>https://routing.openstreetmap.de/routed-car/</x:v>
      </x:c>
    </x:row>
    <x:row r="462">
      <x:c r="A462" s="51" t="str">
        <x:v>A0458</x:v>
      </x:c>
      <x:c r="B462" s="51" t="str">
        <x:v>C01</x:v>
      </x:c>
      <x:c r="C462" s="51" t="str">
        <x:v>collection</x:v>
      </x:c>
      <x:c r="D462" s="51" t="str">
        <x:v>广州虚拟回收/检测中心</x:v>
      </x:c>
      <x:c r="E462" s="51" t="str">
        <x:v>P16</x:v>
      </x:c>
      <x:c r="F462" s="51" t="str">
        <x:v>echelon</x:v>
      </x:c>
      <x:c r="G462" s="51" t="str">
        <x:v>深圳艾云动智慧科技有限公司</x:v>
      </x:c>
      <x:c r="H462" s="52" t="n">
        <x:v>125.09932920710673</x:v>
      </x:c>
      <x:c r="I462" s="52" t="n">
        <x:v>141.4812</x:v>
      </x:c>
      <x:c r="J462" s="52" t="n">
        <x:v>94.66833333333334</x:v>
      </x:c>
      <x:c r="K462" s="52" t="n">
        <x:f>IFERROR(I462/H462,"")</x:f>
        <x:v>1.1309509083439804</x:v>
      </x:c>
      <x:c r="L462" s="52" t="n">
        <x:v>300</x:v>
      </x:c>
      <x:c r="M462" s="65" t="n">
        <x:f>IF(H462&lt;=L462,1,0)</x:f>
        <x:v>1</x:v>
      </x:c>
      <x:c r="N462" s="65" t="n">
        <x:f>IF(I462&lt;=L462,1,0)</x:f>
        <x:v>1</x:v>
      </x:c>
      <x:c r="O462" s="51" t="str">
        <x:f>IF(M462=N462,"不变",IF(N462=1,"由禁变允","由允变禁"))</x:f>
        <x:v>不变</x:v>
      </x:c>
      <x:c r="P462" s="51" t="str">
        <x:v>OSRM driving/car</x:v>
      </x:c>
      <x:c r="Q462" s="51" t="str">
        <x:v>2026-08-15</x:v>
      </x:c>
      <x:c r="R462" s="51" t="str">
        <x:v>C-开放路网计算；不是货车/危运合规路线</x:v>
      </x:c>
      <x:c r="S462" s="51" t="str">
        <x:v>https://routing.openstreetmap.de/routed-car/</x:v>
      </x:c>
    </x:row>
    <x:row r="463">
      <x:c r="A463" s="51" t="str">
        <x:v>A0459</x:v>
      </x:c>
      <x:c r="B463" s="51" t="str">
        <x:v>C01</x:v>
      </x:c>
      <x:c r="C463" s="51" t="str">
        <x:v>collection</x:v>
      </x:c>
      <x:c r="D463" s="51" t="str">
        <x:v>广州虚拟回收/检测中心</x:v>
      </x:c>
      <x:c r="E463" s="51" t="str">
        <x:v>P17</x:v>
      </x:c>
      <x:c r="F463" s="51" t="str">
        <x:v>echelon</x:v>
      </x:c>
      <x:c r="G463" s="51" t="str">
        <x:v>深圳市荣高晟新能源科技有限公司</x:v>
      </x:c>
      <x:c r="H463" s="52" t="n">
        <x:v>125.09932920710673</x:v>
      </x:c>
      <x:c r="I463" s="52" t="n">
        <x:v>141.4812</x:v>
      </x:c>
      <x:c r="J463" s="52" t="n">
        <x:v>94.66833333333334</x:v>
      </x:c>
      <x:c r="K463" s="52" t="n">
        <x:f>IFERROR(I463/H463,"")</x:f>
        <x:v>1.1309509083439804</x:v>
      </x:c>
      <x:c r="L463" s="52" t="n">
        <x:v>300</x:v>
      </x:c>
      <x:c r="M463" s="65" t="n">
        <x:f>IF(H463&lt;=L463,1,0)</x:f>
        <x:v>1</x:v>
      </x:c>
      <x:c r="N463" s="65" t="n">
        <x:f>IF(I463&lt;=L463,1,0)</x:f>
        <x:v>1</x:v>
      </x:c>
      <x:c r="O463" s="51" t="str">
        <x:f>IF(M463=N463,"不变",IF(N463=1,"由禁变允","由允变禁"))</x:f>
        <x:v>不变</x:v>
      </x:c>
      <x:c r="P463" s="51" t="str">
        <x:v>OSRM driving/car</x:v>
      </x:c>
      <x:c r="Q463" s="51" t="str">
        <x:v>2026-08-15</x:v>
      </x:c>
      <x:c r="R463" s="51" t="str">
        <x:v>C-开放路网计算；不是货车/危运合规路线</x:v>
      </x:c>
      <x:c r="S463" s="51" t="str">
        <x:v>https://routing.openstreetmap.de/routed-car/</x:v>
      </x:c>
    </x:row>
    <x:row r="464">
      <x:c r="A464" s="51" t="str">
        <x:v>A0460</x:v>
      </x:c>
      <x:c r="B464" s="51" t="str">
        <x:v>C01</x:v>
      </x:c>
      <x:c r="C464" s="51" t="str">
        <x:v>collection</x:v>
      </x:c>
      <x:c r="D464" s="51" t="str">
        <x:v>广州虚拟回收/检测中心</x:v>
      </x:c>
      <x:c r="E464" s="51" t="str">
        <x:v>P18</x:v>
      </x:c>
      <x:c r="F464" s="51" t="str">
        <x:v>echelon</x:v>
      </x:c>
      <x:c r="G464" s="51" t="str">
        <x:v>中商锂新能源科技（惠州）有限公司</x:v>
      </x:c>
      <x:c r="H464" s="52" t="n">
        <x:v>141.59962050860264</x:v>
      </x:c>
      <x:c r="I464" s="52" t="n">
        <x:v>138.7404</x:v>
      </x:c>
      <x:c r="J464" s="52" t="n">
        <x:v>98.4</x:v>
      </x:c>
      <x:c r="K464" s="52" t="n">
        <x:f>IFERROR(I464/H464,"")</x:f>
        <x:v>0.9798077106539355</x:v>
      </x:c>
      <x:c r="L464" s="52" t="n">
        <x:v>300</x:v>
      </x:c>
      <x:c r="M464" s="65" t="n">
        <x:f>IF(H464&lt;=L464,1,0)</x:f>
        <x:v>1</x:v>
      </x:c>
      <x:c r="N464" s="65" t="n">
        <x:f>IF(I464&lt;=L464,1,0)</x:f>
        <x:v>1</x:v>
      </x:c>
      <x:c r="O464" s="51" t="str">
        <x:f>IF(M464=N464,"不变",IF(N464=1,"由禁变允","由允变禁"))</x:f>
        <x:v>不变</x:v>
      </x:c>
      <x:c r="P464" s="51" t="str">
        <x:v>OSRM driving/car</x:v>
      </x:c>
      <x:c r="Q464" s="51" t="str">
        <x:v>2026-08-15</x:v>
      </x:c>
      <x:c r="R464" s="51" t="str">
        <x:v>C-开放路网计算；不是货车/危运合规路线</x:v>
      </x:c>
      <x:c r="S464" s="51" t="str">
        <x:v>https://routing.openstreetmap.de/routed-car/</x:v>
      </x:c>
    </x:row>
    <x:row r="465">
      <x:c r="A465" s="51" t="str">
        <x:v>A0461</x:v>
      </x:c>
      <x:c r="B465" s="51" t="str">
        <x:v>C01</x:v>
      </x:c>
      <x:c r="C465" s="51" t="str">
        <x:v>collection</x:v>
      </x:c>
      <x:c r="D465" s="51" t="str">
        <x:v>广州虚拟回收/检测中心</x:v>
      </x:c>
      <x:c r="E465" s="51" t="str">
        <x:v>P19</x:v>
      </x:c>
      <x:c r="F465" s="51" t="str">
        <x:v>recycling</x:v>
      </x:c>
      <x:c r="G465" s="51" t="str">
        <x:v>广东盛祥新材料科技有限公司</x:v>
      </x:c>
      <x:c r="H465" s="52" t="n">
        <x:v>237.03724939624288</x:v>
      </x:c>
      <x:c r="I465" s="52" t="n">
        <x:v>232.97320000000002</x:v>
      </x:c>
      <x:c r="J465" s="52" t="n">
        <x:v>167.92833333333334</x:v>
      </x:c>
      <x:c r="K465" s="52" t="n">
        <x:f>IFERROR(I465/H465,"")</x:f>
        <x:v>0.9828548069698142</x:v>
      </x:c>
      <x:c r="L465" s="52" t="n">
        <x:v>400</x:v>
      </x:c>
      <x:c r="M465" s="65" t="n">
        <x:f>IF(H465&lt;=L465,1,0)</x:f>
        <x:v>1</x:v>
      </x:c>
      <x:c r="N465" s="65" t="n">
        <x:f>IF(I465&lt;=L465,1,0)</x:f>
        <x:v>1</x:v>
      </x:c>
      <x:c r="O465" s="51" t="str">
        <x:f>IF(M465=N465,"不变",IF(N465=1,"由禁变允","由允变禁"))</x:f>
        <x:v>不变</x:v>
      </x:c>
      <x:c r="P465" s="51" t="str">
        <x:v>OSRM driving/car</x:v>
      </x:c>
      <x:c r="Q465" s="51" t="str">
        <x:v>2026-08-15</x:v>
      </x:c>
      <x:c r="R465" s="51" t="str">
        <x:v>C-开放路网计算；不是货车/危运合规路线</x:v>
      </x:c>
      <x:c r="S465" s="51" t="str">
        <x:v>https://routing.openstreetmap.de/routed-car/</x:v>
      </x:c>
    </x:row>
    <x:row r="466">
      <x:c r="A466" s="51" t="str">
        <x:v>A0462</x:v>
      </x:c>
      <x:c r="B466" s="51" t="str">
        <x:v>C01</x:v>
      </x:c>
      <x:c r="C466" s="51" t="str">
        <x:v>collection</x:v>
      </x:c>
      <x:c r="D466" s="51" t="str">
        <x:v>广州虚拟回收/检测中心</x:v>
      </x:c>
      <x:c r="E466" s="51" t="str">
        <x:v>P20E</x:v>
      </x:c>
      <x:c r="F466" s="51" t="str">
        <x:v>echelon</x:v>
      </x:c>
      <x:c r="G466" s="51" t="str">
        <x:v>广东金晟新能源股份有限公司（梯次功能）</x:v>
      </x:c>
      <x:c r="H466" s="52" t="n">
        <x:v>98.58397364775895</x:v>
      </x:c>
      <x:c r="I466" s="52" t="n">
        <x:v>97.76219999999999</x:v>
      </x:c>
      <x:c r="J466" s="52" t="n">
        <x:v>78.89666666666668</x:v>
      </x:c>
      <x:c r="K466" s="52" t="n">
        <x:f>IFERROR(I466/H466,"")</x:f>
        <x:v>0.9916642267769084</x:v>
      </x:c>
      <x:c r="L466" s="52" t="n">
        <x:v>300</x:v>
      </x:c>
      <x:c r="M466" s="65" t="n">
        <x:f>IF(H466&lt;=L466,1,0)</x:f>
        <x:v>1</x:v>
      </x:c>
      <x:c r="N466" s="65" t="n">
        <x:f>IF(I466&lt;=L466,1,0)</x:f>
        <x:v>1</x:v>
      </x:c>
      <x:c r="O466" s="51" t="str">
        <x:f>IF(M466=N466,"不变",IF(N466=1,"由禁变允","由允变禁"))</x:f>
        <x:v>不变</x:v>
      </x:c>
      <x:c r="P466" s="51" t="str">
        <x:v>OSRM driving/car</x:v>
      </x:c>
      <x:c r="Q466" s="51" t="str">
        <x:v>2026-08-15</x:v>
      </x:c>
      <x:c r="R466" s="51" t="str">
        <x:v>C-开放路网计算；不是货车/危运合规路线</x:v>
      </x:c>
      <x:c r="S466" s="51" t="str">
        <x:v>https://routing.openstreetmap.de/routed-car/</x:v>
      </x:c>
    </x:row>
    <x:row r="467">
      <x:c r="A467" s="51" t="str">
        <x:v>A0463</x:v>
      </x:c>
      <x:c r="B467" s="51" t="str">
        <x:v>C01</x:v>
      </x:c>
      <x:c r="C467" s="51" t="str">
        <x:v>collection</x:v>
      </x:c>
      <x:c r="D467" s="51" t="str">
        <x:v>广州虚拟回收/检测中心</x:v>
      </x:c>
      <x:c r="E467" s="51" t="str">
        <x:v>P20R</x:v>
      </x:c>
      <x:c r="F467" s="51" t="str">
        <x:v>recycling</x:v>
      </x:c>
      <x:c r="G467" s="51" t="str">
        <x:v>广东金晟新能源股份有限公司（再生功能）</x:v>
      </x:c>
      <x:c r="H467" s="52" t="n">
        <x:v>98.58397364775895</x:v>
      </x:c>
      <x:c r="I467" s="52" t="n">
        <x:v>97.76219999999999</x:v>
      </x:c>
      <x:c r="J467" s="52" t="n">
        <x:v>78.89666666666668</x:v>
      </x:c>
      <x:c r="K467" s="52" t="n">
        <x:f>IFERROR(I467/H467,"")</x:f>
        <x:v>0.9916642267769084</x:v>
      </x:c>
      <x:c r="L467" s="52" t="n">
        <x:v>400</x:v>
      </x:c>
      <x:c r="M467" s="65" t="n">
        <x:f>IF(H467&lt;=L467,1,0)</x:f>
        <x:v>1</x:v>
      </x:c>
      <x:c r="N467" s="65" t="n">
        <x:f>IF(I467&lt;=L467,1,0)</x:f>
        <x:v>1</x:v>
      </x:c>
      <x:c r="O467" s="51" t="str">
        <x:f>IF(M467=N467,"不变",IF(N467=1,"由禁变允","由允变禁"))</x:f>
        <x:v>不变</x:v>
      </x:c>
      <x:c r="P467" s="51" t="str">
        <x:v>OSRM driving/car</x:v>
      </x:c>
      <x:c r="Q467" s="51" t="str">
        <x:v>2026-08-15</x:v>
      </x:c>
      <x:c r="R467" s="51" t="str">
        <x:v>C-开放路网计算；不是货车/危运合规路线</x:v>
      </x:c>
      <x:c r="S467" s="51" t="str">
        <x:v>https://routing.openstreetmap.de/routed-car/</x:v>
      </x:c>
    </x:row>
    <x:row r="468">
      <x:c r="A468" s="51" t="str">
        <x:v>A0464</x:v>
      </x:c>
      <x:c r="B468" s="51" t="str">
        <x:v>C01</x:v>
      </x:c>
      <x:c r="C468" s="51" t="str">
        <x:v>collection</x:v>
      </x:c>
      <x:c r="D468" s="51" t="str">
        <x:v>广州虚拟回收/检测中心</x:v>
      </x:c>
      <x:c r="E468" s="51" t="str">
        <x:v>P21E</x:v>
      </x:c>
      <x:c r="F468" s="51" t="str">
        <x:v>echelon</x:v>
      </x:c>
      <x:c r="G468" s="51" t="str">
        <x:v>广东瑞科美电源技术有限公司（梯次功能）</x:v>
      </x:c>
      <x:c r="H468" s="52" t="n">
        <x:v>22.448811015599897</x:v>
      </x:c>
      <x:c r="I468" s="52" t="n">
        <x:v>25.4265</x:v>
      </x:c>
      <x:c r="J468" s="52" t="n">
        <x:v>23.546666666666667</x:v>
      </x:c>
      <x:c r="K468" s="52" t="n">
        <x:f>IFERROR(I468/H468,"")</x:f>
        <x:v>1.1326435053656463</x:v>
      </x:c>
      <x:c r="L468" s="52" t="n">
        <x:v>300</x:v>
      </x:c>
      <x:c r="M468" s="65" t="n">
        <x:f>IF(H468&lt;=L468,1,0)</x:f>
        <x:v>1</x:v>
      </x:c>
      <x:c r="N468" s="65" t="n">
        <x:f>IF(I468&lt;=L468,1,0)</x:f>
        <x:v>1</x:v>
      </x:c>
      <x:c r="O468" s="51" t="str">
        <x:f>IF(M468=N468,"不变",IF(N468=1,"由禁变允","由允变禁"))</x:f>
        <x:v>不变</x:v>
      </x:c>
      <x:c r="P468" s="51" t="str">
        <x:v>OSRM driving/car</x:v>
      </x:c>
      <x:c r="Q468" s="51" t="str">
        <x:v>2026-08-15</x:v>
      </x:c>
      <x:c r="R468" s="51" t="str">
        <x:v>C-开放路网计算；不是货车/危运合规路线</x:v>
      </x:c>
      <x:c r="S468" s="51" t="str">
        <x:v>https://routing.openstreetmap.de/routed-car/</x:v>
      </x:c>
    </x:row>
    <x:row r="469">
      <x:c r="A469" s="51" t="str">
        <x:v>A0465</x:v>
      </x:c>
      <x:c r="B469" s="51" t="str">
        <x:v>C01</x:v>
      </x:c>
      <x:c r="C469" s="51" t="str">
        <x:v>collection</x:v>
      </x:c>
      <x:c r="D469" s="51" t="str">
        <x:v>广州虚拟回收/检测中心</x:v>
      </x:c>
      <x:c r="E469" s="51" t="str">
        <x:v>P21R</x:v>
      </x:c>
      <x:c r="F469" s="51" t="str">
        <x:v>recycling</x:v>
      </x:c>
      <x:c r="G469" s="51" t="str">
        <x:v>广东瑞科美电源技术有限公司（再生功能）</x:v>
      </x:c>
      <x:c r="H469" s="52" t="n">
        <x:v>22.448811015599897</x:v>
      </x:c>
      <x:c r="I469" s="52" t="n">
        <x:v>25.4265</x:v>
      </x:c>
      <x:c r="J469" s="52" t="n">
        <x:v>23.546666666666667</x:v>
      </x:c>
      <x:c r="K469" s="52" t="n">
        <x:f>IFERROR(I469/H469,"")</x:f>
        <x:v>1.1326435053656463</x:v>
      </x:c>
      <x:c r="L469" s="52" t="n">
        <x:v>400</x:v>
      </x:c>
      <x:c r="M469" s="65" t="n">
        <x:f>IF(H469&lt;=L469,1,0)</x:f>
        <x:v>1</x:v>
      </x:c>
      <x:c r="N469" s="65" t="n">
        <x:f>IF(I469&lt;=L469,1,0)</x:f>
        <x:v>1</x:v>
      </x:c>
      <x:c r="O469" s="51" t="str">
        <x:f>IF(M469=N469,"不变",IF(N469=1,"由禁变允","由允变禁"))</x:f>
        <x:v>不变</x:v>
      </x:c>
      <x:c r="P469" s="51" t="str">
        <x:v>OSRM driving/car</x:v>
      </x:c>
      <x:c r="Q469" s="51" t="str">
        <x:v>2026-08-15</x:v>
      </x:c>
      <x:c r="R469" s="51" t="str">
        <x:v>C-开放路网计算；不是货车/危运合规路线</x:v>
      </x:c>
      <x:c r="S469" s="51" t="str">
        <x:v>https://routing.openstreetmap.de/routed-car/</x:v>
      </x:c>
    </x:row>
    <x:row r="470">
      <x:c r="A470" s="51" t="str">
        <x:v>A0466</x:v>
      </x:c>
      <x:c r="B470" s="51" t="str">
        <x:v>C02</x:v>
      </x:c>
      <x:c r="C470" s="51" t="str">
        <x:v>collection</x:v>
      </x:c>
      <x:c r="D470" s="51" t="str">
        <x:v>深圳虚拟回收/检测中心</x:v>
      </x:c>
      <x:c r="E470" s="51" t="str">
        <x:v>P01</x:v>
      </x:c>
      <x:c r="F470" s="51" t="str">
        <x:v>recycling</x:v>
      </x:c>
      <x:c r="G470" s="51" t="str">
        <x:v>汕尾比亚迪废旧动力电池回收项目</x:v>
      </x:c>
      <x:c r="H470" s="52" t="n">
        <x:v>164.12761660705732</x:v>
      </x:c>
      <x:c r="I470" s="52" t="n">
        <x:v>159.5111</x:v>
      </x:c>
      <x:c r="J470" s="52" t="n">
        <x:v>112.195</x:v>
      </x:c>
      <x:c r="K470" s="52" t="n">
        <x:f>IFERROR(I470/H470,"")</x:f>
        <x:v>0.9718723959898239</x:v>
      </x:c>
      <x:c r="L470" s="52" t="n">
        <x:v>400</x:v>
      </x:c>
      <x:c r="M470" s="65" t="n">
        <x:f>IF(H470&lt;=L470,1,0)</x:f>
        <x:v>1</x:v>
      </x:c>
      <x:c r="N470" s="65" t="n">
        <x:f>IF(I470&lt;=L470,1,0)</x:f>
        <x:v>1</x:v>
      </x:c>
      <x:c r="O470" s="51" t="str">
        <x:f>IF(M470=N470,"不变",IF(N470=1,"由禁变允","由允变禁"))</x:f>
        <x:v>不变</x:v>
      </x:c>
      <x:c r="P470" s="51" t="str">
        <x:v>OSRM driving/car</x:v>
      </x:c>
      <x:c r="Q470" s="51" t="str">
        <x:v>2026-08-15</x:v>
      </x:c>
      <x:c r="R470" s="51" t="str">
        <x:v>C-开放路网计算；不是货车/危运合规路线</x:v>
      </x:c>
      <x:c r="S470" s="51" t="str">
        <x:v>https://routing.openstreetmap.de/routed-car/</x:v>
      </x:c>
    </x:row>
    <x:row r="471">
      <x:c r="A471" s="51" t="str">
        <x:v>A0467</x:v>
      </x:c>
      <x:c r="B471" s="51" t="str">
        <x:v>C02</x:v>
      </x:c>
      <x:c r="C471" s="51" t="str">
        <x:v>collection</x:v>
      </x:c>
      <x:c r="D471" s="51" t="str">
        <x:v>深圳虚拟回收/检测中心</x:v>
      </x:c>
      <x:c r="E471" s="51" t="str">
        <x:v>P02E</x:v>
      </x:c>
      <x:c r="F471" s="51" t="str">
        <x:v>echelon</x:v>
      </x:c>
      <x:c r="G471" s="51" t="str">
        <x:v>广东光华科技股份有限公司（梯次功能）</x:v>
      </x:c>
      <x:c r="H471" s="52" t="n">
        <x:v>340.00628858069996</x:v>
      </x:c>
      <x:c r="I471" s="52" t="n">
        <x:v>331.2585</x:v>
      </x:c>
      <x:c r="J471" s="52" t="n">
        <x:v>229.19833333333332</x:v>
      </x:c>
      <x:c r="K471" s="52" t="n">
        <x:f>IFERROR(I471/H471,"")</x:f>
        <x:v>0.9742716859231747</x:v>
      </x:c>
      <x:c r="L471" s="52" t="n">
        <x:v>300</x:v>
      </x:c>
      <x:c r="M471" s="65" t="n">
        <x:f>IF(H471&lt;=L471,1,0)</x:f>
        <x:v>0</x:v>
      </x:c>
      <x:c r="N471" s="65" t="n">
        <x:f>IF(I471&lt;=L471,1,0)</x:f>
        <x:v>0</x:v>
      </x:c>
      <x:c r="O471" s="51" t="str">
        <x:f>IF(M471=N471,"不变",IF(N471=1,"由禁变允","由允变禁"))</x:f>
        <x:v>不变</x:v>
      </x:c>
      <x:c r="P471" s="51" t="str">
        <x:v>OSRM driving/car</x:v>
      </x:c>
      <x:c r="Q471" s="51" t="str">
        <x:v>2026-08-15</x:v>
      </x:c>
      <x:c r="R471" s="51" t="str">
        <x:v>C-开放路网计算；不是货车/危运合规路线</x:v>
      </x:c>
      <x:c r="S471" s="51" t="str">
        <x:v>https://routing.openstreetmap.de/routed-car/</x:v>
      </x:c>
    </x:row>
    <x:row r="472">
      <x:c r="A472" s="51" t="str">
        <x:v>A0468</x:v>
      </x:c>
      <x:c r="B472" s="51" t="str">
        <x:v>C02</x:v>
      </x:c>
      <x:c r="C472" s="51" t="str">
        <x:v>collection</x:v>
      </x:c>
      <x:c r="D472" s="51" t="str">
        <x:v>深圳虚拟回收/检测中心</x:v>
      </x:c>
      <x:c r="E472" s="51" t="str">
        <x:v>P02R</x:v>
      </x:c>
      <x:c r="F472" s="51" t="str">
        <x:v>recycling</x:v>
      </x:c>
      <x:c r="G472" s="51" t="str">
        <x:v>广东光华科技股份有限公司（再生功能）</x:v>
      </x:c>
      <x:c r="H472" s="52" t="n">
        <x:v>340.00628858069996</x:v>
      </x:c>
      <x:c r="I472" s="52" t="n">
        <x:v>331.2585</x:v>
      </x:c>
      <x:c r="J472" s="52" t="n">
        <x:v>229.19833333333332</x:v>
      </x:c>
      <x:c r="K472" s="52" t="n">
        <x:f>IFERROR(I472/H472,"")</x:f>
        <x:v>0.9742716859231747</x:v>
      </x:c>
      <x:c r="L472" s="52" t="n">
        <x:v>400</x:v>
      </x:c>
      <x:c r="M472" s="65" t="n">
        <x:f>IF(H472&lt;=L472,1,0)</x:f>
        <x:v>1</x:v>
      </x:c>
      <x:c r="N472" s="65" t="n">
        <x:f>IF(I472&lt;=L472,1,0)</x:f>
        <x:v>1</x:v>
      </x:c>
      <x:c r="O472" s="51" t="str">
        <x:f>IF(M472=N472,"不变",IF(N472=1,"由禁变允","由允变禁"))</x:f>
        <x:v>不变</x:v>
      </x:c>
      <x:c r="P472" s="51" t="str">
        <x:v>OSRM driving/car</x:v>
      </x:c>
      <x:c r="Q472" s="51" t="str">
        <x:v>2026-08-15</x:v>
      </x:c>
      <x:c r="R472" s="51" t="str">
        <x:v>C-开放路网计算；不是货车/危运合规路线</x:v>
      </x:c>
      <x:c r="S472" s="51" t="str">
        <x:v>https://routing.openstreetmap.de/routed-car/</x:v>
      </x:c>
    </x:row>
    <x:row r="473">
      <x:c r="A473" s="51" t="str">
        <x:v>A0469</x:v>
      </x:c>
      <x:c r="B473" s="51" t="str">
        <x:v>C02</x:v>
      </x:c>
      <x:c r="C473" s="51" t="str">
        <x:v>collection</x:v>
      </x:c>
      <x:c r="D473" s="51" t="str">
        <x:v>深圳虚拟回收/检测中心</x:v>
      </x:c>
      <x:c r="E473" s="51" t="str">
        <x:v>P03</x:v>
      </x:c>
      <x:c r="F473" s="51" t="str">
        <x:v>echelon</x:v>
      </x:c>
      <x:c r="G473" s="51" t="str">
        <x:v>深圳深汕特别合作区乾泰技术有限公司</x:v>
      </x:c>
      <x:c r="H473" s="52" t="n">
        <x:v>189.62625214547197</x:v>
      </x:c>
      <x:c r="I473" s="52" t="n">
        <x:v>186.97289999999998</x:v>
      </x:c>
      <x:c r="J473" s="52" t="n">
        <x:v>148.00833333333333</x:v>
      </x:c>
      <x:c r="K473" s="52" t="n">
        <x:f>IFERROR(I473/H473,"")</x:f>
        <x:v>0.9860074640749823</x:v>
      </x:c>
      <x:c r="L473" s="52" t="n">
        <x:v>300</x:v>
      </x:c>
      <x:c r="M473" s="65" t="n">
        <x:f>IF(H473&lt;=L473,1,0)</x:f>
        <x:v>1</x:v>
      </x:c>
      <x:c r="N473" s="65" t="n">
        <x:f>IF(I473&lt;=L473,1,0)</x:f>
        <x:v>1</x:v>
      </x:c>
      <x:c r="O473" s="51" t="str">
        <x:f>IF(M473=N473,"不变",IF(N473=1,"由禁变允","由允变禁"))</x:f>
        <x:v>不变</x:v>
      </x:c>
      <x:c r="P473" s="51" t="str">
        <x:v>OSRM driving/car</x:v>
      </x:c>
      <x:c r="Q473" s="51" t="str">
        <x:v>2026-08-15</x:v>
      </x:c>
      <x:c r="R473" s="51" t="str">
        <x:v>C-开放路网计算；不是货车/危运合规路线</x:v>
      </x:c>
      <x:c r="S473" s="51" t="str">
        <x:v>https://routing.openstreetmap.de/routed-car/</x:v>
      </x:c>
    </x:row>
    <x:row r="474">
      <x:c r="A474" s="51" t="str">
        <x:v>A0470</x:v>
      </x:c>
      <x:c r="B474" s="51" t="str">
        <x:v>C02</x:v>
      </x:c>
      <x:c r="C474" s="51" t="str">
        <x:v>collection</x:v>
      </x:c>
      <x:c r="D474" s="51" t="str">
        <x:v>深圳虚拟回收/检测中心</x:v>
      </x:c>
      <x:c r="E474" s="51" t="str">
        <x:v>P04</x:v>
      </x:c>
      <x:c r="F474" s="51" t="str">
        <x:v>echelon</x:v>
      </x:c>
      <x:c r="G474" s="51" t="str">
        <x:v>珠海中力新能源科技有限公司</x:v>
      </x:c>
      <x:c r="H474" s="52" t="n">
        <x:v>69.62293789389439</x:v>
      </x:c>
      <x:c r="I474" s="52" t="n">
        <x:v>102.4739</x:v>
      </x:c>
      <x:c r="J474" s="52" t="n">
        <x:v>87.705</x:v>
      </x:c>
      <x:c r="K474" s="52" t="n">
        <x:f>IFERROR(I474/H474,"")</x:f>
        <x:v>1.4718410785274618</x:v>
      </x:c>
      <x:c r="L474" s="52" t="n">
        <x:v>300</x:v>
      </x:c>
      <x:c r="M474" s="65" t="n">
        <x:f>IF(H474&lt;=L474,1,0)</x:f>
        <x:v>1</x:v>
      </x:c>
      <x:c r="N474" s="65" t="n">
        <x:f>IF(I474&lt;=L474,1,0)</x:f>
        <x:v>1</x:v>
      </x:c>
      <x:c r="O474" s="51" t="str">
        <x:f>IF(M474=N474,"不变",IF(N474=1,"由禁变允","由允变禁"))</x:f>
        <x:v>不变</x:v>
      </x:c>
      <x:c r="P474" s="51" t="str">
        <x:v>OSRM driving/car</x:v>
      </x:c>
      <x:c r="Q474" s="51" t="str">
        <x:v>2026-08-15</x:v>
      </x:c>
      <x:c r="R474" s="51" t="str">
        <x:v>C-开放路网计算；不是货车/危运合规路线</x:v>
      </x:c>
      <x:c r="S474" s="51" t="str">
        <x:v>https://routing.openstreetmap.de/routed-car/</x:v>
      </x:c>
    </x:row>
    <x:row r="475">
      <x:c r="A475" s="51" t="str">
        <x:v>A0471</x:v>
      </x:c>
      <x:c r="B475" s="51" t="str">
        <x:v>C02</x:v>
      </x:c>
      <x:c r="C475" s="51" t="str">
        <x:v>collection</x:v>
      </x:c>
      <x:c r="D475" s="51" t="str">
        <x:v>深圳虚拟回收/检测中心</x:v>
      </x:c>
      <x:c r="E475" s="51" t="str">
        <x:v>P05</x:v>
      </x:c>
      <x:c r="F475" s="51" t="str">
        <x:v>echelon</x:v>
      </x:c>
      <x:c r="G475" s="51" t="str">
        <x:v>惠州市恒创睿能环保科技有限公司</x:v>
      </x:c>
      <x:c r="H475" s="52" t="n">
        <x:v>87.65338268455065</x:v>
      </x:c>
      <x:c r="I475" s="52" t="n">
        <x:v>88.19930000000001</x:v>
      </x:c>
      <x:c r="J475" s="52" t="n">
        <x:v>71.375</x:v>
      </x:c>
      <x:c r="K475" s="52" t="n">
        <x:f>IFERROR(I475/H475,"")</x:f>
        <x:v>1.0062281374515119</x:v>
      </x:c>
      <x:c r="L475" s="52" t="n">
        <x:v>300</x:v>
      </x:c>
      <x:c r="M475" s="65" t="n">
        <x:f>IF(H475&lt;=L475,1,0)</x:f>
        <x:v>1</x:v>
      </x:c>
      <x:c r="N475" s="65" t="n">
        <x:f>IF(I475&lt;=L475,1,0)</x:f>
        <x:v>1</x:v>
      </x:c>
      <x:c r="O475" s="51" t="str">
        <x:f>IF(M475=N475,"不变",IF(N475=1,"由禁变允","由允变禁"))</x:f>
        <x:v>不变</x:v>
      </x:c>
      <x:c r="P475" s="51" t="str">
        <x:v>OSRM driving/car</x:v>
      </x:c>
      <x:c r="Q475" s="51" t="str">
        <x:v>2026-08-15</x:v>
      </x:c>
      <x:c r="R475" s="51" t="str">
        <x:v>C-开放路网计算；不是货车/危运合规路线</x:v>
      </x:c>
      <x:c r="S475" s="51" t="str">
        <x:v>https://routing.openstreetmap.de/routed-car/</x:v>
      </x:c>
    </x:row>
    <x:row r="476">
      <x:c r="A476" s="51" t="str">
        <x:v>A0472</x:v>
      </x:c>
      <x:c r="B476" s="51" t="str">
        <x:v>C02</x:v>
      </x:c>
      <x:c r="C476" s="51" t="str">
        <x:v>collection</x:v>
      </x:c>
      <x:c r="D476" s="51" t="str">
        <x:v>深圳虚拟回收/检测中心</x:v>
      </x:c>
      <x:c r="E476" s="51" t="str">
        <x:v>P06</x:v>
      </x:c>
      <x:c r="F476" s="51" t="str">
        <x:v>echelon</x:v>
      </x:c>
      <x:c r="G476" s="51" t="str">
        <x:v>江门市朗达锂电池有限公司</x:v>
      </x:c>
      <x:c r="H476" s="52" t="n">
        <x:v>120.66466151382667</x:v>
      </x:c>
      <x:c r="I476" s="52" t="n">
        <x:v>120.5209</x:v>
      </x:c>
      <x:c r="J476" s="52" t="n">
        <x:v>93.03999999999999</x:v>
      </x:c>
      <x:c r="K476" s="52" t="n">
        <x:f>IFERROR(I476/H476,"")</x:f>
        <x:v>0.9988085864409424</x:v>
      </x:c>
      <x:c r="L476" s="52" t="n">
        <x:v>300</x:v>
      </x:c>
      <x:c r="M476" s="65" t="n">
        <x:f>IF(H476&lt;=L476,1,0)</x:f>
        <x:v>1</x:v>
      </x:c>
      <x:c r="N476" s="65" t="n">
        <x:f>IF(I476&lt;=L476,1,0)</x:f>
        <x:v>1</x:v>
      </x:c>
      <x:c r="O476" s="51" t="str">
        <x:f>IF(M476=N476,"不变",IF(N476=1,"由禁变允","由允变禁"))</x:f>
        <x:v>不变</x:v>
      </x:c>
      <x:c r="P476" s="51" t="str">
        <x:v>OSRM driving/car</x:v>
      </x:c>
      <x:c r="Q476" s="51" t="str">
        <x:v>2026-08-15</x:v>
      </x:c>
      <x:c r="R476" s="51" t="str">
        <x:v>C-开放路网计算；不是货车/危运合规路线</x:v>
      </x:c>
      <x:c r="S476" s="51" t="str">
        <x:v>https://routing.openstreetmap.de/routed-car/</x:v>
      </x:c>
    </x:row>
    <x:row r="477">
      <x:c r="A477" s="51" t="str">
        <x:v>A0473</x:v>
      </x:c>
      <x:c r="B477" s="51" t="str">
        <x:v>C02</x:v>
      </x:c>
      <x:c r="C477" s="51" t="str">
        <x:v>collection</x:v>
      </x:c>
      <x:c r="D477" s="51" t="str">
        <x:v>深圳虚拟回收/检测中心</x:v>
      </x:c>
      <x:c r="E477" s="51" t="str">
        <x:v>P07</x:v>
      </x:c>
      <x:c r="F477" s="51" t="str">
        <x:v>echelon</x:v>
      </x:c>
      <x:c r="G477" s="51" t="str">
        <x:v>广东迪度新能源有限公司</x:v>
      </x:c>
      <x:c r="H477" s="52" t="n">
        <x:v>73.7874966555125</x:v>
      </x:c>
      <x:c r="I477" s="52" t="n">
        <x:v>74.1049</x:v>
      </x:c>
      <x:c r="J477" s="52" t="n">
        <x:v>55.56333333333334</x:v>
      </x:c>
      <x:c r="K477" s="52" t="n">
        <x:f>IFERROR(I477/H477,"")</x:f>
        <x:v>1.004301587109932</x:v>
      </x:c>
      <x:c r="L477" s="52" t="n">
        <x:v>300</x:v>
      </x:c>
      <x:c r="M477" s="65" t="n">
        <x:f>IF(H477&lt;=L477,1,0)</x:f>
        <x:v>1</x:v>
      </x:c>
      <x:c r="N477" s="65" t="n">
        <x:f>IF(I477&lt;=L477,1,0)</x:f>
        <x:v>1</x:v>
      </x:c>
      <x:c r="O477" s="51" t="str">
        <x:f>IF(M477=N477,"不变",IF(N477=1,"由禁变允","由允变禁"))</x:f>
        <x:v>不变</x:v>
      </x:c>
      <x:c r="P477" s="51" t="str">
        <x:v>OSRM driving/car</x:v>
      </x:c>
      <x:c r="Q477" s="51" t="str">
        <x:v>2026-08-15</x:v>
      </x:c>
      <x:c r="R477" s="51" t="str">
        <x:v>C-开放路网计算；不是货车/危运合规路线</x:v>
      </x:c>
      <x:c r="S477" s="51" t="str">
        <x:v>https://routing.openstreetmap.de/routed-car/</x:v>
      </x:c>
    </x:row>
    <x:row r="478">
      <x:c r="A478" s="51" t="str">
        <x:v>A0474</x:v>
      </x:c>
      <x:c r="B478" s="51" t="str">
        <x:v>C02</x:v>
      </x:c>
      <x:c r="C478" s="51" t="str">
        <x:v>collection</x:v>
      </x:c>
      <x:c r="D478" s="51" t="str">
        <x:v>深圳虚拟回收/检测中心</x:v>
      </x:c>
      <x:c r="E478" s="51" t="str">
        <x:v>P08</x:v>
      </x:c>
      <x:c r="F478" s="51" t="str">
        <x:v>echelon</x:v>
      </x:c>
      <x:c r="G478" s="51" t="str">
        <x:v>东莞市博森新能源有限公司</x:v>
      </x:c>
      <x:c r="H478" s="52" t="n">
        <x:v>73.7874966555125</x:v>
      </x:c>
      <x:c r="I478" s="52" t="n">
        <x:v>74.1049</x:v>
      </x:c>
      <x:c r="J478" s="52" t="n">
        <x:v>55.56333333333334</x:v>
      </x:c>
      <x:c r="K478" s="52" t="n">
        <x:f>IFERROR(I478/H478,"")</x:f>
        <x:v>1.004301587109932</x:v>
      </x:c>
      <x:c r="L478" s="52" t="n">
        <x:v>300</x:v>
      </x:c>
      <x:c r="M478" s="65" t="n">
        <x:f>IF(H478&lt;=L478,1,0)</x:f>
        <x:v>1</x:v>
      </x:c>
      <x:c r="N478" s="65" t="n">
        <x:f>IF(I478&lt;=L478,1,0)</x:f>
        <x:v>1</x:v>
      </x:c>
      <x:c r="O478" s="51" t="str">
        <x:f>IF(M478=N478,"不变",IF(N478=1,"由禁变允","由允变禁"))</x:f>
        <x:v>不变</x:v>
      </x:c>
      <x:c r="P478" s="51" t="str">
        <x:v>OSRM driving/car</x:v>
      </x:c>
      <x:c r="Q478" s="51" t="str">
        <x:v>2026-08-15</x:v>
      </x:c>
      <x:c r="R478" s="51" t="str">
        <x:v>C-开放路网计算；不是货车/危运合规路线</x:v>
      </x:c>
      <x:c r="S478" s="51" t="str">
        <x:v>https://routing.openstreetmap.de/routed-car/</x:v>
      </x:c>
    </x:row>
    <x:row r="479">
      <x:c r="A479" s="51" t="str">
        <x:v>A0475</x:v>
      </x:c>
      <x:c r="B479" s="51" t="str">
        <x:v>C02</x:v>
      </x:c>
      <x:c r="C479" s="51" t="str">
        <x:v>collection</x:v>
      </x:c>
      <x:c r="D479" s="51" t="str">
        <x:v>深圳虚拟回收/检测中心</x:v>
      </x:c>
      <x:c r="E479" s="51" t="str">
        <x:v>P09</x:v>
      </x:c>
      <x:c r="F479" s="51" t="str">
        <x:v>echelon</x:v>
      </x:c>
      <x:c r="G479" s="51" t="str">
        <x:v>广东宇阳新能源有限公司</x:v>
      </x:c>
      <x:c r="H479" s="52" t="n">
        <x:v>73.7874966555125</x:v>
      </x:c>
      <x:c r="I479" s="52" t="n">
        <x:v>74.1049</x:v>
      </x:c>
      <x:c r="J479" s="52" t="n">
        <x:v>55.56333333333334</x:v>
      </x:c>
      <x:c r="K479" s="52" t="n">
        <x:f>IFERROR(I479/H479,"")</x:f>
        <x:v>1.004301587109932</x:v>
      </x:c>
      <x:c r="L479" s="52" t="n">
        <x:v>300</x:v>
      </x:c>
      <x:c r="M479" s="65" t="n">
        <x:f>IF(H479&lt;=L479,1,0)</x:f>
        <x:v>1</x:v>
      </x:c>
      <x:c r="N479" s="65" t="n">
        <x:f>IF(I479&lt;=L479,1,0)</x:f>
        <x:v>1</x:v>
      </x:c>
      <x:c r="O479" s="51" t="str">
        <x:f>IF(M479=N479,"不变",IF(N479=1,"由禁变允","由允变禁"))</x:f>
        <x:v>不变</x:v>
      </x:c>
      <x:c r="P479" s="51" t="str">
        <x:v>OSRM driving/car</x:v>
      </x:c>
      <x:c r="Q479" s="51" t="str">
        <x:v>2026-08-15</x:v>
      </x:c>
      <x:c r="R479" s="51" t="str">
        <x:v>C-开放路网计算；不是货车/危运合规路线</x:v>
      </x:c>
      <x:c r="S479" s="51" t="str">
        <x:v>https://routing.openstreetmap.de/routed-car/</x:v>
      </x:c>
    </x:row>
    <x:row r="480">
      <x:c r="A480" s="51" t="str">
        <x:v>A0476</x:v>
      </x:c>
      <x:c r="B480" s="51" t="str">
        <x:v>C02</x:v>
      </x:c>
      <x:c r="C480" s="51" t="str">
        <x:v>collection</x:v>
      </x:c>
      <x:c r="D480" s="51" t="str">
        <x:v>深圳虚拟回收/检测中心</x:v>
      </x:c>
      <x:c r="E480" s="51" t="str">
        <x:v>P10</x:v>
      </x:c>
      <x:c r="F480" s="51" t="str">
        <x:v>echelon</x:v>
      </x:c>
      <x:c r="G480" s="51" t="str">
        <x:v>广州广汽商贸再生资源有限公司</x:v>
      </x:c>
      <x:c r="H480" s="52" t="n">
        <x:v>125.09932920710673</x:v>
      </x:c>
      <x:c r="I480" s="52" t="n">
        <x:v>135.1178</x:v>
      </x:c>
      <x:c r="J480" s="52" t="n">
        <x:v>93.51</x:v>
      </x:c>
      <x:c r="K480" s="52" t="n">
        <x:f>IFERROR(I480/H480,"")</x:f>
        <x:v>1.0800841287990226</x:v>
      </x:c>
      <x:c r="L480" s="52" t="n">
        <x:v>300</x:v>
      </x:c>
      <x:c r="M480" s="65" t="n">
        <x:f>IF(H480&lt;=L480,1,0)</x:f>
        <x:v>1</x:v>
      </x:c>
      <x:c r="N480" s="65" t="n">
        <x:f>IF(I480&lt;=L480,1,0)</x:f>
        <x:v>1</x:v>
      </x:c>
      <x:c r="O480" s="51" t="str">
        <x:f>IF(M480=N480,"不变",IF(N480=1,"由禁变允","由允变禁"))</x:f>
        <x:v>不变</x:v>
      </x:c>
      <x:c r="P480" s="51" t="str">
        <x:v>OSRM driving/car</x:v>
      </x:c>
      <x:c r="Q480" s="51" t="str">
        <x:v>2026-08-15</x:v>
      </x:c>
      <x:c r="R480" s="51" t="str">
        <x:v>C-开放路网计算；不是货车/危运合规路线</x:v>
      </x:c>
      <x:c r="S480" s="51" t="str">
        <x:v>https://routing.openstreetmap.de/routed-car/</x:v>
      </x:c>
    </x:row>
    <x:row r="481">
      <x:c r="A481" s="51" t="str">
        <x:v>A0477</x:v>
      </x:c>
      <x:c r="B481" s="51" t="str">
        <x:v>C02</x:v>
      </x:c>
      <x:c r="C481" s="51" t="str">
        <x:v>collection</x:v>
      </x:c>
      <x:c r="D481" s="51" t="str">
        <x:v>深圳虚拟回收/检测中心</x:v>
      </x:c>
      <x:c r="E481" s="51" t="str">
        <x:v>P11</x:v>
      </x:c>
      <x:c r="F481" s="51" t="str">
        <x:v>echelon</x:v>
      </x:c>
      <x:c r="G481" s="51" t="str">
        <x:v>深圳市杰成镍钴新能源科技有限公司</x:v>
      </x:c>
      <x:c r="H481" s="52" t="n">
        <x:v>0</x:v>
      </x:c>
      <x:c r="I481" s="52" t="n">
        <x:v>0</x:v>
      </x:c>
      <x:c r="J481" s="52" t="n">
        <x:v>0</x:v>
      </x:c>
      <x:c r="K481" s="52" t="str">
        <x:f>IFERROR(I481/H481,"")</x:f>
      </x:c>
      <x:c r="L481" s="52" t="n">
        <x:v>300</x:v>
      </x:c>
      <x:c r="M481" s="65" t="n">
        <x:f>IF(H481&lt;=L481,1,0)</x:f>
        <x:v>1</x:v>
      </x:c>
      <x:c r="N481" s="65" t="n">
        <x:f>IF(I481&lt;=L481,1,0)</x:f>
        <x:v>1</x:v>
      </x:c>
      <x:c r="O481" s="51" t="str">
        <x:f>IF(M481=N481,"不变",IF(N481=1,"由禁变允","由允变禁"))</x:f>
        <x:v>不变</x:v>
      </x:c>
      <x:c r="P481" s="51" t="str">
        <x:v>OSRM driving/car</x:v>
      </x:c>
      <x:c r="Q481" s="51" t="str">
        <x:v>2026-08-15</x:v>
      </x:c>
      <x:c r="R481" s="51" t="str">
        <x:v>C-开放路网计算；不是货车/危运合规路线</x:v>
      </x:c>
      <x:c r="S481" s="51" t="str">
        <x:v>https://routing.openstreetmap.de/routed-car/</x:v>
      </x:c>
    </x:row>
    <x:row r="482">
      <x:c r="A482" s="51" t="str">
        <x:v>A0478</x:v>
      </x:c>
      <x:c r="B482" s="51" t="str">
        <x:v>C02</x:v>
      </x:c>
      <x:c r="C482" s="51" t="str">
        <x:v>collection</x:v>
      </x:c>
      <x:c r="D482" s="51" t="str">
        <x:v>深圳虚拟回收/检测中心</x:v>
      </x:c>
      <x:c r="E482" s="51" t="str">
        <x:v>P12</x:v>
      </x:c>
      <x:c r="F482" s="51" t="str">
        <x:v>recycling</x:v>
      </x:c>
      <x:c r="G482" s="51" t="str">
        <x:v>江门市恒创睿能环保科技有限公司</x:v>
      </x:c>
      <x:c r="H482" s="52" t="n">
        <x:v>120.66466151382667</x:v>
      </x:c>
      <x:c r="I482" s="52" t="n">
        <x:v>120.5209</x:v>
      </x:c>
      <x:c r="J482" s="52" t="n">
        <x:v>93.03999999999999</x:v>
      </x:c>
      <x:c r="K482" s="52" t="n">
        <x:f>IFERROR(I482/H482,"")</x:f>
        <x:v>0.9988085864409424</x:v>
      </x:c>
      <x:c r="L482" s="52" t="n">
        <x:v>400</x:v>
      </x:c>
      <x:c r="M482" s="65" t="n">
        <x:f>IF(H482&lt;=L482,1,0)</x:f>
        <x:v>1</x:v>
      </x:c>
      <x:c r="N482" s="65" t="n">
        <x:f>IF(I482&lt;=L482,1,0)</x:f>
        <x:v>1</x:v>
      </x:c>
      <x:c r="O482" s="51" t="str">
        <x:f>IF(M482=N482,"不变",IF(N482=1,"由禁变允","由允变禁"))</x:f>
        <x:v>不变</x:v>
      </x:c>
      <x:c r="P482" s="51" t="str">
        <x:v>OSRM driving/car</x:v>
      </x:c>
      <x:c r="Q482" s="51" t="str">
        <x:v>2026-08-15</x:v>
      </x:c>
      <x:c r="R482" s="51" t="str">
        <x:v>C-开放路网计算；不是货车/危运合规路线</x:v>
      </x:c>
      <x:c r="S482" s="51" t="str">
        <x:v>https://routing.openstreetmap.de/routed-car/</x:v>
      </x:c>
    </x:row>
    <x:row r="483">
      <x:c r="A483" s="51" t="str">
        <x:v>A0479</x:v>
      </x:c>
      <x:c r="B483" s="51" t="str">
        <x:v>C02</x:v>
      </x:c>
      <x:c r="C483" s="51" t="str">
        <x:v>collection</x:v>
      </x:c>
      <x:c r="D483" s="51" t="str">
        <x:v>深圳虚拟回收/检测中心</x:v>
      </x:c>
      <x:c r="E483" s="51" t="str">
        <x:v>P13</x:v>
      </x:c>
      <x:c r="F483" s="51" t="str">
        <x:v>recycling</x:v>
      </x:c>
      <x:c r="G483" s="51" t="str">
        <x:v>广东佳纳能源科技有限公司</x:v>
      </x:c>
      <x:c r="H483" s="52" t="n">
        <x:v>195.61734579697602</x:v>
      </x:c>
      <x:c r="I483" s="52" t="n">
        <x:v>200.8077</x:v>
      </x:c>
      <x:c r="J483" s="52" t="n">
        <x:v>143.95166666666668</x:v>
      </x:c>
      <x:c r="K483" s="52" t="n">
        <x:f>IFERROR(I483/H483,"")</x:f>
        <x:v>1.0265332002224938</x:v>
      </x:c>
      <x:c r="L483" s="52" t="n">
        <x:v>400</x:v>
      </x:c>
      <x:c r="M483" s="65" t="n">
        <x:f>IF(H483&lt;=L483,1,0)</x:f>
        <x:v>1</x:v>
      </x:c>
      <x:c r="N483" s="65" t="n">
        <x:f>IF(I483&lt;=L483,1,0)</x:f>
        <x:v>1</x:v>
      </x:c>
      <x:c r="O483" s="51" t="str">
        <x:f>IF(M483=N483,"不变",IF(N483=1,"由禁变允","由允变禁"))</x:f>
        <x:v>不变</x:v>
      </x:c>
      <x:c r="P483" s="51" t="str">
        <x:v>OSRM driving/car</x:v>
      </x:c>
      <x:c r="Q483" s="51" t="str">
        <x:v>2026-08-15</x:v>
      </x:c>
      <x:c r="R483" s="51" t="str">
        <x:v>C-开放路网计算；不是货车/危运合规路线</x:v>
      </x:c>
      <x:c r="S483" s="51" t="str">
        <x:v>https://routing.openstreetmap.de/routed-car/</x:v>
      </x:c>
    </x:row>
    <x:row r="484">
      <x:c r="A484" s="51" t="str">
        <x:v>A0480</x:v>
      </x:c>
      <x:c r="B484" s="51" t="str">
        <x:v>C02</x:v>
      </x:c>
      <x:c r="C484" s="51" t="str">
        <x:v>collection</x:v>
      </x:c>
      <x:c r="D484" s="51" t="str">
        <x:v>深圳虚拟回收/检测中心</x:v>
      </x:c>
      <x:c r="E484" s="51" t="str">
        <x:v>P14</x:v>
      </x:c>
      <x:c r="F484" s="51" t="str">
        <x:v>echelon</x:v>
      </x:c>
      <x:c r="G484" s="51" t="str">
        <x:v>格林美（深圳）循环科技有限公司</x:v>
      </x:c>
      <x:c r="H484" s="52" t="n">
        <x:v>0</x:v>
      </x:c>
      <x:c r="I484" s="52" t="n">
        <x:v>0</x:v>
      </x:c>
      <x:c r="J484" s="52" t="n">
        <x:v>0</x:v>
      </x:c>
      <x:c r="K484" s="52" t="str">
        <x:f>IFERROR(I484/H484,"")</x:f>
      </x:c>
      <x:c r="L484" s="52" t="n">
        <x:v>300</x:v>
      </x:c>
      <x:c r="M484" s="65" t="n">
        <x:f>IF(H484&lt;=L484,1,0)</x:f>
        <x:v>1</x:v>
      </x:c>
      <x:c r="N484" s="65" t="n">
        <x:f>IF(I484&lt;=L484,1,0)</x:f>
        <x:v>1</x:v>
      </x:c>
      <x:c r="O484" s="51" t="str">
        <x:f>IF(M484=N484,"不变",IF(N484=1,"由禁变允","由允变禁"))</x:f>
        <x:v>不变</x:v>
      </x:c>
      <x:c r="P484" s="51" t="str">
        <x:v>OSRM driving/car</x:v>
      </x:c>
      <x:c r="Q484" s="51" t="str">
        <x:v>2026-08-15</x:v>
      </x:c>
      <x:c r="R484" s="51" t="str">
        <x:v>C-开放路网计算；不是货车/危运合规路线</x:v>
      </x:c>
      <x:c r="S484" s="51" t="str">
        <x:v>https://routing.openstreetmap.de/routed-car/</x:v>
      </x:c>
    </x:row>
    <x:row r="485">
      <x:c r="A485" s="51" t="str">
        <x:v>A0481</x:v>
      </x:c>
      <x:c r="B485" s="51" t="str">
        <x:v>C02</x:v>
      </x:c>
      <x:c r="C485" s="51" t="str">
        <x:v>collection</x:v>
      </x:c>
      <x:c r="D485" s="51" t="str">
        <x:v>深圳虚拟回收/检测中心</x:v>
      </x:c>
      <x:c r="E485" s="51" t="str">
        <x:v>P15</x:v>
      </x:c>
      <x:c r="F485" s="51" t="str">
        <x:v>echelon</x:v>
      </x:c>
      <x:c r="G485" s="51" t="str">
        <x:v>绿循新能源科技（佛山）有限责任公司</x:v>
      </x:c>
      <x:c r="H485" s="52" t="n">
        <x:v>132.00168158093638</x:v>
      </x:c>
      <x:c r="I485" s="52" t="n">
        <x:v>132.89079999999998</x:v>
      </x:c>
      <x:c r="J485" s="52" t="n">
        <x:v>100.74833333333332</x:v>
      </x:c>
      <x:c r="K485" s="52" t="n">
        <x:f>IFERROR(I485/H485,"")</x:f>
        <x:v>1.0067356597917159</x:v>
      </x:c>
      <x:c r="L485" s="52" t="n">
        <x:v>300</x:v>
      </x:c>
      <x:c r="M485" s="65" t="n">
        <x:f>IF(H485&lt;=L485,1,0)</x:f>
        <x:v>1</x:v>
      </x:c>
      <x:c r="N485" s="65" t="n">
        <x:f>IF(I485&lt;=L485,1,0)</x:f>
        <x:v>1</x:v>
      </x:c>
      <x:c r="O485" s="51" t="str">
        <x:f>IF(M485=N485,"不变",IF(N485=1,"由禁变允","由允变禁"))</x:f>
        <x:v>不变</x:v>
      </x:c>
      <x:c r="P485" s="51" t="str">
        <x:v>OSRM driving/car</x:v>
      </x:c>
      <x:c r="Q485" s="51" t="str">
        <x:v>2026-08-15</x:v>
      </x:c>
      <x:c r="R485" s="51" t="str">
        <x:v>C-开放路网计算；不是货车/危运合规路线</x:v>
      </x:c>
      <x:c r="S485" s="51" t="str">
        <x:v>https://routing.openstreetmap.de/routed-car/</x:v>
      </x:c>
    </x:row>
    <x:row r="486">
      <x:c r="A486" s="51" t="str">
        <x:v>A0482</x:v>
      </x:c>
      <x:c r="B486" s="51" t="str">
        <x:v>C02</x:v>
      </x:c>
      <x:c r="C486" s="51" t="str">
        <x:v>collection</x:v>
      </x:c>
      <x:c r="D486" s="51" t="str">
        <x:v>深圳虚拟回收/检测中心</x:v>
      </x:c>
      <x:c r="E486" s="51" t="str">
        <x:v>P16</x:v>
      </x:c>
      <x:c r="F486" s="51" t="str">
        <x:v>echelon</x:v>
      </x:c>
      <x:c r="G486" s="51" t="str">
        <x:v>深圳艾云动智慧科技有限公司</x:v>
      </x:c>
      <x:c r="H486" s="52" t="n">
        <x:v>0</x:v>
      </x:c>
      <x:c r="I486" s="52" t="n">
        <x:v>0</x:v>
      </x:c>
      <x:c r="J486" s="52" t="n">
        <x:v>0</x:v>
      </x:c>
      <x:c r="K486" s="52" t="str">
        <x:f>IFERROR(I486/H486,"")</x:f>
      </x:c>
      <x:c r="L486" s="52" t="n">
        <x:v>300</x:v>
      </x:c>
      <x:c r="M486" s="65" t="n">
        <x:f>IF(H486&lt;=L486,1,0)</x:f>
        <x:v>1</x:v>
      </x:c>
      <x:c r="N486" s="65" t="n">
        <x:f>IF(I486&lt;=L486,1,0)</x:f>
        <x:v>1</x:v>
      </x:c>
      <x:c r="O486" s="51" t="str">
        <x:f>IF(M486=N486,"不变",IF(N486=1,"由禁变允","由允变禁"))</x:f>
        <x:v>不变</x:v>
      </x:c>
      <x:c r="P486" s="51" t="str">
        <x:v>OSRM driving/car</x:v>
      </x:c>
      <x:c r="Q486" s="51" t="str">
        <x:v>2026-08-15</x:v>
      </x:c>
      <x:c r="R486" s="51" t="str">
        <x:v>C-开放路网计算；不是货车/危运合规路线</x:v>
      </x:c>
      <x:c r="S486" s="51" t="str">
        <x:v>https://routing.openstreetmap.de/routed-car/</x:v>
      </x:c>
    </x:row>
    <x:row r="487">
      <x:c r="A487" s="51" t="str">
        <x:v>A0483</x:v>
      </x:c>
      <x:c r="B487" s="51" t="str">
        <x:v>C02</x:v>
      </x:c>
      <x:c r="C487" s="51" t="str">
        <x:v>collection</x:v>
      </x:c>
      <x:c r="D487" s="51" t="str">
        <x:v>深圳虚拟回收/检测中心</x:v>
      </x:c>
      <x:c r="E487" s="51" t="str">
        <x:v>P17</x:v>
      </x:c>
      <x:c r="F487" s="51" t="str">
        <x:v>echelon</x:v>
      </x:c>
      <x:c r="G487" s="51" t="str">
        <x:v>深圳市荣高晟新能源科技有限公司</x:v>
      </x:c>
      <x:c r="H487" s="52" t="n">
        <x:v>0</x:v>
      </x:c>
      <x:c r="I487" s="52" t="n">
        <x:v>0</x:v>
      </x:c>
      <x:c r="J487" s="52" t="n">
        <x:v>0</x:v>
      </x:c>
      <x:c r="K487" s="52" t="str">
        <x:f>IFERROR(I487/H487,"")</x:f>
      </x:c>
      <x:c r="L487" s="52" t="n">
        <x:v>300</x:v>
      </x:c>
      <x:c r="M487" s="65" t="n">
        <x:f>IF(H487&lt;=L487,1,0)</x:f>
        <x:v>1</x:v>
      </x:c>
      <x:c r="N487" s="65" t="n">
        <x:f>IF(I487&lt;=L487,1,0)</x:f>
        <x:v>1</x:v>
      </x:c>
      <x:c r="O487" s="51" t="str">
        <x:f>IF(M487=N487,"不变",IF(N487=1,"由禁变允","由允变禁"))</x:f>
        <x:v>不变</x:v>
      </x:c>
      <x:c r="P487" s="51" t="str">
        <x:v>OSRM driving/car</x:v>
      </x:c>
      <x:c r="Q487" s="51" t="str">
        <x:v>2026-08-15</x:v>
      </x:c>
      <x:c r="R487" s="51" t="str">
        <x:v>C-开放路网计算；不是货车/危运合规路线</x:v>
      </x:c>
      <x:c r="S487" s="51" t="str">
        <x:v>https://routing.openstreetmap.de/routed-car/</x:v>
      </x:c>
    </x:row>
    <x:row r="488">
      <x:c r="A488" s="51" t="str">
        <x:v>A0484</x:v>
      </x:c>
      <x:c r="B488" s="51" t="str">
        <x:v>C02</x:v>
      </x:c>
      <x:c r="C488" s="51" t="str">
        <x:v>collection</x:v>
      </x:c>
      <x:c r="D488" s="51" t="str">
        <x:v>深圳虚拟回收/检测中心</x:v>
      </x:c>
      <x:c r="E488" s="51" t="str">
        <x:v>P18</x:v>
      </x:c>
      <x:c r="F488" s="51" t="str">
        <x:v>echelon</x:v>
      </x:c>
      <x:c r="G488" s="51" t="str">
        <x:v>中商锂新能源科技（惠州）有限公司</x:v>
      </x:c>
      <x:c r="H488" s="52" t="n">
        <x:v>87.65338268455065</x:v>
      </x:c>
      <x:c r="I488" s="52" t="n">
        <x:v>88.19930000000001</x:v>
      </x:c>
      <x:c r="J488" s="52" t="n">
        <x:v>71.375</x:v>
      </x:c>
      <x:c r="K488" s="52" t="n">
        <x:f>IFERROR(I488/H488,"")</x:f>
        <x:v>1.0062281374515119</x:v>
      </x:c>
      <x:c r="L488" s="52" t="n">
        <x:v>300</x:v>
      </x:c>
      <x:c r="M488" s="65" t="n">
        <x:f>IF(H488&lt;=L488,1,0)</x:f>
        <x:v>1</x:v>
      </x:c>
      <x:c r="N488" s="65" t="n">
        <x:f>IF(I488&lt;=L488,1,0)</x:f>
        <x:v>1</x:v>
      </x:c>
      <x:c r="O488" s="51" t="str">
        <x:f>IF(M488=N488,"不变",IF(N488=1,"由禁变允","由允变禁"))</x:f>
        <x:v>不变</x:v>
      </x:c>
      <x:c r="P488" s="51" t="str">
        <x:v>OSRM driving/car</x:v>
      </x:c>
      <x:c r="Q488" s="51" t="str">
        <x:v>2026-08-15</x:v>
      </x:c>
      <x:c r="R488" s="51" t="str">
        <x:v>C-开放路网计算；不是货车/危运合规路线</x:v>
      </x:c>
      <x:c r="S488" s="51" t="str">
        <x:v>https://routing.openstreetmap.de/routed-car/</x:v>
      </x:c>
    </x:row>
    <x:row r="489">
      <x:c r="A489" s="51" t="str">
        <x:v>A0485</x:v>
      </x:c>
      <x:c r="B489" s="51" t="str">
        <x:v>C02</x:v>
      </x:c>
      <x:c r="C489" s="51" t="str">
        <x:v>collection</x:v>
      </x:c>
      <x:c r="D489" s="51" t="str">
        <x:v>深圳虚拟回收/检测中心</x:v>
      </x:c>
      <x:c r="E489" s="51" t="str">
        <x:v>P19</x:v>
      </x:c>
      <x:c r="F489" s="51" t="str">
        <x:v>recycling</x:v>
      </x:c>
      <x:c r="G489" s="51" t="str">
        <x:v>广东盛祥新材料科技有限公司</x:v>
      </x:c>
      <x:c r="H489" s="52" t="n">
        <x:v>306.47442199910176</x:v>
      </x:c>
      <x:c r="I489" s="52" t="n">
        <x:v>337.2787</x:v>
      </x:c>
      <x:c r="J489" s="52" t="n">
        <x:v>235.21666666666667</x:v>
      </x:c>
      <x:c r="K489" s="52" t="n">
        <x:f>IFERROR(I489/H489,"")</x:f>
        <x:v>1.1005117418933856</x:v>
      </x:c>
      <x:c r="L489" s="52" t="n">
        <x:v>400</x:v>
      </x:c>
      <x:c r="M489" s="65" t="n">
        <x:f>IF(H489&lt;=L489,1,0)</x:f>
        <x:v>1</x:v>
      </x:c>
      <x:c r="N489" s="65" t="n">
        <x:f>IF(I489&lt;=L489,1,0)</x:f>
        <x:v>1</x:v>
      </x:c>
      <x:c r="O489" s="51" t="str">
        <x:f>IF(M489=N489,"不变",IF(N489=1,"由禁变允","由允变禁"))</x:f>
        <x:v>不变</x:v>
      </x:c>
      <x:c r="P489" s="51" t="str">
        <x:v>OSRM driving/car</x:v>
      </x:c>
      <x:c r="Q489" s="51" t="str">
        <x:v>2026-08-15</x:v>
      </x:c>
      <x:c r="R489" s="51" t="str">
        <x:v>C-开放路网计算；不是货车/危运合规路线</x:v>
      </x:c>
      <x:c r="S489" s="51" t="str">
        <x:v>https://routing.openstreetmap.de/routed-car/</x:v>
      </x:c>
    </x:row>
    <x:row r="490">
      <x:c r="A490" s="51" t="str">
        <x:v>A0486</x:v>
      </x:c>
      <x:c r="B490" s="51" t="str">
        <x:v>C02</x:v>
      </x:c>
      <x:c r="C490" s="51" t="str">
        <x:v>collection</x:v>
      </x:c>
      <x:c r="D490" s="51" t="str">
        <x:v>深圳虚拟回收/检测中心</x:v>
      </x:c>
      <x:c r="E490" s="51" t="str">
        <x:v>P20E</x:v>
      </x:c>
      <x:c r="F490" s="51" t="str">
        <x:v>echelon</x:v>
      </x:c>
      <x:c r="G490" s="51" t="str">
        <x:v>广东金晟新能源股份有限公司（梯次功能）</x:v>
      </x:c>
      <x:c r="H490" s="52" t="n">
        <x:v>207.3785732131572</x:v>
      </x:c>
      <x:c r="I490" s="52" t="n">
        <x:v>216.95839999999998</x:v>
      </x:c>
      <x:c r="J490" s="52" t="n">
        <x:v>159.94</x:v>
      </x:c>
      <x:c r="K490" s="52" t="n">
        <x:f>IFERROR(I490/H490,"")</x:f>
        <x:v>1.0461948726833799</x:v>
      </x:c>
      <x:c r="L490" s="52" t="n">
        <x:v>300</x:v>
      </x:c>
      <x:c r="M490" s="65" t="n">
        <x:f>IF(H490&lt;=L490,1,0)</x:f>
        <x:v>1</x:v>
      </x:c>
      <x:c r="N490" s="65" t="n">
        <x:f>IF(I490&lt;=L490,1,0)</x:f>
        <x:v>1</x:v>
      </x:c>
      <x:c r="O490" s="51" t="str">
        <x:f>IF(M490=N490,"不变",IF(N490=1,"由禁变允","由允变禁"))</x:f>
        <x:v>不变</x:v>
      </x:c>
      <x:c r="P490" s="51" t="str">
        <x:v>OSRM driving/car</x:v>
      </x:c>
      <x:c r="Q490" s="51" t="str">
        <x:v>2026-08-15</x:v>
      </x:c>
      <x:c r="R490" s="51" t="str">
        <x:v>C-开放路网计算；不是货车/危运合规路线</x:v>
      </x:c>
      <x:c r="S490" s="51" t="str">
        <x:v>https://routing.openstreetmap.de/routed-car/</x:v>
      </x:c>
    </x:row>
    <x:row r="491">
      <x:c r="A491" s="51" t="str">
        <x:v>A0487</x:v>
      </x:c>
      <x:c r="B491" s="51" t="str">
        <x:v>C02</x:v>
      </x:c>
      <x:c r="C491" s="51" t="str">
        <x:v>collection</x:v>
      </x:c>
      <x:c r="D491" s="51" t="str">
        <x:v>深圳虚拟回收/检测中心</x:v>
      </x:c>
      <x:c r="E491" s="51" t="str">
        <x:v>P20R</x:v>
      </x:c>
      <x:c r="F491" s="51" t="str">
        <x:v>recycling</x:v>
      </x:c>
      <x:c r="G491" s="51" t="str">
        <x:v>广东金晟新能源股份有限公司（再生功能）</x:v>
      </x:c>
      <x:c r="H491" s="52" t="n">
        <x:v>207.3785732131572</x:v>
      </x:c>
      <x:c r="I491" s="52" t="n">
        <x:v>216.95839999999998</x:v>
      </x:c>
      <x:c r="J491" s="52" t="n">
        <x:v>159.94</x:v>
      </x:c>
      <x:c r="K491" s="52" t="n">
        <x:f>IFERROR(I491/H491,"")</x:f>
        <x:v>1.0461948726833799</x:v>
      </x:c>
      <x:c r="L491" s="52" t="n">
        <x:v>400</x:v>
      </x:c>
      <x:c r="M491" s="65" t="n">
        <x:f>IF(H491&lt;=L491,1,0)</x:f>
        <x:v>1</x:v>
      </x:c>
      <x:c r="N491" s="65" t="n">
        <x:f>IF(I491&lt;=L491,1,0)</x:f>
        <x:v>1</x:v>
      </x:c>
      <x:c r="O491" s="51" t="str">
        <x:f>IF(M491=N491,"不变",IF(N491=1,"由禁变允","由允变禁"))</x:f>
        <x:v>不变</x:v>
      </x:c>
      <x:c r="P491" s="51" t="str">
        <x:v>OSRM driving/car</x:v>
      </x:c>
      <x:c r="Q491" s="51" t="str">
        <x:v>2026-08-15</x:v>
      </x:c>
      <x:c r="R491" s="51" t="str">
        <x:v>C-开放路网计算；不是货车/危运合规路线</x:v>
      </x:c>
      <x:c r="S491" s="51" t="str">
        <x:v>https://routing.openstreetmap.de/routed-car/</x:v>
      </x:c>
    </x:row>
    <x:row r="492">
      <x:c r="A492" s="51" t="str">
        <x:v>A0488</x:v>
      </x:c>
      <x:c r="B492" s="51" t="str">
        <x:v>C02</x:v>
      </x:c>
      <x:c r="C492" s="51" t="str">
        <x:v>collection</x:v>
      </x:c>
      <x:c r="D492" s="51" t="str">
        <x:v>深圳虚拟回收/检测中心</x:v>
      </x:c>
      <x:c r="E492" s="51" t="str">
        <x:v>P21E</x:v>
      </x:c>
      <x:c r="F492" s="51" t="str">
        <x:v>echelon</x:v>
      </x:c>
      <x:c r="G492" s="51" t="str">
        <x:v>广东瑞科美电源技术有限公司（梯次功能）</x:v>
      </x:c>
      <x:c r="H492" s="52" t="n">
        <x:v>132.00168158093638</x:v>
      </x:c>
      <x:c r="I492" s="52" t="n">
        <x:v>132.89079999999998</x:v>
      </x:c>
      <x:c r="J492" s="52" t="n">
        <x:v>100.74833333333332</x:v>
      </x:c>
      <x:c r="K492" s="52" t="n">
        <x:f>IFERROR(I492/H492,"")</x:f>
        <x:v>1.0067356597917159</x:v>
      </x:c>
      <x:c r="L492" s="52" t="n">
        <x:v>300</x:v>
      </x:c>
      <x:c r="M492" s="65" t="n">
        <x:f>IF(H492&lt;=L492,1,0)</x:f>
        <x:v>1</x:v>
      </x:c>
      <x:c r="N492" s="65" t="n">
        <x:f>IF(I492&lt;=L492,1,0)</x:f>
        <x:v>1</x:v>
      </x:c>
      <x:c r="O492" s="51" t="str">
        <x:f>IF(M492=N492,"不变",IF(N492=1,"由禁变允","由允变禁"))</x:f>
        <x:v>不变</x:v>
      </x:c>
      <x:c r="P492" s="51" t="str">
        <x:v>OSRM driving/car</x:v>
      </x:c>
      <x:c r="Q492" s="51" t="str">
        <x:v>2026-08-15</x:v>
      </x:c>
      <x:c r="R492" s="51" t="str">
        <x:v>C-开放路网计算；不是货车/危运合规路线</x:v>
      </x:c>
      <x:c r="S492" s="51" t="str">
        <x:v>https://routing.openstreetmap.de/routed-car/</x:v>
      </x:c>
    </x:row>
    <x:row r="493">
      <x:c r="A493" s="51" t="str">
        <x:v>A0489</x:v>
      </x:c>
      <x:c r="B493" s="51" t="str">
        <x:v>C02</x:v>
      </x:c>
      <x:c r="C493" s="51" t="str">
        <x:v>collection</x:v>
      </x:c>
      <x:c r="D493" s="51" t="str">
        <x:v>深圳虚拟回收/检测中心</x:v>
      </x:c>
      <x:c r="E493" s="51" t="str">
        <x:v>P21R</x:v>
      </x:c>
      <x:c r="F493" s="51" t="str">
        <x:v>recycling</x:v>
      </x:c>
      <x:c r="G493" s="51" t="str">
        <x:v>广东瑞科美电源技术有限公司（再生功能）</x:v>
      </x:c>
      <x:c r="H493" s="52" t="n">
        <x:v>132.00168158093638</x:v>
      </x:c>
      <x:c r="I493" s="52" t="n">
        <x:v>132.89079999999998</x:v>
      </x:c>
      <x:c r="J493" s="52" t="n">
        <x:v>100.74833333333332</x:v>
      </x:c>
      <x:c r="K493" s="52" t="n">
        <x:f>IFERROR(I493/H493,"")</x:f>
        <x:v>1.0067356597917159</x:v>
      </x:c>
      <x:c r="L493" s="52" t="n">
        <x:v>400</x:v>
      </x:c>
      <x:c r="M493" s="65" t="n">
        <x:f>IF(H493&lt;=L493,1,0)</x:f>
        <x:v>1</x:v>
      </x:c>
      <x:c r="N493" s="65" t="n">
        <x:f>IF(I493&lt;=L493,1,0)</x:f>
        <x:v>1</x:v>
      </x:c>
      <x:c r="O493" s="51" t="str">
        <x:f>IF(M493=N493,"不变",IF(N493=1,"由禁变允","由允变禁"))</x:f>
        <x:v>不变</x:v>
      </x:c>
      <x:c r="P493" s="51" t="str">
        <x:v>OSRM driving/car</x:v>
      </x:c>
      <x:c r="Q493" s="51" t="str">
        <x:v>2026-08-15</x:v>
      </x:c>
      <x:c r="R493" s="51" t="str">
        <x:v>C-开放路网计算；不是货车/危运合规路线</x:v>
      </x:c>
      <x:c r="S493" s="51" t="str">
        <x:v>https://routing.openstreetmap.de/routed-car/</x:v>
      </x:c>
    </x:row>
    <x:row r="494">
      <x:c r="A494" s="51" t="str">
        <x:v>A0490</x:v>
      </x:c>
      <x:c r="B494" s="51" t="str">
        <x:v>C03</x:v>
      </x:c>
      <x:c r="C494" s="51" t="str">
        <x:v>collection</x:v>
      </x:c>
      <x:c r="D494" s="51" t="str">
        <x:v>珠海虚拟回收/检测中心</x:v>
      </x:c>
      <x:c r="E494" s="51" t="str">
        <x:v>P01</x:v>
      </x:c>
      <x:c r="F494" s="51" t="str">
        <x:v>recycling</x:v>
      </x:c>
      <x:c r="G494" s="51" t="str">
        <x:v>汕尾比亚迪废旧动力电池回收项目</x:v>
      </x:c>
      <x:c r="H494" s="52" t="n">
        <x:v>231.57304041975937</x:v>
      </x:c>
      <x:c r="I494" s="52" t="n">
        <x:v>255.755</x:v>
      </x:c>
      <x:c r="J494" s="52" t="n">
        <x:v>191.25333333333336</x:v>
      </x:c>
      <x:c r="K494" s="52" t="n">
        <x:f>IFERROR(I494/H494,"")</x:f>
        <x:v>1.104424761778864</x:v>
      </x:c>
      <x:c r="L494" s="52" t="n">
        <x:v>400</x:v>
      </x:c>
      <x:c r="M494" s="65" t="n">
        <x:f>IF(H494&lt;=L494,1,0)</x:f>
        <x:v>1</x:v>
      </x:c>
      <x:c r="N494" s="65" t="n">
        <x:f>IF(I494&lt;=L494,1,0)</x:f>
        <x:v>1</x:v>
      </x:c>
      <x:c r="O494" s="51" t="str">
        <x:f>IF(M494=N494,"不变",IF(N494=1,"由禁变允","由允变禁"))</x:f>
        <x:v>不变</x:v>
      </x:c>
      <x:c r="P494" s="51" t="str">
        <x:v>OSRM driving/car</x:v>
      </x:c>
      <x:c r="Q494" s="51" t="str">
        <x:v>2026-08-15</x:v>
      </x:c>
      <x:c r="R494" s="51" t="str">
        <x:v>C-开放路网计算；不是货车/危运合规路线</x:v>
      </x:c>
      <x:c r="S494" s="51" t="str">
        <x:v>https://routing.openstreetmap.de/routed-car/</x:v>
      </x:c>
    </x:row>
    <x:row r="495">
      <x:c r="A495" s="51" t="str">
        <x:v>A0491</x:v>
      </x:c>
      <x:c r="B495" s="51" t="str">
        <x:v>C03</x:v>
      </x:c>
      <x:c r="C495" s="51" t="str">
        <x:v>collection</x:v>
      </x:c>
      <x:c r="D495" s="51" t="str">
        <x:v>珠海虚拟回收/检测中心</x:v>
      </x:c>
      <x:c r="E495" s="51" t="str">
        <x:v>P02E</x:v>
      </x:c>
      <x:c r="F495" s="51" t="str">
        <x:v>echelon</x:v>
      </x:c>
      <x:c r="G495" s="51" t="str">
        <x:v>广东光华科技股份有限公司（梯次功能）</x:v>
      </x:c>
      <x:c r="H495" s="52" t="n">
        <x:v>408.34484310771325</x:v>
      </x:c>
      <x:c r="I495" s="52" t="n">
        <x:v>427.5025</x:v>
      </x:c>
      <x:c r="J495" s="52" t="n">
        <x:v>308.2566666666667</x:v>
      </x:c>
      <x:c r="K495" s="52" t="n">
        <x:f>IFERROR(I495/H495,"")</x:f>
        <x:v>1.046915388343066</x:v>
      </x:c>
      <x:c r="L495" s="52" t="n">
        <x:v>300</x:v>
      </x:c>
      <x:c r="M495" s="65" t="n">
        <x:f>IF(H495&lt;=L495,1,0)</x:f>
        <x:v>0</x:v>
      </x:c>
      <x:c r="N495" s="65" t="n">
        <x:f>IF(I495&lt;=L495,1,0)</x:f>
        <x:v>0</x:v>
      </x:c>
      <x:c r="O495" s="51" t="str">
        <x:f>IF(M495=N495,"不变",IF(N495=1,"由禁变允","由允变禁"))</x:f>
        <x:v>不变</x:v>
      </x:c>
      <x:c r="P495" s="51" t="str">
        <x:v>OSRM driving/car</x:v>
      </x:c>
      <x:c r="Q495" s="51" t="str">
        <x:v>2026-08-15</x:v>
      </x:c>
      <x:c r="R495" s="51" t="str">
        <x:v>C-开放路网计算；不是货车/危运合规路线</x:v>
      </x:c>
      <x:c r="S495" s="51" t="str">
        <x:v>https://routing.openstreetmap.de/routed-car/</x:v>
      </x:c>
    </x:row>
    <x:row r="496">
      <x:c r="A496" s="51" t="str">
        <x:v>A0492</x:v>
      </x:c>
      <x:c r="B496" s="51" t="str">
        <x:v>C03</x:v>
      </x:c>
      <x:c r="C496" s="51" t="str">
        <x:v>collection</x:v>
      </x:c>
      <x:c r="D496" s="51" t="str">
        <x:v>珠海虚拟回收/检测中心</x:v>
      </x:c>
      <x:c r="E496" s="51" t="str">
        <x:v>P02R</x:v>
      </x:c>
      <x:c r="F496" s="51" t="str">
        <x:v>recycling</x:v>
      </x:c>
      <x:c r="G496" s="51" t="str">
        <x:v>广东光华科技股份有限公司（再生功能）</x:v>
      </x:c>
      <x:c r="H496" s="52" t="n">
        <x:v>408.34484310771325</x:v>
      </x:c>
      <x:c r="I496" s="52" t="n">
        <x:v>427.5025</x:v>
      </x:c>
      <x:c r="J496" s="52" t="n">
        <x:v>308.2566666666667</x:v>
      </x:c>
      <x:c r="K496" s="52" t="n">
        <x:f>IFERROR(I496/H496,"")</x:f>
        <x:v>1.046915388343066</x:v>
      </x:c>
      <x:c r="L496" s="52" t="n">
        <x:v>400</x:v>
      </x:c>
      <x:c r="M496" s="65" t="n">
        <x:f>IF(H496&lt;=L496,1,0)</x:f>
        <x:v>0</x:v>
      </x:c>
      <x:c r="N496" s="65" t="n">
        <x:f>IF(I496&lt;=L496,1,0)</x:f>
        <x:v>0</x:v>
      </x:c>
      <x:c r="O496" s="51" t="str">
        <x:f>IF(M496=N496,"不变",IF(N496=1,"由禁变允","由允变禁"))</x:f>
        <x:v>不变</x:v>
      </x:c>
      <x:c r="P496" s="51" t="str">
        <x:v>OSRM driving/car</x:v>
      </x:c>
      <x:c r="Q496" s="51" t="str">
        <x:v>2026-08-15</x:v>
      </x:c>
      <x:c r="R496" s="51" t="str">
        <x:v>C-开放路网计算；不是货车/危运合规路线</x:v>
      </x:c>
      <x:c r="S496" s="51" t="str">
        <x:v>https://routing.openstreetmap.de/routed-car/</x:v>
      </x:c>
    </x:row>
    <x:row r="497">
      <x:c r="A497" s="51" t="str">
        <x:v>A0493</x:v>
      </x:c>
      <x:c r="B497" s="51" t="str">
        <x:v>C03</x:v>
      </x:c>
      <x:c r="C497" s="51" t="str">
        <x:v>collection</x:v>
      </x:c>
      <x:c r="D497" s="51" t="str">
        <x:v>珠海虚拟回收/检测中心</x:v>
      </x:c>
      <x:c r="E497" s="51" t="str">
        <x:v>P03</x:v>
      </x:c>
      <x:c r="F497" s="51" t="str">
        <x:v>echelon</x:v>
      </x:c>
      <x:c r="G497" s="51" t="str">
        <x:v>深圳深汕特别合作区乾泰技术有限公司</x:v>
      </x:c>
      <x:c r="H497" s="52" t="n">
        <x:v>258.19268317474746</x:v>
      </x:c>
      <x:c r="I497" s="52" t="n">
        <x:v>283.2169</x:v>
      </x:c>
      <x:c r="J497" s="52" t="n">
        <x:v>227.06666666666666</x:v>
      </x:c>
      <x:c r="K497" s="52" t="n">
        <x:f>IFERROR(I497/H497,"")</x:f>
        <x:v>1.096920704791297</x:v>
      </x:c>
      <x:c r="L497" s="52" t="n">
        <x:v>300</x:v>
      </x:c>
      <x:c r="M497" s="65" t="n">
        <x:f>IF(H497&lt;=L497,1,0)</x:f>
        <x:v>1</x:v>
      </x:c>
      <x:c r="N497" s="65" t="n">
        <x:f>IF(I497&lt;=L497,1,0)</x:f>
        <x:v>1</x:v>
      </x:c>
      <x:c r="O497" s="51" t="str">
        <x:f>IF(M497=N497,"不变",IF(N497=1,"由禁变允","由允变禁"))</x:f>
        <x:v>不变</x:v>
      </x:c>
      <x:c r="P497" s="51" t="str">
        <x:v>OSRM driving/car</x:v>
      </x:c>
      <x:c r="Q497" s="51" t="str">
        <x:v>2026-08-15</x:v>
      </x:c>
      <x:c r="R497" s="51" t="str">
        <x:v>C-开放路网计算；不是货车/危运合规路线</x:v>
      </x:c>
      <x:c r="S497" s="51" t="str">
        <x:v>https://routing.openstreetmap.de/routed-car/</x:v>
      </x:c>
    </x:row>
    <x:row r="498">
      <x:c r="A498" s="51" t="str">
        <x:v>A0494</x:v>
      </x:c>
      <x:c r="B498" s="51" t="str">
        <x:v>C03</x:v>
      </x:c>
      <x:c r="C498" s="51" t="str">
        <x:v>collection</x:v>
      </x:c>
      <x:c r="D498" s="51" t="str">
        <x:v>珠海虚拟回收/检测中心</x:v>
      </x:c>
      <x:c r="E498" s="51" t="str">
        <x:v>P04</x:v>
      </x:c>
      <x:c r="F498" s="51" t="str">
        <x:v>echelon</x:v>
      </x:c>
      <x:c r="G498" s="51" t="str">
        <x:v>珠海中力新能源科技有限公司</x:v>
      </x:c>
      <x:c r="H498" s="52" t="n">
        <x:v>0</x:v>
      </x:c>
      <x:c r="I498" s="52" t="n">
        <x:v>0</x:v>
      </x:c>
      <x:c r="J498" s="52" t="n">
        <x:v>0</x:v>
      </x:c>
      <x:c r="K498" s="52" t="str">
        <x:f>IFERROR(I498/H498,"")</x:f>
      </x:c>
      <x:c r="L498" s="52" t="n">
        <x:v>300</x:v>
      </x:c>
      <x:c r="M498" s="65" t="n">
        <x:f>IF(H498&lt;=L498,1,0)</x:f>
        <x:v>1</x:v>
      </x:c>
      <x:c r="N498" s="65" t="n">
        <x:f>IF(I498&lt;=L498,1,0)</x:f>
        <x:v>1</x:v>
      </x:c>
      <x:c r="O498" s="51" t="str">
        <x:f>IF(M498=N498,"不变",IF(N498=1,"由禁变允","由允变禁"))</x:f>
        <x:v>不变</x:v>
      </x:c>
      <x:c r="P498" s="51" t="str">
        <x:v>OSRM driving/car</x:v>
      </x:c>
      <x:c r="Q498" s="51" t="str">
        <x:v>2026-08-15</x:v>
      </x:c>
      <x:c r="R498" s="51" t="str">
        <x:v>C-开放路网计算；不是货车/危运合规路线</x:v>
      </x:c>
      <x:c r="S498" s="51" t="str">
        <x:v>https://routing.openstreetmap.de/routed-car/</x:v>
      </x:c>
    </x:row>
    <x:row r="499">
      <x:c r="A499" s="51" t="str">
        <x:v>A0495</x:v>
      </x:c>
      <x:c r="B499" s="51" t="str">
        <x:v>C03</x:v>
      </x:c>
      <x:c r="C499" s="51" t="str">
        <x:v>collection</x:v>
      </x:c>
      <x:c r="D499" s="51" t="str">
        <x:v>珠海虚拟回收/检测中心</x:v>
      </x:c>
      <x:c r="E499" s="51" t="str">
        <x:v>P05</x:v>
      </x:c>
      <x:c r="F499" s="51" t="str">
        <x:v>echelon</x:v>
      </x:c>
      <x:c r="G499" s="51" t="str">
        <x:v>惠州市恒创睿能环保科技有限公司</x:v>
      </x:c>
      <x:c r="H499" s="52" t="n">
        <x:v>152.4261811714796</x:v>
      </x:c>
      <x:c r="I499" s="52" t="n">
        <x:v>189.6078</x:v>
      </x:c>
      <x:c r="J499" s="52" t="n">
        <x:v>139.17333333333332</x:v>
      </x:c>
      <x:c r="K499" s="52" t="n">
        <x:f>IFERROR(I499/H499,"")</x:f>
        <x:v>1.2439319711532433</x:v>
      </x:c>
      <x:c r="L499" s="52" t="n">
        <x:v>300</x:v>
      </x:c>
      <x:c r="M499" s="65" t="n">
        <x:f>IF(H499&lt;=L499,1,0)</x:f>
        <x:v>1</x:v>
      </x:c>
      <x:c r="N499" s="65" t="n">
        <x:f>IF(I499&lt;=L499,1,0)</x:f>
        <x:v>1</x:v>
      </x:c>
      <x:c r="O499" s="51" t="str">
        <x:f>IF(M499=N499,"不变",IF(N499=1,"由禁变允","由允变禁"))</x:f>
        <x:v>不变</x:v>
      </x:c>
      <x:c r="P499" s="51" t="str">
        <x:v>OSRM driving/car</x:v>
      </x:c>
      <x:c r="Q499" s="51" t="str">
        <x:v>2026-08-15</x:v>
      </x:c>
      <x:c r="R499" s="51" t="str">
        <x:v>C-开放路网计算；不是货车/危运合规路线</x:v>
      </x:c>
      <x:c r="S499" s="51" t="str">
        <x:v>https://routing.openstreetmap.de/routed-car/</x:v>
      </x:c>
    </x:row>
    <x:row r="500">
      <x:c r="A500" s="51" t="str">
        <x:v>A0496</x:v>
      </x:c>
      <x:c r="B500" s="51" t="str">
        <x:v>C03</x:v>
      </x:c>
      <x:c r="C500" s="51" t="str">
        <x:v>collection</x:v>
      </x:c>
      <x:c r="D500" s="51" t="str">
        <x:v>珠海虚拟回收/检测中心</x:v>
      </x:c>
      <x:c r="E500" s="51" t="str">
        <x:v>P06</x:v>
      </x:c>
      <x:c r="F500" s="51" t="str">
        <x:v>echelon</x:v>
      </x:c>
      <x:c r="G500" s="51" t="str">
        <x:v>江门市朗达锂电池有限公司</x:v>
      </x:c>
      <x:c r="H500" s="52" t="n">
        <x:v>73.6969883389518</x:v>
      </x:c>
      <x:c r="I500" s="52" t="n">
        <x:v>81.7238</x:v>
      </x:c>
      <x:c r="J500" s="52" t="n">
        <x:v>63.93833333333334</x:v>
      </x:c>
      <x:c r="K500" s="52" t="n">
        <x:f>IFERROR(I500/H500,"")</x:f>
        <x:v>1.1089164135735206</x:v>
      </x:c>
      <x:c r="L500" s="52" t="n">
        <x:v>300</x:v>
      </x:c>
      <x:c r="M500" s="65" t="n">
        <x:f>IF(H500&lt;=L500,1,0)</x:f>
        <x:v>1</x:v>
      </x:c>
      <x:c r="N500" s="65" t="n">
        <x:f>IF(I500&lt;=L500,1,0)</x:f>
        <x:v>1</x:v>
      </x:c>
      <x:c r="O500" s="51" t="str">
        <x:f>IF(M500=N500,"不变",IF(N500=1,"由禁变允","由允变禁"))</x:f>
        <x:v>不变</x:v>
      </x:c>
      <x:c r="P500" s="51" t="str">
        <x:v>OSRM driving/car</x:v>
      </x:c>
      <x:c r="Q500" s="51" t="str">
        <x:v>2026-08-15</x:v>
      </x:c>
      <x:c r="R500" s="51" t="str">
        <x:v>C-开放路网计算；不是货车/危运合规路线</x:v>
      </x:c>
      <x:c r="S500" s="51" t="str">
        <x:v>https://routing.openstreetmap.de/routed-car/</x:v>
      </x:c>
    </x:row>
    <x:row r="501">
      <x:c r="A501" s="51" t="str">
        <x:v>A0497</x:v>
      </x:c>
      <x:c r="B501" s="51" t="str">
        <x:v>C03</x:v>
      </x:c>
      <x:c r="C501" s="51" t="str">
        <x:v>collection</x:v>
      </x:c>
      <x:c r="D501" s="51" t="str">
        <x:v>珠海虚拟回收/检测中心</x:v>
      </x:c>
      <x:c r="E501" s="51" t="str">
        <x:v>P07</x:v>
      </x:c>
      <x:c r="F501" s="51" t="str">
        <x:v>echelon</x:v>
      </x:c>
      <x:c r="G501" s="51" t="str">
        <x:v>广东迪度新能源有限公司</x:v>
      </x:c>
      <x:c r="H501" s="52" t="n">
        <x:v>101.6188477233397</x:v>
      </x:c>
      <x:c r="I501" s="52" t="n">
        <x:v>124.11760000000001</x:v>
      </x:c>
      <x:c r="J501" s="52" t="n">
        <x:v>95.23666666666666</x:v>
      </x:c>
      <x:c r="K501" s="52" t="n">
        <x:f>IFERROR(I501/H501,"")</x:f>
        <x:v>1.221403339840202</x:v>
      </x:c>
      <x:c r="L501" s="52" t="n">
        <x:v>300</x:v>
      </x:c>
      <x:c r="M501" s="65" t="n">
        <x:f>IF(H501&lt;=L501,1,0)</x:f>
        <x:v>1</x:v>
      </x:c>
      <x:c r="N501" s="65" t="n">
        <x:f>IF(I501&lt;=L501,1,0)</x:f>
        <x:v>1</x:v>
      </x:c>
      <x:c r="O501" s="51" t="str">
        <x:f>IF(M501=N501,"不变",IF(N501=1,"由禁变允","由允变禁"))</x:f>
        <x:v>不变</x:v>
      </x:c>
      <x:c r="P501" s="51" t="str">
        <x:v>OSRM driving/car</x:v>
      </x:c>
      <x:c r="Q501" s="51" t="str">
        <x:v>2026-08-15</x:v>
      </x:c>
      <x:c r="R501" s="51" t="str">
        <x:v>C-开放路网计算；不是货车/危运合规路线</x:v>
      </x:c>
      <x:c r="S501" s="51" t="str">
        <x:v>https://routing.openstreetmap.de/routed-car/</x:v>
      </x:c>
    </x:row>
    <x:row r="502">
      <x:c r="A502" s="51" t="str">
        <x:v>A0498</x:v>
      </x:c>
      <x:c r="B502" s="51" t="str">
        <x:v>C03</x:v>
      </x:c>
      <x:c r="C502" s="51" t="str">
        <x:v>collection</x:v>
      </x:c>
      <x:c r="D502" s="51" t="str">
        <x:v>珠海虚拟回收/检测中心</x:v>
      </x:c>
      <x:c r="E502" s="51" t="str">
        <x:v>P08</x:v>
      </x:c>
      <x:c r="F502" s="51" t="str">
        <x:v>echelon</x:v>
      </x:c>
      <x:c r="G502" s="51" t="str">
        <x:v>东莞市博森新能源有限公司</x:v>
      </x:c>
      <x:c r="H502" s="52" t="n">
        <x:v>101.6188477233397</x:v>
      </x:c>
      <x:c r="I502" s="52" t="n">
        <x:v>124.11760000000001</x:v>
      </x:c>
      <x:c r="J502" s="52" t="n">
        <x:v>95.23666666666666</x:v>
      </x:c>
      <x:c r="K502" s="52" t="n">
        <x:f>IFERROR(I502/H502,"")</x:f>
        <x:v>1.221403339840202</x:v>
      </x:c>
      <x:c r="L502" s="52" t="n">
        <x:v>300</x:v>
      </x:c>
      <x:c r="M502" s="65" t="n">
        <x:f>IF(H502&lt;=L502,1,0)</x:f>
        <x:v>1</x:v>
      </x:c>
      <x:c r="N502" s="65" t="n">
        <x:f>IF(I502&lt;=L502,1,0)</x:f>
        <x:v>1</x:v>
      </x:c>
      <x:c r="O502" s="51" t="str">
        <x:f>IF(M502=N502,"不变",IF(N502=1,"由禁变允","由允变禁"))</x:f>
        <x:v>不变</x:v>
      </x:c>
      <x:c r="P502" s="51" t="str">
        <x:v>OSRM driving/car</x:v>
      </x:c>
      <x:c r="Q502" s="51" t="str">
        <x:v>2026-08-15</x:v>
      </x:c>
      <x:c r="R502" s="51" t="str">
        <x:v>C-开放路网计算；不是货车/危运合规路线</x:v>
      </x:c>
      <x:c r="S502" s="51" t="str">
        <x:v>https://routing.openstreetmap.de/routed-car/</x:v>
      </x:c>
    </x:row>
    <x:row r="503">
      <x:c r="A503" s="51" t="str">
        <x:v>A0499</x:v>
      </x:c>
      <x:c r="B503" s="51" t="str">
        <x:v>C03</x:v>
      </x:c>
      <x:c r="C503" s="51" t="str">
        <x:v>collection</x:v>
      </x:c>
      <x:c r="D503" s="51" t="str">
        <x:v>珠海虚拟回收/检测中心</x:v>
      </x:c>
      <x:c r="E503" s="51" t="str">
        <x:v>P09</x:v>
      </x:c>
      <x:c r="F503" s="51" t="str">
        <x:v>echelon</x:v>
      </x:c>
      <x:c r="G503" s="51" t="str">
        <x:v>广东宇阳新能源有限公司</x:v>
      </x:c>
      <x:c r="H503" s="52" t="n">
        <x:v>101.6188477233397</x:v>
      </x:c>
      <x:c r="I503" s="52" t="n">
        <x:v>124.11760000000001</x:v>
      </x:c>
      <x:c r="J503" s="52" t="n">
        <x:v>95.23666666666666</x:v>
      </x:c>
      <x:c r="K503" s="52" t="n">
        <x:f>IFERROR(I503/H503,"")</x:f>
        <x:v>1.221403339840202</x:v>
      </x:c>
      <x:c r="L503" s="52" t="n">
        <x:v>300</x:v>
      </x:c>
      <x:c r="M503" s="65" t="n">
        <x:f>IF(H503&lt;=L503,1,0)</x:f>
        <x:v>1</x:v>
      </x:c>
      <x:c r="N503" s="65" t="n">
        <x:f>IF(I503&lt;=L503,1,0)</x:f>
        <x:v>1</x:v>
      </x:c>
      <x:c r="O503" s="51" t="str">
        <x:f>IF(M503=N503,"不变",IF(N503=1,"由禁变允","由允变禁"))</x:f>
        <x:v>不变</x:v>
      </x:c>
      <x:c r="P503" s="51" t="str">
        <x:v>OSRM driving/car</x:v>
      </x:c>
      <x:c r="Q503" s="51" t="str">
        <x:v>2026-08-15</x:v>
      </x:c>
      <x:c r="R503" s="51" t="str">
        <x:v>C-开放路网计算；不是货车/危运合规路线</x:v>
      </x:c>
      <x:c r="S503" s="51" t="str">
        <x:v>https://routing.openstreetmap.de/routed-car/</x:v>
      </x:c>
    </x:row>
    <x:row r="504">
      <x:c r="A504" s="51" t="str">
        <x:v>A0500</x:v>
      </x:c>
      <x:c r="B504" s="51" t="str">
        <x:v>C03</x:v>
      </x:c>
      <x:c r="C504" s="51" t="str">
        <x:v>collection</x:v>
      </x:c>
      <x:c r="D504" s="51" t="str">
        <x:v>珠海虚拟回收/检测中心</x:v>
      </x:c>
      <x:c r="E504" s="51" t="str">
        <x:v>P10</x:v>
      </x:c>
      <x:c r="F504" s="51" t="str">
        <x:v>echelon</x:v>
      </x:c>
      <x:c r="G504" s="51" t="str">
        <x:v>广州广汽商贸再生资源有限公司</x:v>
      </x:c>
      <x:c r="H504" s="52" t="n">
        <x:v>120.43690722365889</x:v>
      </x:c>
      <x:c r="I504" s="52" t="n">
        <x:v>126.5484</x:v>
      </x:c>
      <x:c r="J504" s="52" t="n">
        <x:v>90.98333333333333</x:v>
      </x:c>
      <x:c r="K504" s="52" t="n">
        <x:f>IFERROR(I504/H504,"")</x:f>
        <x:v>1.0507443516877404</x:v>
      </x:c>
      <x:c r="L504" s="52" t="n">
        <x:v>300</x:v>
      </x:c>
      <x:c r="M504" s="65" t="n">
        <x:f>IF(H504&lt;=L504,1,0)</x:f>
        <x:v>1</x:v>
      </x:c>
      <x:c r="N504" s="65" t="n">
        <x:f>IF(I504&lt;=L504,1,0)</x:f>
        <x:v>1</x:v>
      </x:c>
      <x:c r="O504" s="51" t="str">
        <x:f>IF(M504=N504,"不变",IF(N504=1,"由禁变允","由允变禁"))</x:f>
        <x:v>不变</x:v>
      </x:c>
      <x:c r="P504" s="51" t="str">
        <x:v>OSRM driving/car</x:v>
      </x:c>
      <x:c r="Q504" s="51" t="str">
        <x:v>2026-08-15</x:v>
      </x:c>
      <x:c r="R504" s="51" t="str">
        <x:v>C-开放路网计算；不是货车/危运合规路线</x:v>
      </x:c>
      <x:c r="S504" s="51" t="str">
        <x:v>https://routing.openstreetmap.de/routed-car/</x:v>
      </x:c>
    </x:row>
    <x:row r="505">
      <x:c r="A505" s="51" t="str">
        <x:v>A0501</x:v>
      </x:c>
      <x:c r="B505" s="51" t="str">
        <x:v>C03</x:v>
      </x:c>
      <x:c r="C505" s="51" t="str">
        <x:v>collection</x:v>
      </x:c>
      <x:c r="D505" s="51" t="str">
        <x:v>珠海虚拟回收/检测中心</x:v>
      </x:c>
      <x:c r="E505" s="51" t="str">
        <x:v>P11</x:v>
      </x:c>
      <x:c r="F505" s="51" t="str">
        <x:v>echelon</x:v>
      </x:c>
      <x:c r="G505" s="51" t="str">
        <x:v>深圳市杰成镍钴新能源科技有限公司</x:v>
      </x:c>
      <x:c r="H505" s="52" t="n">
        <x:v>69.62293789389439</x:v>
      </x:c>
      <x:c r="I505" s="52" t="n">
        <x:v>102.1378</x:v>
      </x:c>
      <x:c r="J505" s="52" t="n">
        <x:v>86.355</x:v>
      </x:c>
      <x:c r="K505" s="52" t="n">
        <x:f>IFERROR(I505/H505,"")</x:f>
        <x:v>1.4670136465033747</x:v>
      </x:c>
      <x:c r="L505" s="52" t="n">
        <x:v>300</x:v>
      </x:c>
      <x:c r="M505" s="65" t="n">
        <x:f>IF(H505&lt;=L505,1,0)</x:f>
        <x:v>1</x:v>
      </x:c>
      <x:c r="N505" s="65" t="n">
        <x:f>IF(I505&lt;=L505,1,0)</x:f>
        <x:v>1</x:v>
      </x:c>
      <x:c r="O505" s="51" t="str">
        <x:f>IF(M505=N505,"不变",IF(N505=1,"由禁变允","由允变禁"))</x:f>
        <x:v>不变</x:v>
      </x:c>
      <x:c r="P505" s="51" t="str">
        <x:v>OSRM driving/car</x:v>
      </x:c>
      <x:c r="Q505" s="51" t="str">
        <x:v>2026-08-15</x:v>
      </x:c>
      <x:c r="R505" s="51" t="str">
        <x:v>C-开放路网计算；不是货车/危运合规路线</x:v>
      </x:c>
      <x:c r="S505" s="51" t="str">
        <x:v>https://routing.openstreetmap.de/routed-car/</x:v>
      </x:c>
    </x:row>
    <x:row r="506">
      <x:c r="A506" s="51" t="str">
        <x:v>A0502</x:v>
      </x:c>
      <x:c r="B506" s="51" t="str">
        <x:v>C03</x:v>
      </x:c>
      <x:c r="C506" s="51" t="str">
        <x:v>collection</x:v>
      </x:c>
      <x:c r="D506" s="51" t="str">
        <x:v>珠海虚拟回收/检测中心</x:v>
      </x:c>
      <x:c r="E506" s="51" t="str">
        <x:v>P12</x:v>
      </x:c>
      <x:c r="F506" s="51" t="str">
        <x:v>recycling</x:v>
      </x:c>
      <x:c r="G506" s="51" t="str">
        <x:v>江门市恒创睿能环保科技有限公司</x:v>
      </x:c>
      <x:c r="H506" s="52" t="n">
        <x:v>73.6969883389518</x:v>
      </x:c>
      <x:c r="I506" s="52" t="n">
        <x:v>81.7238</x:v>
      </x:c>
      <x:c r="J506" s="52" t="n">
        <x:v>63.93833333333334</x:v>
      </x:c>
      <x:c r="K506" s="52" t="n">
        <x:f>IFERROR(I506/H506,"")</x:f>
        <x:v>1.1089164135735206</x:v>
      </x:c>
      <x:c r="L506" s="52" t="n">
        <x:v>400</x:v>
      </x:c>
      <x:c r="M506" s="65" t="n">
        <x:f>IF(H506&lt;=L506,1,0)</x:f>
        <x:v>1</x:v>
      </x:c>
      <x:c r="N506" s="65" t="n">
        <x:f>IF(I506&lt;=L506,1,0)</x:f>
        <x:v>1</x:v>
      </x:c>
      <x:c r="O506" s="51" t="str">
        <x:f>IF(M506=N506,"不变",IF(N506=1,"由禁变允","由允变禁"))</x:f>
        <x:v>不变</x:v>
      </x:c>
      <x:c r="P506" s="51" t="str">
        <x:v>OSRM driving/car</x:v>
      </x:c>
      <x:c r="Q506" s="51" t="str">
        <x:v>2026-08-15</x:v>
      </x:c>
      <x:c r="R506" s="51" t="str">
        <x:v>C-开放路网计算；不是货车/危运合规路线</x:v>
      </x:c>
      <x:c r="S506" s="51" t="str">
        <x:v>https://routing.openstreetmap.de/routed-car/</x:v>
      </x:c>
    </x:row>
    <x:row r="507">
      <x:c r="A507" s="51" t="str">
        <x:v>A0503</x:v>
      </x:c>
      <x:c r="B507" s="51" t="str">
        <x:v>C03</x:v>
      </x:c>
      <x:c r="C507" s="51" t="str">
        <x:v>collection</x:v>
      </x:c>
      <x:c r="D507" s="51" t="str">
        <x:v>珠海虚拟回收/检测中心</x:v>
      </x:c>
      <x:c r="E507" s="51" t="str">
        <x:v>P13</x:v>
      </x:c>
      <x:c r="F507" s="51" t="str">
        <x:v>recycling</x:v>
      </x:c>
      <x:c r="G507" s="51" t="str">
        <x:v>广东佳纳能源科技有限公司</x:v>
      </x:c>
      <x:c r="H507" s="52" t="n">
        <x:v>198.69550482506634</x:v>
      </x:c>
      <x:c r="I507" s="52" t="n">
        <x:v>200.6153</x:v>
      </x:c>
      <x:c r="J507" s="52" t="n">
        <x:v>145.05333333333334</x:v>
      </x:c>
      <x:c r="K507" s="52" t="n">
        <x:f>IFERROR(I507/H507,"")</x:f>
        <x:v>1.0096619960105482</x:v>
      </x:c>
      <x:c r="L507" s="52" t="n">
        <x:v>400</x:v>
      </x:c>
      <x:c r="M507" s="65" t="n">
        <x:f>IF(H507&lt;=L507,1,0)</x:f>
        <x:v>1</x:v>
      </x:c>
      <x:c r="N507" s="65" t="n">
        <x:f>IF(I507&lt;=L507,1,0)</x:f>
        <x:v>1</x:v>
      </x:c>
      <x:c r="O507" s="51" t="str">
        <x:f>IF(M507=N507,"不变",IF(N507=1,"由禁变允","由允变禁"))</x:f>
        <x:v>不变</x:v>
      </x:c>
      <x:c r="P507" s="51" t="str">
        <x:v>OSRM driving/car</x:v>
      </x:c>
      <x:c r="Q507" s="51" t="str">
        <x:v>2026-08-15</x:v>
      </x:c>
      <x:c r="R507" s="51" t="str">
        <x:v>C-开放路网计算；不是货车/危运合规路线</x:v>
      </x:c>
      <x:c r="S507" s="51" t="str">
        <x:v>https://routing.openstreetmap.de/routed-car/</x:v>
      </x:c>
    </x:row>
    <x:row r="508">
      <x:c r="A508" s="51" t="str">
        <x:v>A0504</x:v>
      </x:c>
      <x:c r="B508" s="51" t="str">
        <x:v>C03</x:v>
      </x:c>
      <x:c r="C508" s="51" t="str">
        <x:v>collection</x:v>
      </x:c>
      <x:c r="D508" s="51" t="str">
        <x:v>珠海虚拟回收/检测中心</x:v>
      </x:c>
      <x:c r="E508" s="51" t="str">
        <x:v>P14</x:v>
      </x:c>
      <x:c r="F508" s="51" t="str">
        <x:v>echelon</x:v>
      </x:c>
      <x:c r="G508" s="51" t="str">
        <x:v>格林美（深圳）循环科技有限公司</x:v>
      </x:c>
      <x:c r="H508" s="52" t="n">
        <x:v>69.62293789389439</x:v>
      </x:c>
      <x:c r="I508" s="52" t="n">
        <x:v>102.1378</x:v>
      </x:c>
      <x:c r="J508" s="52" t="n">
        <x:v>86.355</x:v>
      </x:c>
      <x:c r="K508" s="52" t="n">
        <x:f>IFERROR(I508/H508,"")</x:f>
        <x:v>1.4670136465033747</x:v>
      </x:c>
      <x:c r="L508" s="52" t="n">
        <x:v>300</x:v>
      </x:c>
      <x:c r="M508" s="65" t="n">
        <x:f>IF(H508&lt;=L508,1,0)</x:f>
        <x:v>1</x:v>
      </x:c>
      <x:c r="N508" s="65" t="n">
        <x:f>IF(I508&lt;=L508,1,0)</x:f>
        <x:v>1</x:v>
      </x:c>
      <x:c r="O508" s="51" t="str">
        <x:f>IF(M508=N508,"不变",IF(N508=1,"由禁变允","由允变禁"))</x:f>
        <x:v>不变</x:v>
      </x:c>
      <x:c r="P508" s="51" t="str">
        <x:v>OSRM driving/car</x:v>
      </x:c>
      <x:c r="Q508" s="51" t="str">
        <x:v>2026-08-15</x:v>
      </x:c>
      <x:c r="R508" s="51" t="str">
        <x:v>C-开放路网计算；不是货车/危运合规路线</x:v>
      </x:c>
      <x:c r="S508" s="51" t="str">
        <x:v>https://routing.openstreetmap.de/routed-car/</x:v>
      </x:c>
    </x:row>
    <x:row r="509">
      <x:c r="A509" s="51" t="str">
        <x:v>A0505</x:v>
      </x:c>
      <x:c r="B509" s="51" t="str">
        <x:v>C03</x:v>
      </x:c>
      <x:c r="C509" s="51" t="str">
        <x:v>collection</x:v>
      </x:c>
      <x:c r="D509" s="51" t="str">
        <x:v>珠海虚拟回收/检测中心</x:v>
      </x:c>
      <x:c r="E509" s="51" t="str">
        <x:v>P15</x:v>
      </x:c>
      <x:c r="F509" s="51" t="str">
        <x:v>echelon</x:v>
      </x:c>
      <x:c r="G509" s="51" t="str">
        <x:v>绿循新能源科技（佛山）有限责任公司</x:v>
      </x:c>
      <x:c r="H509" s="52" t="n">
        <x:v>114.79211666369928</x:v>
      </x:c>
      <x:c r="I509" s="52" t="n">
        <x:v>120.55080000000001</x:v>
      </x:c>
      <x:c r="J509" s="52" t="n">
        <x:v>88.81</x:v>
      </x:c>
      <x:c r="K509" s="52" t="n">
        <x:f>IFERROR(I509/H509,"")</x:f>
        <x:v>1.0501661917531468</x:v>
      </x:c>
      <x:c r="L509" s="52" t="n">
        <x:v>300</x:v>
      </x:c>
      <x:c r="M509" s="65" t="n">
        <x:f>IF(H509&lt;=L509,1,0)</x:f>
        <x:v>1</x:v>
      </x:c>
      <x:c r="N509" s="65" t="n">
        <x:f>IF(I509&lt;=L509,1,0)</x:f>
        <x:v>1</x:v>
      </x:c>
      <x:c r="O509" s="51" t="str">
        <x:f>IF(M509=N509,"不变",IF(N509=1,"由禁变允","由允变禁"))</x:f>
        <x:v>不变</x:v>
      </x:c>
      <x:c r="P509" s="51" t="str">
        <x:v>OSRM driving/car</x:v>
      </x:c>
      <x:c r="Q509" s="51" t="str">
        <x:v>2026-08-15</x:v>
      </x:c>
      <x:c r="R509" s="51" t="str">
        <x:v>C-开放路网计算；不是货车/危运合规路线</x:v>
      </x:c>
      <x:c r="S509" s="51" t="str">
        <x:v>https://routing.openstreetmap.de/routed-car/</x:v>
      </x:c>
    </x:row>
    <x:row r="510">
      <x:c r="A510" s="51" t="str">
        <x:v>A0506</x:v>
      </x:c>
      <x:c r="B510" s="51" t="str">
        <x:v>C03</x:v>
      </x:c>
      <x:c r="C510" s="51" t="str">
        <x:v>collection</x:v>
      </x:c>
      <x:c r="D510" s="51" t="str">
        <x:v>珠海虚拟回收/检测中心</x:v>
      </x:c>
      <x:c r="E510" s="51" t="str">
        <x:v>P16</x:v>
      </x:c>
      <x:c r="F510" s="51" t="str">
        <x:v>echelon</x:v>
      </x:c>
      <x:c r="G510" s="51" t="str">
        <x:v>深圳艾云动智慧科技有限公司</x:v>
      </x:c>
      <x:c r="H510" s="52" t="n">
        <x:v>69.62293789389439</x:v>
      </x:c>
      <x:c r="I510" s="52" t="n">
        <x:v>102.1378</x:v>
      </x:c>
      <x:c r="J510" s="52" t="n">
        <x:v>86.355</x:v>
      </x:c>
      <x:c r="K510" s="52" t="n">
        <x:f>IFERROR(I510/H510,"")</x:f>
        <x:v>1.4670136465033747</x:v>
      </x:c>
      <x:c r="L510" s="52" t="n">
        <x:v>300</x:v>
      </x:c>
      <x:c r="M510" s="65" t="n">
        <x:f>IF(H510&lt;=L510,1,0)</x:f>
        <x:v>1</x:v>
      </x:c>
      <x:c r="N510" s="65" t="n">
        <x:f>IF(I510&lt;=L510,1,0)</x:f>
        <x:v>1</x:v>
      </x:c>
      <x:c r="O510" s="51" t="str">
        <x:f>IF(M510=N510,"不变",IF(N510=1,"由禁变允","由允变禁"))</x:f>
        <x:v>不变</x:v>
      </x:c>
      <x:c r="P510" s="51" t="str">
        <x:v>OSRM driving/car</x:v>
      </x:c>
      <x:c r="Q510" s="51" t="str">
        <x:v>2026-08-15</x:v>
      </x:c>
      <x:c r="R510" s="51" t="str">
        <x:v>C-开放路网计算；不是货车/危运合规路线</x:v>
      </x:c>
      <x:c r="S510" s="51" t="str">
        <x:v>https://routing.openstreetmap.de/routed-car/</x:v>
      </x:c>
    </x:row>
    <x:row r="511">
      <x:c r="A511" s="51" t="str">
        <x:v>A0507</x:v>
      </x:c>
      <x:c r="B511" s="51" t="str">
        <x:v>C03</x:v>
      </x:c>
      <x:c r="C511" s="51" t="str">
        <x:v>collection</x:v>
      </x:c>
      <x:c r="D511" s="51" t="str">
        <x:v>珠海虚拟回收/检测中心</x:v>
      </x:c>
      <x:c r="E511" s="51" t="str">
        <x:v>P17</x:v>
      </x:c>
      <x:c r="F511" s="51" t="str">
        <x:v>echelon</x:v>
      </x:c>
      <x:c r="G511" s="51" t="str">
        <x:v>深圳市荣高晟新能源科技有限公司</x:v>
      </x:c>
      <x:c r="H511" s="52" t="n">
        <x:v>69.62293789389439</x:v>
      </x:c>
      <x:c r="I511" s="52" t="n">
        <x:v>102.1378</x:v>
      </x:c>
      <x:c r="J511" s="52" t="n">
        <x:v>86.355</x:v>
      </x:c>
      <x:c r="K511" s="52" t="n">
        <x:f>IFERROR(I511/H511,"")</x:f>
        <x:v>1.4670136465033747</x:v>
      </x:c>
      <x:c r="L511" s="52" t="n">
        <x:v>300</x:v>
      </x:c>
      <x:c r="M511" s="65" t="n">
        <x:f>IF(H511&lt;=L511,1,0)</x:f>
        <x:v>1</x:v>
      </x:c>
      <x:c r="N511" s="65" t="n">
        <x:f>IF(I511&lt;=L511,1,0)</x:f>
        <x:v>1</x:v>
      </x:c>
      <x:c r="O511" s="51" t="str">
        <x:f>IF(M511=N511,"不变",IF(N511=1,"由禁变允","由允变禁"))</x:f>
        <x:v>不变</x:v>
      </x:c>
      <x:c r="P511" s="51" t="str">
        <x:v>OSRM driving/car</x:v>
      </x:c>
      <x:c r="Q511" s="51" t="str">
        <x:v>2026-08-15</x:v>
      </x:c>
      <x:c r="R511" s="51" t="str">
        <x:v>C-开放路网计算；不是货车/危运合规路线</x:v>
      </x:c>
      <x:c r="S511" s="51" t="str">
        <x:v>https://routing.openstreetmap.de/routed-car/</x:v>
      </x:c>
    </x:row>
    <x:row r="512">
      <x:c r="A512" s="51" t="str">
        <x:v>A0508</x:v>
      </x:c>
      <x:c r="B512" s="51" t="str">
        <x:v>C03</x:v>
      </x:c>
      <x:c r="C512" s="51" t="str">
        <x:v>collection</x:v>
      </x:c>
      <x:c r="D512" s="51" t="str">
        <x:v>珠海虚拟回收/检测中心</x:v>
      </x:c>
      <x:c r="E512" s="51" t="str">
        <x:v>P18</x:v>
      </x:c>
      <x:c r="F512" s="51" t="str">
        <x:v>echelon</x:v>
      </x:c>
      <x:c r="G512" s="51" t="str">
        <x:v>中商锂新能源科技（惠州）有限公司</x:v>
      </x:c>
      <x:c r="H512" s="52" t="n">
        <x:v>152.4261811714796</x:v>
      </x:c>
      <x:c r="I512" s="52" t="n">
        <x:v>189.6078</x:v>
      </x:c>
      <x:c r="J512" s="52" t="n">
        <x:v>139.17333333333332</x:v>
      </x:c>
      <x:c r="K512" s="52" t="n">
        <x:f>IFERROR(I512/H512,"")</x:f>
        <x:v>1.2439319711532433</x:v>
      </x:c>
      <x:c r="L512" s="52" t="n">
        <x:v>300</x:v>
      </x:c>
      <x:c r="M512" s="65" t="n">
        <x:f>IF(H512&lt;=L512,1,0)</x:f>
        <x:v>1</x:v>
      </x:c>
      <x:c r="N512" s="65" t="n">
        <x:f>IF(I512&lt;=L512,1,0)</x:f>
        <x:v>1</x:v>
      </x:c>
      <x:c r="O512" s="51" t="str">
        <x:f>IF(M512=N512,"不变",IF(N512=1,"由禁变允","由允变禁"))</x:f>
        <x:v>不变</x:v>
      </x:c>
      <x:c r="P512" s="51" t="str">
        <x:v>OSRM driving/car</x:v>
      </x:c>
      <x:c r="Q512" s="51" t="str">
        <x:v>2026-08-15</x:v>
      </x:c>
      <x:c r="R512" s="51" t="str">
        <x:v>C-开放路网计算；不是货车/危运合规路线</x:v>
      </x:c>
      <x:c r="S512" s="51" t="str">
        <x:v>https://routing.openstreetmap.de/routed-car/</x:v>
      </x:c>
    </x:row>
    <x:row r="513">
      <x:c r="A513" s="51" t="str">
        <x:v>A0509</x:v>
      </x:c>
      <x:c r="B513" s="51" t="str">
        <x:v>C03</x:v>
      </x:c>
      <x:c r="C513" s="51" t="str">
        <x:v>collection</x:v>
      </x:c>
      <x:c r="D513" s="51" t="str">
        <x:v>珠海虚拟回收/检测中心</x:v>
      </x:c>
      <x:c r="E513" s="51" t="str">
        <x:v>P19</x:v>
      </x:c>
      <x:c r="F513" s="51" t="str">
        <x:v>recycling</x:v>
      </x:c>
      <x:c r="G513" s="51" t="str">
        <x:v>广东盛祥新材料科技有限公司</x:v>
      </x:c>
      <x:c r="H513" s="52" t="n">
        <x:v>342.51517338462924</x:v>
      </x:c>
      <x:c r="I513" s="52" t="n">
        <x:v>356.7178</x:v>
      </x:c>
      <x:c r="J513" s="52" t="n">
        <x:v>249.975</x:v>
      </x:c>
      <x:c r="K513" s="52" t="n">
        <x:f>IFERROR(I513/H513,"")</x:f>
        <x:v>1.0414656859578653</x:v>
      </x:c>
      <x:c r="L513" s="52" t="n">
        <x:v>400</x:v>
      </x:c>
      <x:c r="M513" s="65" t="n">
        <x:f>IF(H513&lt;=L513,1,0)</x:f>
        <x:v>1</x:v>
      </x:c>
      <x:c r="N513" s="65" t="n">
        <x:f>IF(I513&lt;=L513,1,0)</x:f>
        <x:v>1</x:v>
      </x:c>
      <x:c r="O513" s="51" t="str">
        <x:f>IF(M513=N513,"不变",IF(N513=1,"由禁变允","由允变禁"))</x:f>
        <x:v>不变</x:v>
      </x:c>
      <x:c r="P513" s="51" t="str">
        <x:v>OSRM driving/car</x:v>
      </x:c>
      <x:c r="Q513" s="51" t="str">
        <x:v>2026-08-15</x:v>
      </x:c>
      <x:c r="R513" s="51" t="str">
        <x:v>C-开放路网计算；不是货车/危运合规路线</x:v>
      </x:c>
      <x:c r="S513" s="51" t="str">
        <x:v>https://routing.openstreetmap.de/routed-car/</x:v>
      </x:c>
    </x:row>
    <x:row r="514">
      <x:c r="A514" s="51" t="str">
        <x:v>A0510</x:v>
      </x:c>
      <x:c r="B514" s="51" t="str">
        <x:v>C03</x:v>
      </x:c>
      <x:c r="C514" s="51" t="str">
        <x:v>collection</x:v>
      </x:c>
      <x:c r="D514" s="51" t="str">
        <x:v>珠海虚拟回收/检测中心</x:v>
      </x:c>
      <x:c r="E514" s="51" t="str">
        <x:v>P20E</x:v>
      </x:c>
      <x:c r="F514" s="51" t="str">
        <x:v>echelon</x:v>
      </x:c>
      <x:c r="G514" s="51" t="str">
        <x:v>广东金晟新能源股份有限公司（梯次功能）</x:v>
      </x:c>
      <x:c r="H514" s="52" t="n">
        <x:v>171.67709725824648</x:v>
      </x:c>
      <x:c r="I514" s="52" t="n">
        <x:v>183.1347</x:v>
      </x:c>
      <x:c r="J514" s="52" t="n">
        <x:v>135.76166666666666</x:v>
      </x:c>
      <x:c r="K514" s="52" t="n">
        <x:f>IFERROR(I514/H514,"")</x:f>
        <x:v>1.0667392618161429</x:v>
      </x:c>
      <x:c r="L514" s="52" t="n">
        <x:v>300</x:v>
      </x:c>
      <x:c r="M514" s="65" t="n">
        <x:f>IF(H514&lt;=L514,1,0)</x:f>
        <x:v>1</x:v>
      </x:c>
      <x:c r="N514" s="65" t="n">
        <x:f>IF(I514&lt;=L514,1,0)</x:f>
        <x:v>1</x:v>
      </x:c>
      <x:c r="O514" s="51" t="str">
        <x:f>IF(M514=N514,"不变",IF(N514=1,"由禁变允","由允变禁"))</x:f>
        <x:v>不变</x:v>
      </x:c>
      <x:c r="P514" s="51" t="str">
        <x:v>OSRM driving/car</x:v>
      </x:c>
      <x:c r="Q514" s="51" t="str">
        <x:v>2026-08-15</x:v>
      </x:c>
      <x:c r="R514" s="51" t="str">
        <x:v>C-开放路网计算；不是货车/危运合规路线</x:v>
      </x:c>
      <x:c r="S514" s="51" t="str">
        <x:v>https://routing.openstreetmap.de/routed-car/</x:v>
      </x:c>
    </x:row>
    <x:row r="515">
      <x:c r="A515" s="51" t="str">
        <x:v>A0511</x:v>
      </x:c>
      <x:c r="B515" s="51" t="str">
        <x:v>C03</x:v>
      </x:c>
      <x:c r="C515" s="51" t="str">
        <x:v>collection</x:v>
      </x:c>
      <x:c r="D515" s="51" t="str">
        <x:v>珠海虚拟回收/检测中心</x:v>
      </x:c>
      <x:c r="E515" s="51" t="str">
        <x:v>P20R</x:v>
      </x:c>
      <x:c r="F515" s="51" t="str">
        <x:v>recycling</x:v>
      </x:c>
      <x:c r="G515" s="51" t="str">
        <x:v>广东金晟新能源股份有限公司（再生功能）</x:v>
      </x:c>
      <x:c r="H515" s="52" t="n">
        <x:v>171.67709725824648</x:v>
      </x:c>
      <x:c r="I515" s="52" t="n">
        <x:v>183.1347</x:v>
      </x:c>
      <x:c r="J515" s="52" t="n">
        <x:v>135.76166666666666</x:v>
      </x:c>
      <x:c r="K515" s="52" t="n">
        <x:f>IFERROR(I515/H515,"")</x:f>
        <x:v>1.0667392618161429</x:v>
      </x:c>
      <x:c r="L515" s="52" t="n">
        <x:v>400</x:v>
      </x:c>
      <x:c r="M515" s="65" t="n">
        <x:f>IF(H515&lt;=L515,1,0)</x:f>
        <x:v>1</x:v>
      </x:c>
      <x:c r="N515" s="65" t="n">
        <x:f>IF(I515&lt;=L515,1,0)</x:f>
        <x:v>1</x:v>
      </x:c>
      <x:c r="O515" s="51" t="str">
        <x:f>IF(M515=N515,"不变",IF(N515=1,"由禁变允","由允变禁"))</x:f>
        <x:v>不变</x:v>
      </x:c>
      <x:c r="P515" s="51" t="str">
        <x:v>OSRM driving/car</x:v>
      </x:c>
      <x:c r="Q515" s="51" t="str">
        <x:v>2026-08-15</x:v>
      </x:c>
      <x:c r="R515" s="51" t="str">
        <x:v>C-开放路网计算；不是货车/危运合规路线</x:v>
      </x:c>
      <x:c r="S515" s="51" t="str">
        <x:v>https://routing.openstreetmap.de/routed-car/</x:v>
      </x:c>
    </x:row>
    <x:row r="516">
      <x:c r="A516" s="51" t="str">
        <x:v>A0512</x:v>
      </x:c>
      <x:c r="B516" s="51" t="str">
        <x:v>C03</x:v>
      </x:c>
      <x:c r="C516" s="51" t="str">
        <x:v>collection</x:v>
      </x:c>
      <x:c r="D516" s="51" t="str">
        <x:v>珠海虚拟回收/检测中心</x:v>
      </x:c>
      <x:c r="E516" s="51" t="str">
        <x:v>P21E</x:v>
      </x:c>
      <x:c r="F516" s="51" t="str">
        <x:v>echelon</x:v>
      </x:c>
      <x:c r="G516" s="51" t="str">
        <x:v>广东瑞科美电源技术有限公司（梯次功能）</x:v>
      </x:c>
      <x:c r="H516" s="52" t="n">
        <x:v>114.79211666369928</x:v>
      </x:c>
      <x:c r="I516" s="52" t="n">
        <x:v>120.55080000000001</x:v>
      </x:c>
      <x:c r="J516" s="52" t="n">
        <x:v>88.81</x:v>
      </x:c>
      <x:c r="K516" s="52" t="n">
        <x:f>IFERROR(I516/H516,"")</x:f>
        <x:v>1.0501661917531468</x:v>
      </x:c>
      <x:c r="L516" s="52" t="n">
        <x:v>300</x:v>
      </x:c>
      <x:c r="M516" s="65" t="n">
        <x:f>IF(H516&lt;=L516,1,0)</x:f>
        <x:v>1</x:v>
      </x:c>
      <x:c r="N516" s="65" t="n">
        <x:f>IF(I516&lt;=L516,1,0)</x:f>
        <x:v>1</x:v>
      </x:c>
      <x:c r="O516" s="51" t="str">
        <x:f>IF(M516=N516,"不变",IF(N516=1,"由禁变允","由允变禁"))</x:f>
        <x:v>不变</x:v>
      </x:c>
      <x:c r="P516" s="51" t="str">
        <x:v>OSRM driving/car</x:v>
      </x:c>
      <x:c r="Q516" s="51" t="str">
        <x:v>2026-08-15</x:v>
      </x:c>
      <x:c r="R516" s="51" t="str">
        <x:v>C-开放路网计算；不是货车/危运合规路线</x:v>
      </x:c>
      <x:c r="S516" s="51" t="str">
        <x:v>https://routing.openstreetmap.de/routed-car/</x:v>
      </x:c>
    </x:row>
    <x:row r="517">
      <x:c r="A517" s="51" t="str">
        <x:v>A0513</x:v>
      </x:c>
      <x:c r="B517" s="51" t="str">
        <x:v>C03</x:v>
      </x:c>
      <x:c r="C517" s="51" t="str">
        <x:v>collection</x:v>
      </x:c>
      <x:c r="D517" s="51" t="str">
        <x:v>珠海虚拟回收/检测中心</x:v>
      </x:c>
      <x:c r="E517" s="51" t="str">
        <x:v>P21R</x:v>
      </x:c>
      <x:c r="F517" s="51" t="str">
        <x:v>recycling</x:v>
      </x:c>
      <x:c r="G517" s="51" t="str">
        <x:v>广东瑞科美电源技术有限公司（再生功能）</x:v>
      </x:c>
      <x:c r="H517" s="52" t="n">
        <x:v>114.79211666369928</x:v>
      </x:c>
      <x:c r="I517" s="52" t="n">
        <x:v>120.55080000000001</x:v>
      </x:c>
      <x:c r="J517" s="52" t="n">
        <x:v>88.81</x:v>
      </x:c>
      <x:c r="K517" s="52" t="n">
        <x:f>IFERROR(I517/H517,"")</x:f>
        <x:v>1.0501661917531468</x:v>
      </x:c>
      <x:c r="L517" s="52" t="n">
        <x:v>400</x:v>
      </x:c>
      <x:c r="M517" s="65" t="n">
        <x:f>IF(H517&lt;=L517,1,0)</x:f>
        <x:v>1</x:v>
      </x:c>
      <x:c r="N517" s="65" t="n">
        <x:f>IF(I517&lt;=L517,1,0)</x:f>
        <x:v>1</x:v>
      </x:c>
      <x:c r="O517" s="51" t="str">
        <x:f>IF(M517=N517,"不变",IF(N517=1,"由禁变允","由允变禁"))</x:f>
        <x:v>不变</x:v>
      </x:c>
      <x:c r="P517" s="51" t="str">
        <x:v>OSRM driving/car</x:v>
      </x:c>
      <x:c r="Q517" s="51" t="str">
        <x:v>2026-08-15</x:v>
      </x:c>
      <x:c r="R517" s="51" t="str">
        <x:v>C-开放路网计算；不是货车/危运合规路线</x:v>
      </x:c>
      <x:c r="S517" s="51" t="str">
        <x:v>https://routing.openstreetmap.de/routed-car/</x:v>
      </x:c>
    </x:row>
    <x:row r="518">
      <x:c r="A518" s="51" t="str">
        <x:v>A0514</x:v>
      </x:c>
      <x:c r="B518" s="51" t="str">
        <x:v>C04</x:v>
      </x:c>
      <x:c r="C518" s="51" t="str">
        <x:v>collection</x:v>
      </x:c>
      <x:c r="D518" s="51" t="str">
        <x:v>汕头虚拟回收/检测中心</x:v>
      </x:c>
      <x:c r="E518" s="51" t="str">
        <x:v>P01</x:v>
      </x:c>
      <x:c r="F518" s="51" t="str">
        <x:v>recycling</x:v>
      </x:c>
      <x:c r="G518" s="51" t="str">
        <x:v>汕尾比亚迪废旧动力电池回收项目</x:v>
      </x:c>
      <x:c r="H518" s="52" t="n">
        <x:v>177.09718310482035</x:v>
      </x:c>
      <x:c r="I518" s="52" t="n">
        <x:v>178.3081</x:v>
      </x:c>
      <x:c r="J518" s="52" t="n">
        <x:v>125.20666666666666</x:v>
      </x:c>
      <x:c r="K518" s="52" t="n">
        <x:f>IFERROR(I518/H518,"")</x:f>
        <x:v>1.0068375841667845</x:v>
      </x:c>
      <x:c r="L518" s="52" t="n">
        <x:v>400</x:v>
      </x:c>
      <x:c r="M518" s="65" t="n">
        <x:f>IF(H518&lt;=L518,1,0)</x:f>
        <x:v>1</x:v>
      </x:c>
      <x:c r="N518" s="65" t="n">
        <x:f>IF(I518&lt;=L518,1,0)</x:f>
        <x:v>1</x:v>
      </x:c>
      <x:c r="O518" s="51" t="str">
        <x:f>IF(M518=N518,"不变",IF(N518=1,"由禁变允","由允变禁"))</x:f>
        <x:v>不变</x:v>
      </x:c>
      <x:c r="P518" s="51" t="str">
        <x:v>OSRM driving/car</x:v>
      </x:c>
      <x:c r="Q518" s="51" t="str">
        <x:v>2026-08-15</x:v>
      </x:c>
      <x:c r="R518" s="51" t="str">
        <x:v>C-开放路网计算；不是货车/危运合规路线</x:v>
      </x:c>
      <x:c r="S518" s="51" t="str">
        <x:v>https://routing.openstreetmap.de/routed-car/</x:v>
      </x:c>
    </x:row>
    <x:row r="519">
      <x:c r="A519" s="51" t="str">
        <x:v>A0515</x:v>
      </x:c>
      <x:c r="B519" s="51" t="str">
        <x:v>C04</x:v>
      </x:c>
      <x:c r="C519" s="51" t="str">
        <x:v>collection</x:v>
      </x:c>
      <x:c r="D519" s="51" t="str">
        <x:v>汕头虚拟回收/检测中心</x:v>
      </x:c>
      <x:c r="E519" s="51" t="str">
        <x:v>P02E</x:v>
      </x:c>
      <x:c r="F519" s="51" t="str">
        <x:v>echelon</x:v>
      </x:c>
      <x:c r="G519" s="51" t="str">
        <x:v>广东光华科技股份有限公司（梯次功能）</x:v>
      </x:c>
      <x:c r="H519" s="52" t="n">
        <x:v>0</x:v>
      </x:c>
      <x:c r="I519" s="52" t="n">
        <x:v>0</x:v>
      </x:c>
      <x:c r="J519" s="52" t="n">
        <x:v>0</x:v>
      </x:c>
      <x:c r="K519" s="52" t="str">
        <x:f>IFERROR(I519/H519,"")</x:f>
      </x:c>
      <x:c r="L519" s="52" t="n">
        <x:v>300</x:v>
      </x:c>
      <x:c r="M519" s="65" t="n">
        <x:f>IF(H519&lt;=L519,1,0)</x:f>
        <x:v>1</x:v>
      </x:c>
      <x:c r="N519" s="65" t="n">
        <x:f>IF(I519&lt;=L519,1,0)</x:f>
        <x:v>1</x:v>
      </x:c>
      <x:c r="O519" s="51" t="str">
        <x:f>IF(M519=N519,"不变",IF(N519=1,"由禁变允","由允变禁"))</x:f>
        <x:v>不变</x:v>
      </x:c>
      <x:c r="P519" s="51" t="str">
        <x:v>OSRM driving/car</x:v>
      </x:c>
      <x:c r="Q519" s="51" t="str">
        <x:v>2026-08-15</x:v>
      </x:c>
      <x:c r="R519" s="51" t="str">
        <x:v>C-开放路网计算；不是货车/危运合规路线</x:v>
      </x:c>
      <x:c r="S519" s="51" t="str">
        <x:v>https://routing.openstreetmap.de/routed-car/</x:v>
      </x:c>
    </x:row>
    <x:row r="520">
      <x:c r="A520" s="51" t="str">
        <x:v>A0516</x:v>
      </x:c>
      <x:c r="B520" s="51" t="str">
        <x:v>C04</x:v>
      </x:c>
      <x:c r="C520" s="51" t="str">
        <x:v>collection</x:v>
      </x:c>
      <x:c r="D520" s="51" t="str">
        <x:v>汕头虚拟回收/检测中心</x:v>
      </x:c>
      <x:c r="E520" s="51" t="str">
        <x:v>P02R</x:v>
      </x:c>
      <x:c r="F520" s="51" t="str">
        <x:v>recycling</x:v>
      </x:c>
      <x:c r="G520" s="51" t="str">
        <x:v>广东光华科技股份有限公司（再生功能）</x:v>
      </x:c>
      <x:c r="H520" s="52" t="n">
        <x:v>0</x:v>
      </x:c>
      <x:c r="I520" s="52" t="n">
        <x:v>0</x:v>
      </x:c>
      <x:c r="J520" s="52" t="n">
        <x:v>0</x:v>
      </x:c>
      <x:c r="K520" s="52" t="str">
        <x:f>IFERROR(I520/H520,"")</x:f>
      </x:c>
      <x:c r="L520" s="52" t="n">
        <x:v>400</x:v>
      </x:c>
      <x:c r="M520" s="65" t="n">
        <x:f>IF(H520&lt;=L520,1,0)</x:f>
        <x:v>1</x:v>
      </x:c>
      <x:c r="N520" s="65" t="n">
        <x:f>IF(I520&lt;=L520,1,0)</x:f>
        <x:v>1</x:v>
      </x:c>
      <x:c r="O520" s="51" t="str">
        <x:f>IF(M520=N520,"不变",IF(N520=1,"由禁变允","由允变禁"))</x:f>
        <x:v>不变</x:v>
      </x:c>
      <x:c r="P520" s="51" t="str">
        <x:v>OSRM driving/car</x:v>
      </x:c>
      <x:c r="Q520" s="51" t="str">
        <x:v>2026-08-15</x:v>
      </x:c>
      <x:c r="R520" s="51" t="str">
        <x:v>C-开放路网计算；不是货车/危运合规路线</x:v>
      </x:c>
      <x:c r="S520" s="51" t="str">
        <x:v>https://routing.openstreetmap.de/routed-car/</x:v>
      </x:c>
    </x:row>
    <x:row r="521">
      <x:c r="A521" s="51" t="str">
        <x:v>A0517</x:v>
      </x:c>
      <x:c r="B521" s="51" t="str">
        <x:v>C04</x:v>
      </x:c>
      <x:c r="C521" s="51" t="str">
        <x:v>collection</x:v>
      </x:c>
      <x:c r="D521" s="51" t="str">
        <x:v>汕头虚拟回收/检测中心</x:v>
      </x:c>
      <x:c r="E521" s="51" t="str">
        <x:v>P03</x:v>
      </x:c>
      <x:c r="F521" s="51" t="str">
        <x:v>echelon</x:v>
      </x:c>
      <x:c r="G521" s="51" t="str">
        <x:v>深圳深汕特别合作区乾泰技术有限公司</x:v>
      </x:c>
      <x:c r="H521" s="52" t="n">
        <x:v>150.39117711768017</x:v>
      </x:c>
      <x:c r="I521" s="52" t="n">
        <x:v>164.7196</x:v>
      </x:c>
      <x:c r="J521" s="52" t="n">
        <x:v>132.48166666666665</x:v>
      </x:c>
      <x:c r="K521" s="52" t="n">
        <x:f>IFERROR(I521/H521,"")</x:f>
        <x:v>1.0952743582232083</x:v>
      </x:c>
      <x:c r="L521" s="52" t="n">
        <x:v>300</x:v>
      </x:c>
      <x:c r="M521" s="65" t="n">
        <x:f>IF(H521&lt;=L521,1,0)</x:f>
        <x:v>1</x:v>
      </x:c>
      <x:c r="N521" s="65" t="n">
        <x:f>IF(I521&lt;=L521,1,0)</x:f>
        <x:v>1</x:v>
      </x:c>
      <x:c r="O521" s="51" t="str">
        <x:f>IF(M521=N521,"不变",IF(N521=1,"由禁变允","由允变禁"))</x:f>
        <x:v>不变</x:v>
      </x:c>
      <x:c r="P521" s="51" t="str">
        <x:v>OSRM driving/car</x:v>
      </x:c>
      <x:c r="Q521" s="51" t="str">
        <x:v>2026-08-15</x:v>
      </x:c>
      <x:c r="R521" s="51" t="str">
        <x:v>C-开放路网计算；不是货车/危运合规路线</x:v>
      </x:c>
      <x:c r="S521" s="51" t="str">
        <x:v>https://routing.openstreetmap.de/routed-car/</x:v>
      </x:c>
    </x:row>
    <x:row r="522">
      <x:c r="A522" s="51" t="str">
        <x:v>A0518</x:v>
      </x:c>
      <x:c r="B522" s="51" t="str">
        <x:v>C04</x:v>
      </x:c>
      <x:c r="C522" s="51" t="str">
        <x:v>collection</x:v>
      </x:c>
      <x:c r="D522" s="51" t="str">
        <x:v>汕头虚拟回收/检测中心</x:v>
      </x:c>
      <x:c r="E522" s="51" t="str">
        <x:v>P04</x:v>
      </x:c>
      <x:c r="F522" s="51" t="str">
        <x:v>echelon</x:v>
      </x:c>
      <x:c r="G522" s="51" t="str">
        <x:v>珠海中力新能源科技有限公司</x:v>
      </x:c>
      <x:c r="H522" s="52" t="n">
        <x:v>408.34484310771325</x:v>
      </x:c>
      <x:c r="I522" s="52" t="n">
        <x:v>429.8842</x:v>
      </x:c>
      <x:c r="J522" s="52" t="n">
        <x:v>312.43</x:v>
      </x:c>
      <x:c r="K522" s="52" t="n">
        <x:f>IFERROR(I522/H522,"")</x:f>
        <x:v>1.0527479586331034</x:v>
      </x:c>
      <x:c r="L522" s="52" t="n">
        <x:v>300</x:v>
      </x:c>
      <x:c r="M522" s="65" t="n">
        <x:f>IF(H522&lt;=L522,1,0)</x:f>
        <x:v>0</x:v>
      </x:c>
      <x:c r="N522" s="65" t="n">
        <x:f>IF(I522&lt;=L522,1,0)</x:f>
        <x:v>0</x:v>
      </x:c>
      <x:c r="O522" s="51" t="str">
        <x:f>IF(M522=N522,"不变",IF(N522=1,"由禁变允","由允变禁"))</x:f>
        <x:v>不变</x:v>
      </x:c>
      <x:c r="P522" s="51" t="str">
        <x:v>OSRM driving/car</x:v>
      </x:c>
      <x:c r="Q522" s="51" t="str">
        <x:v>2026-08-15</x:v>
      </x:c>
      <x:c r="R522" s="51" t="str">
        <x:v>C-开放路网计算；不是货车/危运合规路线</x:v>
      </x:c>
      <x:c r="S522" s="51" t="str">
        <x:v>https://routing.openstreetmap.de/routed-car/</x:v>
      </x:c>
    </x:row>
    <x:row r="523">
      <x:c r="A523" s="51" t="str">
        <x:v>A0519</x:v>
      </x:c>
      <x:c r="B523" s="51" t="str">
        <x:v>C04</x:v>
      </x:c>
      <x:c r="C523" s="51" t="str">
        <x:v>collection</x:v>
      </x:c>
      <x:c r="D523" s="51" t="str">
        <x:v>汕头虚拟回收/检测中心</x:v>
      </x:c>
      <x:c r="E523" s="51" t="str">
        <x:v>P05</x:v>
      </x:c>
      <x:c r="F523" s="51" t="str">
        <x:v>echelon</x:v>
      </x:c>
      <x:c r="G523" s="51" t="str">
        <x:v>惠州市恒创睿能环保科技有限公司</x:v>
      </x:c>
      <x:c r="H523" s="52" t="n">
        <x:v>279.59950256039025</x:v>
      </x:c>
      <x:c r="I523" s="52" t="n">
        <x:v>287.5241</x:v>
      </x:c>
      <x:c r="J523" s="52" t="n">
        <x:v>208.64</x:v>
      </x:c>
      <x:c r="K523" s="52" t="n">
        <x:f>IFERROR(I523/H523,"")</x:f>
        <x:v>1.02834267359935</x:v>
      </x:c>
      <x:c r="L523" s="52" t="n">
        <x:v>300</x:v>
      </x:c>
      <x:c r="M523" s="65" t="n">
        <x:f>IF(H523&lt;=L523,1,0)</x:f>
        <x:v>1</x:v>
      </x:c>
      <x:c r="N523" s="65" t="n">
        <x:f>IF(I523&lt;=L523,1,0)</x:f>
        <x:v>1</x:v>
      </x:c>
      <x:c r="O523" s="51" t="str">
        <x:f>IF(M523=N523,"不变",IF(N523=1,"由禁变允","由允变禁"))</x:f>
        <x:v>不变</x:v>
      </x:c>
      <x:c r="P523" s="51" t="str">
        <x:v>OSRM driving/car</x:v>
      </x:c>
      <x:c r="Q523" s="51" t="str">
        <x:v>2026-08-15</x:v>
      </x:c>
      <x:c r="R523" s="51" t="str">
        <x:v>C-开放路网计算；不是货车/危运合规路线</x:v>
      </x:c>
      <x:c r="S523" s="51" t="str">
        <x:v>https://routing.openstreetmap.de/routed-car/</x:v>
      </x:c>
    </x:row>
    <x:row r="524">
      <x:c r="A524" s="51" t="str">
        <x:v>A0520</x:v>
      </x:c>
      <x:c r="B524" s="51" t="str">
        <x:v>C04</x:v>
      </x:c>
      <x:c r="C524" s="51" t="str">
        <x:v>collection</x:v>
      </x:c>
      <x:c r="D524" s="51" t="str">
        <x:v>汕头虚拟回收/检测中心</x:v>
      </x:c>
      <x:c r="E524" s="51" t="str">
        <x:v>P06</x:v>
      </x:c>
      <x:c r="F524" s="51" t="str">
        <x:v>echelon</x:v>
      </x:c>
      <x:c r="G524" s="51" t="str">
        <x:v>江门市朗达锂电池有限公司</x:v>
      </x:c>
      <x:c r="H524" s="52" t="n">
        <x:v>454.35854812853415</x:v>
      </x:c>
      <x:c r="I524" s="52" t="n">
        <x:v>447.9312</x:v>
      </x:c>
      <x:c r="J524" s="52" t="n">
        <x:v>317.76500000000004</x:v>
      </x:c>
      <x:c r="K524" s="52" t="n">
        <x:f>IFERROR(I524/H524,"")</x:f>
        <x:v>0.985854017372386</x:v>
      </x:c>
      <x:c r="L524" s="52" t="n">
        <x:v>300</x:v>
      </x:c>
      <x:c r="M524" s="65" t="n">
        <x:f>IF(H524&lt;=L524,1,0)</x:f>
        <x:v>0</x:v>
      </x:c>
      <x:c r="N524" s="65" t="n">
        <x:f>IF(I524&lt;=L524,1,0)</x:f>
        <x:v>0</x:v>
      </x:c>
      <x:c r="O524" s="51" t="str">
        <x:f>IF(M524=N524,"不变",IF(N524=1,"由禁变允","由允变禁"))</x:f>
        <x:v>不变</x:v>
      </x:c>
      <x:c r="P524" s="51" t="str">
        <x:v>OSRM driving/car</x:v>
      </x:c>
      <x:c r="Q524" s="51" t="str">
        <x:v>2026-08-15</x:v>
      </x:c>
      <x:c r="R524" s="51" t="str">
        <x:v>C-开放路网计算；不是货车/危运合规路线</x:v>
      </x:c>
      <x:c r="S524" s="51" t="str">
        <x:v>https://routing.openstreetmap.de/routed-car/</x:v>
      </x:c>
    </x:row>
    <x:row r="525">
      <x:c r="A525" s="51" t="str">
        <x:v>A0521</x:v>
      </x:c>
      <x:c r="B525" s="51" t="str">
        <x:v>C04</x:v>
      </x:c>
      <x:c r="C525" s="51" t="str">
        <x:v>collection</x:v>
      </x:c>
      <x:c r="D525" s="51" t="str">
        <x:v>汕头虚拟回收/检测中心</x:v>
      </x:c>
      <x:c r="E525" s="51" t="str">
        <x:v>P07</x:v>
      </x:c>
      <x:c r="F525" s="51" t="str">
        <x:v>echelon</x:v>
      </x:c>
      <x:c r="G525" s="51" t="str">
        <x:v>广东迪度新能源有限公司</x:v>
      </x:c>
      <x:c r="H525" s="52" t="n">
        <x:v>362.4792813676039</x:v>
      </x:c>
      <x:c r="I525" s="52" t="n">
        <x:v>363.1892</x:v>
      </x:c>
      <x:c r="J525" s="52" t="n">
        <x:v>251.29666666666665</x:v>
      </x:c>
      <x:c r="K525" s="52" t="n">
        <x:f>IFERROR(I525/H525,"")</x:f>
        <x:v>1.0019585081655362</x:v>
      </x:c>
      <x:c r="L525" s="52" t="n">
        <x:v>300</x:v>
      </x:c>
      <x:c r="M525" s="65" t="n">
        <x:f>IF(H525&lt;=L525,1,0)</x:f>
        <x:v>0</x:v>
      </x:c>
      <x:c r="N525" s="65" t="n">
        <x:f>IF(I525&lt;=L525,1,0)</x:f>
        <x:v>0</x:v>
      </x:c>
      <x:c r="O525" s="51" t="str">
        <x:f>IF(M525=N525,"不变",IF(N525=1,"由禁变允","由允变禁"))</x:f>
        <x:v>不变</x:v>
      </x:c>
      <x:c r="P525" s="51" t="str">
        <x:v>OSRM driving/car</x:v>
      </x:c>
      <x:c r="Q525" s="51" t="str">
        <x:v>2026-08-15</x:v>
      </x:c>
      <x:c r="R525" s="51" t="str">
        <x:v>C-开放路网计算；不是货车/危运合规路线</x:v>
      </x:c>
      <x:c r="S525" s="51" t="str">
        <x:v>https://routing.openstreetmap.de/routed-car/</x:v>
      </x:c>
    </x:row>
    <x:row r="526">
      <x:c r="A526" s="51" t="str">
        <x:v>A0522</x:v>
      </x:c>
      <x:c r="B526" s="51" t="str">
        <x:v>C04</x:v>
      </x:c>
      <x:c r="C526" s="51" t="str">
        <x:v>collection</x:v>
      </x:c>
      <x:c r="D526" s="51" t="str">
        <x:v>汕头虚拟回收/检测中心</x:v>
      </x:c>
      <x:c r="E526" s="51" t="str">
        <x:v>P08</x:v>
      </x:c>
      <x:c r="F526" s="51" t="str">
        <x:v>echelon</x:v>
      </x:c>
      <x:c r="G526" s="51" t="str">
        <x:v>东莞市博森新能源有限公司</x:v>
      </x:c>
      <x:c r="H526" s="52" t="n">
        <x:v>362.4792813676039</x:v>
      </x:c>
      <x:c r="I526" s="52" t="n">
        <x:v>363.1892</x:v>
      </x:c>
      <x:c r="J526" s="52" t="n">
        <x:v>251.29666666666665</x:v>
      </x:c>
      <x:c r="K526" s="52" t="n">
        <x:f>IFERROR(I526/H526,"")</x:f>
        <x:v>1.0019585081655362</x:v>
      </x:c>
      <x:c r="L526" s="52" t="n">
        <x:v>300</x:v>
      </x:c>
      <x:c r="M526" s="65" t="n">
        <x:f>IF(H526&lt;=L526,1,0)</x:f>
        <x:v>0</x:v>
      </x:c>
      <x:c r="N526" s="65" t="n">
        <x:f>IF(I526&lt;=L526,1,0)</x:f>
        <x:v>0</x:v>
      </x:c>
      <x:c r="O526" s="51" t="str">
        <x:f>IF(M526=N526,"不变",IF(N526=1,"由禁变允","由允变禁"))</x:f>
        <x:v>不变</x:v>
      </x:c>
      <x:c r="P526" s="51" t="str">
        <x:v>OSRM driving/car</x:v>
      </x:c>
      <x:c r="Q526" s="51" t="str">
        <x:v>2026-08-15</x:v>
      </x:c>
      <x:c r="R526" s="51" t="str">
        <x:v>C-开放路网计算；不是货车/危运合规路线</x:v>
      </x:c>
      <x:c r="S526" s="51" t="str">
        <x:v>https://routing.openstreetmap.de/routed-car/</x:v>
      </x:c>
    </x:row>
    <x:row r="527">
      <x:c r="A527" s="51" t="str">
        <x:v>A0523</x:v>
      </x:c>
      <x:c r="B527" s="51" t="str">
        <x:v>C04</x:v>
      </x:c>
      <x:c r="C527" s="51" t="str">
        <x:v>collection</x:v>
      </x:c>
      <x:c r="D527" s="51" t="str">
        <x:v>汕头虚拟回收/检测中心</x:v>
      </x:c>
      <x:c r="E527" s="51" t="str">
        <x:v>P09</x:v>
      </x:c>
      <x:c r="F527" s="51" t="str">
        <x:v>echelon</x:v>
      </x:c>
      <x:c r="G527" s="51" t="str">
        <x:v>广东宇阳新能源有限公司</x:v>
      </x:c>
      <x:c r="H527" s="52" t="n">
        <x:v>362.4792813676039</x:v>
      </x:c>
      <x:c r="I527" s="52" t="n">
        <x:v>363.1892</x:v>
      </x:c>
      <x:c r="J527" s="52" t="n">
        <x:v>251.29666666666665</x:v>
      </x:c>
      <x:c r="K527" s="52" t="n">
        <x:f>IFERROR(I527/H527,"")</x:f>
        <x:v>1.0019585081655362</x:v>
      </x:c>
      <x:c r="L527" s="52" t="n">
        <x:v>300</x:v>
      </x:c>
      <x:c r="M527" s="65" t="n">
        <x:f>IF(H527&lt;=L527,1,0)</x:f>
        <x:v>0</x:v>
      </x:c>
      <x:c r="N527" s="65" t="n">
        <x:f>IF(I527&lt;=L527,1,0)</x:f>
        <x:v>0</x:v>
      </x:c>
      <x:c r="O527" s="51" t="str">
        <x:f>IF(M527=N527,"不变",IF(N527=1,"由禁变允","由允变禁"))</x:f>
        <x:v>不变</x:v>
      </x:c>
      <x:c r="P527" s="51" t="str">
        <x:v>OSRM driving/car</x:v>
      </x:c>
      <x:c r="Q527" s="51" t="str">
        <x:v>2026-08-15</x:v>
      </x:c>
      <x:c r="R527" s="51" t="str">
        <x:v>C-开放路网计算；不是货车/危运合规路线</x:v>
      </x:c>
      <x:c r="S527" s="51" t="str">
        <x:v>https://routing.openstreetmap.de/routed-car/</x:v>
      </x:c>
    </x:row>
    <x:row r="528">
      <x:c r="A528" s="51" t="str">
        <x:v>A0524</x:v>
      </x:c>
      <x:c r="B528" s="51" t="str">
        <x:v>C04</x:v>
      </x:c>
      <x:c r="C528" s="51" t="str">
        <x:v>collection</x:v>
      </x:c>
      <x:c r="D528" s="51" t="str">
        <x:v>汕头虚拟回收/检测中心</x:v>
      </x:c>
      <x:c r="E528" s="51" t="str">
        <x:v>P10</x:v>
      </x:c>
      <x:c r="F528" s="51" t="str">
        <x:v>echelon</x:v>
      </x:c>
      <x:c r="G528" s="51" t="str">
        <x:v>广州广汽商贸再生资源有限公司</x:v>
      </x:c>
      <x:c r="H528" s="52" t="n">
        <x:v>420.22799394481007</x:v>
      </x:c>
      <x:c r="I528" s="52" t="n">
        <x:v>415.0856</x:v>
      </x:c>
      <x:c r="J528" s="52" t="n">
        <x:v>288.615</x:v>
      </x:c>
      <x:c r="K528" s="52" t="n">
        <x:f>IFERROR(I528/H528,"")</x:f>
        <x:v>0.9877628477423962</x:v>
      </x:c>
      <x:c r="L528" s="52" t="n">
        <x:v>300</x:v>
      </x:c>
      <x:c r="M528" s="65" t="n">
        <x:f>IF(H528&lt;=L528,1,0)</x:f>
        <x:v>0</x:v>
      </x:c>
      <x:c r="N528" s="65" t="n">
        <x:f>IF(I528&lt;=L528,1,0)</x:f>
        <x:v>0</x:v>
      </x:c>
      <x:c r="O528" s="51" t="str">
        <x:f>IF(M528=N528,"不变",IF(N528=1,"由禁变允","由允变禁"))</x:f>
        <x:v>不变</x:v>
      </x:c>
      <x:c r="P528" s="51" t="str">
        <x:v>OSRM driving/car</x:v>
      </x:c>
      <x:c r="Q528" s="51" t="str">
        <x:v>2026-08-15</x:v>
      </x:c>
      <x:c r="R528" s="51" t="str">
        <x:v>C-开放路网计算；不是货车/危运合规路线</x:v>
      </x:c>
      <x:c r="S528" s="51" t="str">
        <x:v>https://routing.openstreetmap.de/routed-car/</x:v>
      </x:c>
    </x:row>
    <x:row r="529">
      <x:c r="A529" s="51" t="str">
        <x:v>A0525</x:v>
      </x:c>
      <x:c r="B529" s="51" t="str">
        <x:v>C04</x:v>
      </x:c>
      <x:c r="C529" s="51" t="str">
        <x:v>collection</x:v>
      </x:c>
      <x:c r="D529" s="51" t="str">
        <x:v>汕头虚拟回收/检测中心</x:v>
      </x:c>
      <x:c r="E529" s="51" t="str">
        <x:v>P11</x:v>
      </x:c>
      <x:c r="F529" s="51" t="str">
        <x:v>echelon</x:v>
      </x:c>
      <x:c r="G529" s="51" t="str">
        <x:v>深圳市杰成镍钴新能源科技有限公司</x:v>
      </x:c>
      <x:c r="H529" s="52" t="n">
        <x:v>340.00628858069996</x:v>
      </x:c>
      <x:c r="I529" s="52" t="n">
        <x:v>332.09520000000003</x:v>
      </x:c>
      <x:c r="J529" s="52" t="n">
        <x:v>230.66666666666666</x:v>
      </x:c>
      <x:c r="K529" s="52" t="n">
        <x:f>IFERROR(I529/H529,"")</x:f>
        <x:v>0.9767325227609069</x:v>
      </x:c>
      <x:c r="L529" s="52" t="n">
        <x:v>300</x:v>
      </x:c>
      <x:c r="M529" s="65" t="n">
        <x:f>IF(H529&lt;=L529,1,0)</x:f>
        <x:v>0</x:v>
      </x:c>
      <x:c r="N529" s="65" t="n">
        <x:f>IF(I529&lt;=L529,1,0)</x:f>
        <x:v>0</x:v>
      </x:c>
      <x:c r="O529" s="51" t="str">
        <x:f>IF(M529=N529,"不变",IF(N529=1,"由禁变允","由允变禁"))</x:f>
        <x:v>不变</x:v>
      </x:c>
      <x:c r="P529" s="51" t="str">
        <x:v>OSRM driving/car</x:v>
      </x:c>
      <x:c r="Q529" s="51" t="str">
        <x:v>2026-08-15</x:v>
      </x:c>
      <x:c r="R529" s="51" t="str">
        <x:v>C-开放路网计算；不是货车/危运合规路线</x:v>
      </x:c>
      <x:c r="S529" s="51" t="str">
        <x:v>https://routing.openstreetmap.de/routed-car/</x:v>
      </x:c>
    </x:row>
    <x:row r="530">
      <x:c r="A530" s="51" t="str">
        <x:v>A0526</x:v>
      </x:c>
      <x:c r="B530" s="51" t="str">
        <x:v>C04</x:v>
      </x:c>
      <x:c r="C530" s="51" t="str">
        <x:v>collection</x:v>
      </x:c>
      <x:c r="D530" s="51" t="str">
        <x:v>汕头虚拟回收/检测中心</x:v>
      </x:c>
      <x:c r="E530" s="51" t="str">
        <x:v>P12</x:v>
      </x:c>
      <x:c r="F530" s="51" t="str">
        <x:v>recycling</x:v>
      </x:c>
      <x:c r="G530" s="51" t="str">
        <x:v>江门市恒创睿能环保科技有限公司</x:v>
      </x:c>
      <x:c r="H530" s="52" t="n">
        <x:v>454.35854812853415</x:v>
      </x:c>
      <x:c r="I530" s="52" t="n">
        <x:v>447.9312</x:v>
      </x:c>
      <x:c r="J530" s="52" t="n">
        <x:v>317.76500000000004</x:v>
      </x:c>
      <x:c r="K530" s="52" t="n">
        <x:f>IFERROR(I530/H530,"")</x:f>
        <x:v>0.985854017372386</x:v>
      </x:c>
      <x:c r="L530" s="52" t="n">
        <x:v>400</x:v>
      </x:c>
      <x:c r="M530" s="65" t="n">
        <x:f>IF(H530&lt;=L530,1,0)</x:f>
        <x:v>0</x:v>
      </x:c>
      <x:c r="N530" s="65" t="n">
        <x:f>IF(I530&lt;=L530,1,0)</x:f>
        <x:v>0</x:v>
      </x:c>
      <x:c r="O530" s="51" t="str">
        <x:f>IF(M530=N530,"不变",IF(N530=1,"由禁变允","由允变禁"))</x:f>
        <x:v>不变</x:v>
      </x:c>
      <x:c r="P530" s="51" t="str">
        <x:v>OSRM driving/car</x:v>
      </x:c>
      <x:c r="Q530" s="51" t="str">
        <x:v>2026-08-15</x:v>
      </x:c>
      <x:c r="R530" s="51" t="str">
        <x:v>C-开放路网计算；不是货车/危运合规路线</x:v>
      </x:c>
      <x:c r="S530" s="51" t="str">
        <x:v>https://routing.openstreetmap.de/routed-car/</x:v>
      </x:c>
    </x:row>
    <x:row r="531">
      <x:c r="A531" s="51" t="str">
        <x:v>A0527</x:v>
      </x:c>
      <x:c r="B531" s="51" t="str">
        <x:v>C04</x:v>
      </x:c>
      <x:c r="C531" s="51" t="str">
        <x:v>collection</x:v>
      </x:c>
      <x:c r="D531" s="51" t="str">
        <x:v>汕头虚拟回收/检测中心</x:v>
      </x:c>
      <x:c r="E531" s="51" t="str">
        <x:v>P13</x:v>
      </x:c>
      <x:c r="F531" s="51" t="str">
        <x:v>recycling</x:v>
      </x:c>
      <x:c r="G531" s="51" t="str">
        <x:v>广东佳纳能源科技有限公司</x:v>
      </x:c>
      <x:c r="H531" s="52" t="n">
        <x:v>445.8822972488896</x:v>
      </x:c>
      <x:c r="I531" s="52" t="n">
        <x:v>427.49379999999996</x:v>
      </x:c>
      <x:c r="J531" s="52" t="n">
        <x:v>304.60999999999996</x:v>
      </x:c>
      <x:c r="K531" s="52" t="n">
        <x:f>IFERROR(I531/H531,"")</x:f>
        <x:v>0.9587593018104837</x:v>
      </x:c>
      <x:c r="L531" s="52" t="n">
        <x:v>400</x:v>
      </x:c>
      <x:c r="M531" s="65" t="n">
        <x:f>IF(H531&lt;=L531,1,0)</x:f>
        <x:v>0</x:v>
      </x:c>
      <x:c r="N531" s="65" t="n">
        <x:f>IF(I531&lt;=L531,1,0)</x:f>
        <x:v>0</x:v>
      </x:c>
      <x:c r="O531" s="51" t="str">
        <x:f>IF(M531=N531,"不变",IF(N531=1,"由禁变允","由允变禁"))</x:f>
        <x:v>不变</x:v>
      </x:c>
      <x:c r="P531" s="51" t="str">
        <x:v>OSRM driving/car</x:v>
      </x:c>
      <x:c r="Q531" s="51" t="str">
        <x:v>2026-08-15</x:v>
      </x:c>
      <x:c r="R531" s="51" t="str">
        <x:v>C-开放路网计算；不是货车/危运合规路线</x:v>
      </x:c>
      <x:c r="S531" s="51" t="str">
        <x:v>https://routing.openstreetmap.de/routed-car/</x:v>
      </x:c>
    </x:row>
    <x:row r="532">
      <x:c r="A532" s="51" t="str">
        <x:v>A0528</x:v>
      </x:c>
      <x:c r="B532" s="51" t="str">
        <x:v>C04</x:v>
      </x:c>
      <x:c r="C532" s="51" t="str">
        <x:v>collection</x:v>
      </x:c>
      <x:c r="D532" s="51" t="str">
        <x:v>汕头虚拟回收/检测中心</x:v>
      </x:c>
      <x:c r="E532" s="51" t="str">
        <x:v>P14</x:v>
      </x:c>
      <x:c r="F532" s="51" t="str">
        <x:v>echelon</x:v>
      </x:c>
      <x:c r="G532" s="51" t="str">
        <x:v>格林美（深圳）循环科技有限公司</x:v>
      </x:c>
      <x:c r="H532" s="52" t="n">
        <x:v>340.00628858069996</x:v>
      </x:c>
      <x:c r="I532" s="52" t="n">
        <x:v>332.09520000000003</x:v>
      </x:c>
      <x:c r="J532" s="52" t="n">
        <x:v>230.66666666666666</x:v>
      </x:c>
      <x:c r="K532" s="52" t="n">
        <x:f>IFERROR(I532/H532,"")</x:f>
        <x:v>0.9767325227609069</x:v>
      </x:c>
      <x:c r="L532" s="52" t="n">
        <x:v>300</x:v>
      </x:c>
      <x:c r="M532" s="65" t="n">
        <x:f>IF(H532&lt;=L532,1,0)</x:f>
        <x:v>0</x:v>
      </x:c>
      <x:c r="N532" s="65" t="n">
        <x:f>IF(I532&lt;=L532,1,0)</x:f>
        <x:v>0</x:v>
      </x:c>
      <x:c r="O532" s="51" t="str">
        <x:f>IF(M532=N532,"不变",IF(N532=1,"由禁变允","由允变禁"))</x:f>
        <x:v>不变</x:v>
      </x:c>
      <x:c r="P532" s="51" t="str">
        <x:v>OSRM driving/car</x:v>
      </x:c>
      <x:c r="Q532" s="51" t="str">
        <x:v>2026-08-15</x:v>
      </x:c>
      <x:c r="R532" s="51" t="str">
        <x:v>C-开放路网计算；不是货车/危运合规路线</x:v>
      </x:c>
      <x:c r="S532" s="51" t="str">
        <x:v>https://routing.openstreetmap.de/routed-car/</x:v>
      </x:c>
    </x:row>
    <x:row r="533">
      <x:c r="A533" s="51" t="str">
        <x:v>A0529</x:v>
      </x:c>
      <x:c r="B533" s="51" t="str">
        <x:v>C04</x:v>
      </x:c>
      <x:c r="C533" s="51" t="str">
        <x:v>collection</x:v>
      </x:c>
      <x:c r="D533" s="51" t="str">
        <x:v>汕头虚拟回收/检测中心</x:v>
      </x:c>
      <x:c r="E533" s="51" t="str">
        <x:v>P15</x:v>
      </x:c>
      <x:c r="F533" s="51" t="str">
        <x:v>echelon</x:v>
      </x:c>
      <x:c r="G533" s="51" t="str">
        <x:v>绿循新能源科技（佛山）有限责任公司</x:v>
      </x:c>
      <x:c r="H533" s="52" t="n">
        <x:v>439.0782039792669</x:v>
      </x:c>
      <x:c r="I533" s="52" t="n">
        <x:v>440.9499</x:v>
      </x:c>
      <x:c r="J533" s="52" t="n">
        <x:v>306.9616666666667</x:v>
      </x:c>
      <x:c r="K533" s="52" t="n">
        <x:f>IFERROR(I533/H533,"")</x:f>
        <x:v>1.0042627850887846</x:v>
      </x:c>
      <x:c r="L533" s="52" t="n">
        <x:v>300</x:v>
      </x:c>
      <x:c r="M533" s="65" t="n">
        <x:f>IF(H533&lt;=L533,1,0)</x:f>
        <x:v>0</x:v>
      </x:c>
      <x:c r="N533" s="65" t="n">
        <x:f>IF(I533&lt;=L533,1,0)</x:f>
        <x:v>0</x:v>
      </x:c>
      <x:c r="O533" s="51" t="str">
        <x:f>IF(M533=N533,"不变",IF(N533=1,"由禁变允","由允变禁"))</x:f>
        <x:v>不变</x:v>
      </x:c>
      <x:c r="P533" s="51" t="str">
        <x:v>OSRM driving/car</x:v>
      </x:c>
      <x:c r="Q533" s="51" t="str">
        <x:v>2026-08-15</x:v>
      </x:c>
      <x:c r="R533" s="51" t="str">
        <x:v>C-开放路网计算；不是货车/危运合规路线</x:v>
      </x:c>
      <x:c r="S533" s="51" t="str">
        <x:v>https://routing.openstreetmap.de/routed-car/</x:v>
      </x:c>
    </x:row>
    <x:row r="534">
      <x:c r="A534" s="51" t="str">
        <x:v>A0530</x:v>
      </x:c>
      <x:c r="B534" s="51" t="str">
        <x:v>C04</x:v>
      </x:c>
      <x:c r="C534" s="51" t="str">
        <x:v>collection</x:v>
      </x:c>
      <x:c r="D534" s="51" t="str">
        <x:v>汕头虚拟回收/检测中心</x:v>
      </x:c>
      <x:c r="E534" s="51" t="str">
        <x:v>P16</x:v>
      </x:c>
      <x:c r="F534" s="51" t="str">
        <x:v>echelon</x:v>
      </x:c>
      <x:c r="G534" s="51" t="str">
        <x:v>深圳艾云动智慧科技有限公司</x:v>
      </x:c>
      <x:c r="H534" s="52" t="n">
        <x:v>340.00628858069996</x:v>
      </x:c>
      <x:c r="I534" s="52" t="n">
        <x:v>332.09520000000003</x:v>
      </x:c>
      <x:c r="J534" s="52" t="n">
        <x:v>230.66666666666666</x:v>
      </x:c>
      <x:c r="K534" s="52" t="n">
        <x:f>IFERROR(I534/H534,"")</x:f>
        <x:v>0.9767325227609069</x:v>
      </x:c>
      <x:c r="L534" s="52" t="n">
        <x:v>300</x:v>
      </x:c>
      <x:c r="M534" s="65" t="n">
        <x:f>IF(H534&lt;=L534,1,0)</x:f>
        <x:v>0</x:v>
      </x:c>
      <x:c r="N534" s="65" t="n">
        <x:f>IF(I534&lt;=L534,1,0)</x:f>
        <x:v>0</x:v>
      </x:c>
      <x:c r="O534" s="51" t="str">
        <x:f>IF(M534=N534,"不变",IF(N534=1,"由禁变允","由允变禁"))</x:f>
        <x:v>不变</x:v>
      </x:c>
      <x:c r="P534" s="51" t="str">
        <x:v>OSRM driving/car</x:v>
      </x:c>
      <x:c r="Q534" s="51" t="str">
        <x:v>2026-08-15</x:v>
      </x:c>
      <x:c r="R534" s="51" t="str">
        <x:v>C-开放路网计算；不是货车/危运合规路线</x:v>
      </x:c>
      <x:c r="S534" s="51" t="str">
        <x:v>https://routing.openstreetmap.de/routed-car/</x:v>
      </x:c>
    </x:row>
    <x:row r="535">
      <x:c r="A535" s="51" t="str">
        <x:v>A0531</x:v>
      </x:c>
      <x:c r="B535" s="51" t="str">
        <x:v>C04</x:v>
      </x:c>
      <x:c r="C535" s="51" t="str">
        <x:v>collection</x:v>
      </x:c>
      <x:c r="D535" s="51" t="str">
        <x:v>汕头虚拟回收/检测中心</x:v>
      </x:c>
      <x:c r="E535" s="51" t="str">
        <x:v>P17</x:v>
      </x:c>
      <x:c r="F535" s="51" t="str">
        <x:v>echelon</x:v>
      </x:c>
      <x:c r="G535" s="51" t="str">
        <x:v>深圳市荣高晟新能源科技有限公司</x:v>
      </x:c>
      <x:c r="H535" s="52" t="n">
        <x:v>340.00628858069996</x:v>
      </x:c>
      <x:c r="I535" s="52" t="n">
        <x:v>332.09520000000003</x:v>
      </x:c>
      <x:c r="J535" s="52" t="n">
        <x:v>230.66666666666666</x:v>
      </x:c>
      <x:c r="K535" s="52" t="n">
        <x:f>IFERROR(I535/H535,"")</x:f>
        <x:v>0.9767325227609069</x:v>
      </x:c>
      <x:c r="L535" s="52" t="n">
        <x:v>300</x:v>
      </x:c>
      <x:c r="M535" s="65" t="n">
        <x:f>IF(H535&lt;=L535,1,0)</x:f>
        <x:v>0</x:v>
      </x:c>
      <x:c r="N535" s="65" t="n">
        <x:f>IF(I535&lt;=L535,1,0)</x:f>
        <x:v>0</x:v>
      </x:c>
      <x:c r="O535" s="51" t="str">
        <x:f>IF(M535=N535,"不变",IF(N535=1,"由禁变允","由允变禁"))</x:f>
        <x:v>不变</x:v>
      </x:c>
      <x:c r="P535" s="51" t="str">
        <x:v>OSRM driving/car</x:v>
      </x:c>
      <x:c r="Q535" s="51" t="str">
        <x:v>2026-08-15</x:v>
      </x:c>
      <x:c r="R535" s="51" t="str">
        <x:v>C-开放路网计算；不是货车/危运合规路线</x:v>
      </x:c>
      <x:c r="S535" s="51" t="str">
        <x:v>https://routing.openstreetmap.de/routed-car/</x:v>
      </x:c>
    </x:row>
    <x:row r="536">
      <x:c r="A536" s="51" t="str">
        <x:v>A0532</x:v>
      </x:c>
      <x:c r="B536" s="51" t="str">
        <x:v>C04</x:v>
      </x:c>
      <x:c r="C536" s="51" t="str">
        <x:v>collection</x:v>
      </x:c>
      <x:c r="D536" s="51" t="str">
        <x:v>汕头虚拟回收/检测中心</x:v>
      </x:c>
      <x:c r="E536" s="51" t="str">
        <x:v>P18</x:v>
      </x:c>
      <x:c r="F536" s="51" t="str">
        <x:v>echelon</x:v>
      </x:c>
      <x:c r="G536" s="51" t="str">
        <x:v>中商锂新能源科技（惠州）有限公司</x:v>
      </x:c>
      <x:c r="H536" s="52" t="n">
        <x:v>279.59950256039025</x:v>
      </x:c>
      <x:c r="I536" s="52" t="n">
        <x:v>287.5241</x:v>
      </x:c>
      <x:c r="J536" s="52" t="n">
        <x:v>208.64</x:v>
      </x:c>
      <x:c r="K536" s="52" t="n">
        <x:f>IFERROR(I536/H536,"")</x:f>
        <x:v>1.02834267359935</x:v>
      </x:c>
      <x:c r="L536" s="52" t="n">
        <x:v>300</x:v>
      </x:c>
      <x:c r="M536" s="65" t="n">
        <x:f>IF(H536&lt;=L536,1,0)</x:f>
        <x:v>1</x:v>
      </x:c>
      <x:c r="N536" s="65" t="n">
        <x:f>IF(I536&lt;=L536,1,0)</x:f>
        <x:v>1</x:v>
      </x:c>
      <x:c r="O536" s="51" t="str">
        <x:f>IF(M536=N536,"不变",IF(N536=1,"由禁变允","由允变禁"))</x:f>
        <x:v>不变</x:v>
      </x:c>
      <x:c r="P536" s="51" t="str">
        <x:v>OSRM driving/car</x:v>
      </x:c>
      <x:c r="Q536" s="51" t="str">
        <x:v>2026-08-15</x:v>
      </x:c>
      <x:c r="R536" s="51" t="str">
        <x:v>C-开放路网计算；不是货车/危运合规路线</x:v>
      </x:c>
      <x:c r="S536" s="51" t="str">
        <x:v>https://routing.openstreetmap.de/routed-car/</x:v>
      </x:c>
    </x:row>
    <x:row r="537">
      <x:c r="A537" s="51" t="str">
        <x:v>A0533</x:v>
      </x:c>
      <x:c r="B537" s="51" t="str">
        <x:v>C04</x:v>
      </x:c>
      <x:c r="C537" s="51" t="str">
        <x:v>collection</x:v>
      </x:c>
      <x:c r="D537" s="51" t="str">
        <x:v>汕头虚拟回收/检测中心</x:v>
      </x:c>
      <x:c r="E537" s="51" t="str">
        <x:v>P19</x:v>
      </x:c>
      <x:c r="F537" s="51" t="str">
        <x:v>recycling</x:v>
      </x:c>
      <x:c r="G537" s="51" t="str">
        <x:v>广东盛祥新材料科技有限公司</x:v>
      </x:c>
      <x:c r="H537" s="52" t="n">
        <x:v>400.29631081436423</x:v>
      </x:c>
      <x:c r="I537" s="52" t="n">
        <x:v>434.0546</x:v>
      </x:c>
      <x:c r="J537" s="52" t="n">
        <x:v>322.81666666666666</x:v>
      </x:c>
      <x:c r="K537" s="52" t="n">
        <x:f>IFERROR(I537/H537,"")</x:f>
        <x:v>1.084333250828512</x:v>
      </x:c>
      <x:c r="L537" s="52" t="n">
        <x:v>400</x:v>
      </x:c>
      <x:c r="M537" s="65" t="n">
        <x:f>IF(H537&lt;=L537,1,0)</x:f>
        <x:v>0</x:v>
      </x:c>
      <x:c r="N537" s="65" t="n">
        <x:f>IF(I537&lt;=L537,1,0)</x:f>
        <x:v>0</x:v>
      </x:c>
      <x:c r="O537" s="51" t="str">
        <x:f>IF(M537=N537,"不变",IF(N537=1,"由禁变允","由允变禁"))</x:f>
        <x:v>不变</x:v>
      </x:c>
      <x:c r="P537" s="51" t="str">
        <x:v>OSRM driving/car</x:v>
      </x:c>
      <x:c r="Q537" s="51" t="str">
        <x:v>2026-08-15</x:v>
      </x:c>
      <x:c r="R537" s="51" t="str">
        <x:v>C-开放路网计算；不是货车/危运合规路线</x:v>
      </x:c>
      <x:c r="S537" s="51" t="str">
        <x:v>https://routing.openstreetmap.de/routed-car/</x:v>
      </x:c>
    </x:row>
    <x:row r="538">
      <x:c r="A538" s="51" t="str">
        <x:v>A0534</x:v>
      </x:c>
      <x:c r="B538" s="51" t="str">
        <x:v>C04</x:v>
      </x:c>
      <x:c r="C538" s="51" t="str">
        <x:v>collection</x:v>
      </x:c>
      <x:c r="D538" s="51" t="str">
        <x:v>汕头虚拟回收/检测中心</x:v>
      </x:c>
      <x:c r="E538" s="51" t="str">
        <x:v>P20E</x:v>
      </x:c>
      <x:c r="F538" s="51" t="str">
        <x:v>echelon</x:v>
      </x:c>
      <x:c r="G538" s="51" t="str">
        <x:v>广东金晟新能源股份有限公司（梯次功能）</x:v>
      </x:c>
      <x:c r="H538" s="52" t="n">
        <x:v>518.7961723587362</x:v>
      </x:c>
      <x:c r="I538" s="52" t="n">
        <x:v>510.3195</x:v>
      </x:c>
      <x:c r="J538" s="52" t="n">
        <x:v>357.37833333333333</x:v>
      </x:c>
      <x:c r="K538" s="52" t="n">
        <x:f>IFERROR(I538/H538,"")</x:f>
        <x:v>0.9836608810735891</x:v>
      </x:c>
      <x:c r="L538" s="52" t="n">
        <x:v>300</x:v>
      </x:c>
      <x:c r="M538" s="65" t="n">
        <x:f>IF(H538&lt;=L538,1,0)</x:f>
        <x:v>0</x:v>
      </x:c>
      <x:c r="N538" s="65" t="n">
        <x:f>IF(I538&lt;=L538,1,0)</x:f>
        <x:v>0</x:v>
      </x:c>
      <x:c r="O538" s="51" t="str">
        <x:f>IF(M538=N538,"不变",IF(N538=1,"由禁变允","由允变禁"))</x:f>
        <x:v>不变</x:v>
      </x:c>
      <x:c r="P538" s="51" t="str">
        <x:v>OSRM driving/car</x:v>
      </x:c>
      <x:c r="Q538" s="51" t="str">
        <x:v>2026-08-15</x:v>
      </x:c>
      <x:c r="R538" s="51" t="str">
        <x:v>C-开放路网计算；不是货车/危运合规路线</x:v>
      </x:c>
      <x:c r="S538" s="51" t="str">
        <x:v>https://routing.openstreetmap.de/routed-car/</x:v>
      </x:c>
    </x:row>
    <x:row r="539">
      <x:c r="A539" s="51" t="str">
        <x:v>A0535</x:v>
      </x:c>
      <x:c r="B539" s="51" t="str">
        <x:v>C04</x:v>
      </x:c>
      <x:c r="C539" s="51" t="str">
        <x:v>collection</x:v>
      </x:c>
      <x:c r="D539" s="51" t="str">
        <x:v>汕头虚拟回收/检测中心</x:v>
      </x:c>
      <x:c r="E539" s="51" t="str">
        <x:v>P20R</x:v>
      </x:c>
      <x:c r="F539" s="51" t="str">
        <x:v>recycling</x:v>
      </x:c>
      <x:c r="G539" s="51" t="str">
        <x:v>广东金晟新能源股份有限公司（再生功能）</x:v>
      </x:c>
      <x:c r="H539" s="52" t="n">
        <x:v>518.7961723587362</x:v>
      </x:c>
      <x:c r="I539" s="52" t="n">
        <x:v>510.3195</x:v>
      </x:c>
      <x:c r="J539" s="52" t="n">
        <x:v>357.37833333333333</x:v>
      </x:c>
      <x:c r="K539" s="52" t="n">
        <x:f>IFERROR(I539/H539,"")</x:f>
        <x:v>0.9836608810735891</x:v>
      </x:c>
      <x:c r="L539" s="52" t="n">
        <x:v>400</x:v>
      </x:c>
      <x:c r="M539" s="65" t="n">
        <x:f>IF(H539&lt;=L539,1,0)</x:f>
        <x:v>0</x:v>
      </x:c>
      <x:c r="N539" s="65" t="n">
        <x:f>IF(I539&lt;=L539,1,0)</x:f>
        <x:v>0</x:v>
      </x:c>
      <x:c r="O539" s="51" t="str">
        <x:f>IF(M539=N539,"不变",IF(N539=1,"由禁变允","由允变禁"))</x:f>
        <x:v>不变</x:v>
      </x:c>
      <x:c r="P539" s="51" t="str">
        <x:v>OSRM driving/car</x:v>
      </x:c>
      <x:c r="Q539" s="51" t="str">
        <x:v>2026-08-15</x:v>
      </x:c>
      <x:c r="R539" s="51" t="str">
        <x:v>C-开放路网计算；不是货车/危运合规路线</x:v>
      </x:c>
      <x:c r="S539" s="51" t="str">
        <x:v>https://routing.openstreetmap.de/routed-car/</x:v>
      </x:c>
    </x:row>
    <x:row r="540">
      <x:c r="A540" s="51" t="str">
        <x:v>A0536</x:v>
      </x:c>
      <x:c r="B540" s="51" t="str">
        <x:v>C04</x:v>
      </x:c>
      <x:c r="C540" s="51" t="str">
        <x:v>collection</x:v>
      </x:c>
      <x:c r="D540" s="51" t="str">
        <x:v>汕头虚拟回收/检测中心</x:v>
      </x:c>
      <x:c r="E540" s="51" t="str">
        <x:v>P21E</x:v>
      </x:c>
      <x:c r="F540" s="51" t="str">
        <x:v>echelon</x:v>
      </x:c>
      <x:c r="G540" s="51" t="str">
        <x:v>广东瑞科美电源技术有限公司（梯次功能）</x:v>
      </x:c>
      <x:c r="H540" s="52" t="n">
        <x:v>439.0782039792669</x:v>
      </x:c>
      <x:c r="I540" s="52" t="n">
        <x:v>440.9499</x:v>
      </x:c>
      <x:c r="J540" s="52" t="n">
        <x:v>306.9616666666667</x:v>
      </x:c>
      <x:c r="K540" s="52" t="n">
        <x:f>IFERROR(I540/H540,"")</x:f>
        <x:v>1.0042627850887846</x:v>
      </x:c>
      <x:c r="L540" s="52" t="n">
        <x:v>300</x:v>
      </x:c>
      <x:c r="M540" s="65" t="n">
        <x:f>IF(H540&lt;=L540,1,0)</x:f>
        <x:v>0</x:v>
      </x:c>
      <x:c r="N540" s="65" t="n">
        <x:f>IF(I540&lt;=L540,1,0)</x:f>
        <x:v>0</x:v>
      </x:c>
      <x:c r="O540" s="51" t="str">
        <x:f>IF(M540=N540,"不变",IF(N540=1,"由禁变允","由允变禁"))</x:f>
        <x:v>不变</x:v>
      </x:c>
      <x:c r="P540" s="51" t="str">
        <x:v>OSRM driving/car</x:v>
      </x:c>
      <x:c r="Q540" s="51" t="str">
        <x:v>2026-08-15</x:v>
      </x:c>
      <x:c r="R540" s="51" t="str">
        <x:v>C-开放路网计算；不是货车/危运合规路线</x:v>
      </x:c>
      <x:c r="S540" s="51" t="str">
        <x:v>https://routing.openstreetmap.de/routed-car/</x:v>
      </x:c>
    </x:row>
    <x:row r="541">
      <x:c r="A541" s="51" t="str">
        <x:v>A0537</x:v>
      </x:c>
      <x:c r="B541" s="51" t="str">
        <x:v>C04</x:v>
      </x:c>
      <x:c r="C541" s="51" t="str">
        <x:v>collection</x:v>
      </x:c>
      <x:c r="D541" s="51" t="str">
        <x:v>汕头虚拟回收/检测中心</x:v>
      </x:c>
      <x:c r="E541" s="51" t="str">
        <x:v>P21R</x:v>
      </x:c>
      <x:c r="F541" s="51" t="str">
        <x:v>recycling</x:v>
      </x:c>
      <x:c r="G541" s="51" t="str">
        <x:v>广东瑞科美电源技术有限公司（再生功能）</x:v>
      </x:c>
      <x:c r="H541" s="52" t="n">
        <x:v>439.0782039792669</x:v>
      </x:c>
      <x:c r="I541" s="52" t="n">
        <x:v>440.9499</x:v>
      </x:c>
      <x:c r="J541" s="52" t="n">
        <x:v>306.9616666666667</x:v>
      </x:c>
      <x:c r="K541" s="52" t="n">
        <x:f>IFERROR(I541/H541,"")</x:f>
        <x:v>1.0042627850887846</x:v>
      </x:c>
      <x:c r="L541" s="52" t="n">
        <x:v>400</x:v>
      </x:c>
      <x:c r="M541" s="65" t="n">
        <x:f>IF(H541&lt;=L541,1,0)</x:f>
        <x:v>0</x:v>
      </x:c>
      <x:c r="N541" s="65" t="n">
        <x:f>IF(I541&lt;=L541,1,0)</x:f>
        <x:v>0</x:v>
      </x:c>
      <x:c r="O541" s="51" t="str">
        <x:f>IF(M541=N541,"不变",IF(N541=1,"由禁变允","由允变禁"))</x:f>
        <x:v>不变</x:v>
      </x:c>
      <x:c r="P541" s="51" t="str">
        <x:v>OSRM driving/car</x:v>
      </x:c>
      <x:c r="Q541" s="51" t="str">
        <x:v>2026-08-15</x:v>
      </x:c>
      <x:c r="R541" s="51" t="str">
        <x:v>C-开放路网计算；不是货车/危运合规路线</x:v>
      </x:c>
      <x:c r="S541" s="51" t="str">
        <x:v>https://routing.openstreetmap.de/routed-car/</x:v>
      </x:c>
    </x:row>
    <x:row r="542">
      <x:c r="A542" s="51" t="str">
        <x:v>A0538</x:v>
      </x:c>
      <x:c r="B542" s="51" t="str">
        <x:v>C05</x:v>
      </x:c>
      <x:c r="C542" s="51" t="str">
        <x:v>collection</x:v>
      </x:c>
      <x:c r="D542" s="51" t="str">
        <x:v>佛山虚拟回收/检测中心</x:v>
      </x:c>
      <x:c r="E542" s="51" t="str">
        <x:v>P01</x:v>
      </x:c>
      <x:c r="F542" s="51" t="str">
        <x:v>recycling</x:v>
      </x:c>
      <x:c r="G542" s="51" t="str">
        <x:v>汕尾比亚迪废旧动力电池回收项目</x:v>
      </x:c>
      <x:c r="H542" s="52" t="n">
        <x:v>275.5659505000891</x:v>
      </x:c>
      <x:c r="I542" s="52" t="n">
        <x:v>276.3439</x:v>
      </x:c>
      <x:c r="J542" s="52" t="n">
        <x:v>192.87166666666664</x:v>
      </x:c>
      <x:c r="K542" s="52" t="n">
        <x:f>IFERROR(I542/H542,"")</x:f>
        <x:v>1.0028230973329582</x:v>
      </x:c>
      <x:c r="L542" s="52" t="n">
        <x:v>400</x:v>
      </x:c>
      <x:c r="M542" s="65" t="n">
        <x:f>IF(H542&lt;=L542,1,0)</x:f>
        <x:v>1</x:v>
      </x:c>
      <x:c r="N542" s="65" t="n">
        <x:f>IF(I542&lt;=L542,1,0)</x:f>
        <x:v>1</x:v>
      </x:c>
      <x:c r="O542" s="51" t="str">
        <x:f>IF(M542=N542,"不变",IF(N542=1,"由禁变允","由允变禁"))</x:f>
        <x:v>不变</x:v>
      </x:c>
      <x:c r="P542" s="51" t="str">
        <x:v>OSRM driving/car</x:v>
      </x:c>
      <x:c r="Q542" s="51" t="str">
        <x:v>2026-08-15</x:v>
      </x:c>
      <x:c r="R542" s="51" t="str">
        <x:v>C-开放路网计算；不是货车/危运合规路线</x:v>
      </x:c>
      <x:c r="S542" s="51" t="str">
        <x:v>https://routing.openstreetmap.de/routed-car/</x:v>
      </x:c>
    </x:row>
    <x:row r="543">
      <x:c r="A543" s="51" t="str">
        <x:v>A0539</x:v>
      </x:c>
      <x:c r="B543" s="51" t="str">
        <x:v>C05</x:v>
      </x:c>
      <x:c r="C543" s="51" t="str">
        <x:v>collection</x:v>
      </x:c>
      <x:c r="D543" s="51" t="str">
        <x:v>佛山虚拟回收/检测中心</x:v>
      </x:c>
      <x:c r="E543" s="51" t="str">
        <x:v>P02E</x:v>
      </x:c>
      <x:c r="F543" s="51" t="str">
        <x:v>echelon</x:v>
      </x:c>
      <x:c r="G543" s="51" t="str">
        <x:v>广东光华科技股份有限公司（梯次功能）</x:v>
      </x:c>
      <x:c r="H543" s="52" t="n">
        <x:v>439.0782039792669</x:v>
      </x:c>
      <x:c r="I543" s="52" t="n">
        <x:v>439.7362</x:v>
      </x:c>
      <x:c r="J543" s="52" t="n">
        <x:v>305.28499999999997</x:v>
      </x:c>
      <x:c r="K543" s="52" t="n">
        <x:f>IFERROR(I543/H543,"")</x:f>
        <x:v>1.001498585023738</x:v>
      </x:c>
      <x:c r="L543" s="52" t="n">
        <x:v>300</x:v>
      </x:c>
      <x:c r="M543" s="65" t="n">
        <x:f>IF(H543&lt;=L543,1,0)</x:f>
        <x:v>0</x:v>
      </x:c>
      <x:c r="N543" s="65" t="n">
        <x:f>IF(I543&lt;=L543,1,0)</x:f>
        <x:v>0</x:v>
      </x:c>
      <x:c r="O543" s="51" t="str">
        <x:f>IF(M543=N543,"不变",IF(N543=1,"由禁变允","由允变禁"))</x:f>
        <x:v>不变</x:v>
      </x:c>
      <x:c r="P543" s="51" t="str">
        <x:v>OSRM driving/car</x:v>
      </x:c>
      <x:c r="Q543" s="51" t="str">
        <x:v>2026-08-15</x:v>
      </x:c>
      <x:c r="R543" s="51" t="str">
        <x:v>C-开放路网计算；不是货车/危运合规路线</x:v>
      </x:c>
      <x:c r="S543" s="51" t="str">
        <x:v>https://routing.openstreetmap.de/routed-car/</x:v>
      </x:c>
    </x:row>
    <x:row r="544">
      <x:c r="A544" s="51" t="str">
        <x:v>A0540</x:v>
      </x:c>
      <x:c r="B544" s="51" t="str">
        <x:v>C05</x:v>
      </x:c>
      <x:c r="C544" s="51" t="str">
        <x:v>collection</x:v>
      </x:c>
      <x:c r="D544" s="51" t="str">
        <x:v>佛山虚拟回收/检测中心</x:v>
      </x:c>
      <x:c r="E544" s="51" t="str">
        <x:v>P02R</x:v>
      </x:c>
      <x:c r="F544" s="51" t="str">
        <x:v>recycling</x:v>
      </x:c>
      <x:c r="G544" s="51" t="str">
        <x:v>广东光华科技股份有限公司（再生功能）</x:v>
      </x:c>
      <x:c r="H544" s="52" t="n">
        <x:v>439.0782039792669</x:v>
      </x:c>
      <x:c r="I544" s="52" t="n">
        <x:v>439.7362</x:v>
      </x:c>
      <x:c r="J544" s="52" t="n">
        <x:v>305.28499999999997</x:v>
      </x:c>
      <x:c r="K544" s="52" t="n">
        <x:f>IFERROR(I544/H544,"")</x:f>
        <x:v>1.001498585023738</x:v>
      </x:c>
      <x:c r="L544" s="52" t="n">
        <x:v>400</x:v>
      </x:c>
      <x:c r="M544" s="65" t="n">
        <x:f>IF(H544&lt;=L544,1,0)</x:f>
        <x:v>0</x:v>
      </x:c>
      <x:c r="N544" s="65" t="n">
        <x:f>IF(I544&lt;=L544,1,0)</x:f>
        <x:v>0</x:v>
      </x:c>
      <x:c r="O544" s="51" t="str">
        <x:f>IF(M544=N544,"不变",IF(N544=1,"由禁变允","由允变禁"))</x:f>
        <x:v>不变</x:v>
      </x:c>
      <x:c r="P544" s="51" t="str">
        <x:v>OSRM driving/car</x:v>
      </x:c>
      <x:c r="Q544" s="51" t="str">
        <x:v>2026-08-15</x:v>
      </x:c>
      <x:c r="R544" s="51" t="str">
        <x:v>C-开放路网计算；不是货车/危运合规路线</x:v>
      </x:c>
      <x:c r="S544" s="51" t="str">
        <x:v>https://routing.openstreetmap.de/routed-car/</x:v>
      </x:c>
    </x:row>
    <x:row r="545">
      <x:c r="A545" s="51" t="str">
        <x:v>A0541</x:v>
      </x:c>
      <x:c r="B545" s="51" t="str">
        <x:v>C05</x:v>
      </x:c>
      <x:c r="C545" s="51" t="str">
        <x:v>collection</x:v>
      </x:c>
      <x:c r="D545" s="51" t="str">
        <x:v>佛山虚拟回收/检测中心</x:v>
      </x:c>
      <x:c r="E545" s="51" t="str">
        <x:v>P03</x:v>
      </x:c>
      <x:c r="F545" s="51" t="str">
        <x:v>echelon</x:v>
      </x:c>
      <x:c r="G545" s="51" t="str">
        <x:v>深圳深汕特别合作区乾泰技术有限公司</x:v>
      </x:c>
      <x:c r="H545" s="52" t="n">
        <x:v>294.0126610717624</x:v>
      </x:c>
      <x:c r="I545" s="52" t="n">
        <x:v>289.87640000000005</x:v>
      </x:c>
      <x:c r="J545" s="52" t="n">
        <x:v>219.34666666666666</x:v>
      </x:c>
      <x:c r="K545" s="52" t="n">
        <x:f>IFERROR(I545/H545,"")</x:f>
        <x:v>0.9859316906398368</x:v>
      </x:c>
      <x:c r="L545" s="52" t="n">
        <x:v>300</x:v>
      </x:c>
      <x:c r="M545" s="65" t="n">
        <x:f>IF(H545&lt;=L545,1,0)</x:f>
        <x:v>1</x:v>
      </x:c>
      <x:c r="N545" s="65" t="n">
        <x:f>IF(I545&lt;=L545,1,0)</x:f>
        <x:v>1</x:v>
      </x:c>
      <x:c r="O545" s="51" t="str">
        <x:f>IF(M545=N545,"不变",IF(N545=1,"由禁变允","由允变禁"))</x:f>
        <x:v>不变</x:v>
      </x:c>
      <x:c r="P545" s="51" t="str">
        <x:v>OSRM driving/car</x:v>
      </x:c>
      <x:c r="Q545" s="51" t="str">
        <x:v>2026-08-15</x:v>
      </x:c>
      <x:c r="R545" s="51" t="str">
        <x:v>C-开放路网计算；不是货车/危运合规路线</x:v>
      </x:c>
      <x:c r="S545" s="51" t="str">
        <x:v>https://routing.openstreetmap.de/routed-car/</x:v>
      </x:c>
    </x:row>
    <x:row r="546">
      <x:c r="A546" s="51" t="str">
        <x:v>A0542</x:v>
      </x:c>
      <x:c r="B546" s="51" t="str">
        <x:v>C05</x:v>
      </x:c>
      <x:c r="C546" s="51" t="str">
        <x:v>collection</x:v>
      </x:c>
      <x:c r="D546" s="51" t="str">
        <x:v>佛山虚拟回收/检测中心</x:v>
      </x:c>
      <x:c r="E546" s="51" t="str">
        <x:v>P04</x:v>
      </x:c>
      <x:c r="F546" s="51" t="str">
        <x:v>echelon</x:v>
      </x:c>
      <x:c r="G546" s="51" t="str">
        <x:v>珠海中力新能源科技有限公司</x:v>
      </x:c>
      <x:c r="H546" s="52" t="n">
        <x:v>114.79211666369928</x:v>
      </x:c>
      <x:c r="I546" s="52" t="n">
        <x:v>120.1601</x:v>
      </x:c>
      <x:c r="J546" s="52" t="n">
        <x:v>90.02</x:v>
      </x:c>
      <x:c r="K546" s="52" t="n">
        <x:f>IFERROR(I546/H546,"")</x:f>
        <x:v>1.0467626479266607</x:v>
      </x:c>
      <x:c r="L546" s="52" t="n">
        <x:v>300</x:v>
      </x:c>
      <x:c r="M546" s="65" t="n">
        <x:f>IF(H546&lt;=L546,1,0)</x:f>
        <x:v>1</x:v>
      </x:c>
      <x:c r="N546" s="65" t="n">
        <x:f>IF(I546&lt;=L546,1,0)</x:f>
        <x:v>1</x:v>
      </x:c>
      <x:c r="O546" s="51" t="str">
        <x:f>IF(M546=N546,"不变",IF(N546=1,"由禁变允","由允变禁"))</x:f>
        <x:v>不变</x:v>
      </x:c>
      <x:c r="P546" s="51" t="str">
        <x:v>OSRM driving/car</x:v>
      </x:c>
      <x:c r="Q546" s="51" t="str">
        <x:v>2026-08-15</x:v>
      </x:c>
      <x:c r="R546" s="51" t="str">
        <x:v>C-开放路网计算；不是货车/危运合规路线</x:v>
      </x:c>
      <x:c r="S546" s="51" t="str">
        <x:v>https://routing.openstreetmap.de/routed-car/</x:v>
      </x:c>
    </x:row>
    <x:row r="547">
      <x:c r="A547" s="51" t="str">
        <x:v>A0543</x:v>
      </x:c>
      <x:c r="B547" s="51" t="str">
        <x:v>C05</x:v>
      </x:c>
      <x:c r="C547" s="51" t="str">
        <x:v>collection</x:v>
      </x:c>
      <x:c r="D547" s="51" t="str">
        <x:v>佛山虚拟回收/检测中心</x:v>
      </x:c>
      <x:c r="E547" s="51" t="str">
        <x:v>P05</x:v>
      </x:c>
      <x:c r="F547" s="51" t="str">
        <x:v>echelon</x:v>
      </x:c>
      <x:c r="G547" s="51" t="str">
        <x:v>惠州市恒创睿能环保科技有限公司</x:v>
      </x:c>
      <x:c r="H547" s="52" t="n">
        <x:v>159.63127925962104</x:v>
      </x:c>
      <x:c r="I547" s="52" t="n">
        <x:v>157.8114</x:v>
      </x:c>
      <x:c r="J547" s="52" t="n">
        <x:v>117.81333333333333</x:v>
      </x:c>
      <x:c r="K547" s="52" t="n">
        <x:f>IFERROR(I547/H547,"")</x:f>
        <x:v>0.9885994820810698</x:v>
      </x:c>
      <x:c r="L547" s="52" t="n">
        <x:v>300</x:v>
      </x:c>
      <x:c r="M547" s="65" t="n">
        <x:f>IF(H547&lt;=L547,1,0)</x:f>
        <x:v>1</x:v>
      </x:c>
      <x:c r="N547" s="65" t="n">
        <x:f>IF(I547&lt;=L547,1,0)</x:f>
        <x:v>1</x:v>
      </x:c>
      <x:c r="O547" s="51" t="str">
        <x:f>IF(M547=N547,"不变",IF(N547=1,"由禁变允","由允变禁"))</x:f>
        <x:v>不变</x:v>
      </x:c>
      <x:c r="P547" s="51" t="str">
        <x:v>OSRM driving/car</x:v>
      </x:c>
      <x:c r="Q547" s="51" t="str">
        <x:v>2026-08-15</x:v>
      </x:c>
      <x:c r="R547" s="51" t="str">
        <x:v>C-开放路网计算；不是货车/危运合规路线</x:v>
      </x:c>
      <x:c r="S547" s="51" t="str">
        <x:v>https://routing.openstreetmap.de/routed-car/</x:v>
      </x:c>
    </x:row>
    <x:row r="548">
      <x:c r="A548" s="51" t="str">
        <x:v>A0544</x:v>
      </x:c>
      <x:c r="B548" s="51" t="str">
        <x:v>C05</x:v>
      </x:c>
      <x:c r="C548" s="51" t="str">
        <x:v>collection</x:v>
      </x:c>
      <x:c r="D548" s="51" t="str">
        <x:v>佛山虚拟回收/检测中心</x:v>
      </x:c>
      <x:c r="E548" s="51" t="str">
        <x:v>P06</x:v>
      </x:c>
      <x:c r="F548" s="51" t="str">
        <x:v>echelon</x:v>
      </x:c>
      <x:c r="G548" s="51" t="str">
        <x:v>江门市朗达锂电池有限公司</x:v>
      </x:c>
      <x:c r="H548" s="52" t="n">
        <x:v>59.22325916789457</x:v>
      </x:c>
      <x:c r="I548" s="52" t="n">
        <x:v>66.31339999999999</x:v>
      </x:c>
      <x:c r="J548" s="52" t="n">
        <x:v>52.69833333333334</x:v>
      </x:c>
      <x:c r="K548" s="52" t="n">
        <x:f>IFERROR(I548/H548,"")</x:f>
        <x:v>1.1197188559313374</x:v>
      </x:c>
      <x:c r="L548" s="52" t="n">
        <x:v>300</x:v>
      </x:c>
      <x:c r="M548" s="65" t="n">
        <x:f>IF(H548&lt;=L548,1,0)</x:f>
        <x:v>1</x:v>
      </x:c>
      <x:c r="N548" s="65" t="n">
        <x:f>IF(I548&lt;=L548,1,0)</x:f>
        <x:v>1</x:v>
      </x:c>
      <x:c r="O548" s="51" t="str">
        <x:f>IF(M548=N548,"不变",IF(N548=1,"由禁变允","由允变禁"))</x:f>
        <x:v>不变</x:v>
      </x:c>
      <x:c r="P548" s="51" t="str">
        <x:v>OSRM driving/car</x:v>
      </x:c>
      <x:c r="Q548" s="51" t="str">
        <x:v>2026-08-15</x:v>
      </x:c>
      <x:c r="R548" s="51" t="str">
        <x:v>C-开放路网计算；不是货车/危运合规路线</x:v>
      </x:c>
      <x:c r="S548" s="51" t="str">
        <x:v>https://routing.openstreetmap.de/routed-car/</x:v>
      </x:c>
    </x:row>
    <x:row r="549">
      <x:c r="A549" s="51" t="str">
        <x:v>A0545</x:v>
      </x:c>
      <x:c r="B549" s="51" t="str">
        <x:v>C05</x:v>
      </x:c>
      <x:c r="C549" s="51" t="str">
        <x:v>collection</x:v>
      </x:c>
      <x:c r="D549" s="51" t="str">
        <x:v>佛山虚拟回收/检测中心</x:v>
      </x:c>
      <x:c r="E549" s="51" t="str">
        <x:v>P07</x:v>
      </x:c>
      <x:c r="F549" s="51" t="str">
        <x:v>echelon</x:v>
      </x:c>
      <x:c r="G549" s="51" t="str">
        <x:v>广东迪度新能源有限公司</x:v>
      </x:c>
      <x:c r="H549" s="52" t="n">
        <x:v>77.28343572424338</x:v>
      </x:c>
      <x:c r="I549" s="52" t="n">
        <x:v>81.8258</x:v>
      </x:c>
      <x:c r="J549" s="52" t="n">
        <x:v>64.91</x:v>
      </x:c>
      <x:c r="K549" s="52" t="n">
        <x:f>IFERROR(I549/H549,"")</x:f>
        <x:v>1.0587753925946606</x:v>
      </x:c>
      <x:c r="L549" s="52" t="n">
        <x:v>300</x:v>
      </x:c>
      <x:c r="M549" s="65" t="n">
        <x:f>IF(H549&lt;=L549,1,0)</x:f>
        <x:v>1</x:v>
      </x:c>
      <x:c r="N549" s="65" t="n">
        <x:f>IF(I549&lt;=L549,1,0)</x:f>
        <x:v>1</x:v>
      </x:c>
      <x:c r="O549" s="51" t="str">
        <x:f>IF(M549=N549,"不变",IF(N549=1,"由禁变允","由允变禁"))</x:f>
        <x:v>不变</x:v>
      </x:c>
      <x:c r="P549" s="51" t="str">
        <x:v>OSRM driving/car</x:v>
      </x:c>
      <x:c r="Q549" s="51" t="str">
        <x:v>2026-08-15</x:v>
      </x:c>
      <x:c r="R549" s="51" t="str">
        <x:v>C-开放路网计算；不是货车/危运合规路线</x:v>
      </x:c>
      <x:c r="S549" s="51" t="str">
        <x:v>https://routing.openstreetmap.de/routed-car/</x:v>
      </x:c>
    </x:row>
    <x:row r="550">
      <x:c r="A550" s="51" t="str">
        <x:v>A0546</x:v>
      </x:c>
      <x:c r="B550" s="51" t="str">
        <x:v>C05</x:v>
      </x:c>
      <x:c r="C550" s="51" t="str">
        <x:v>collection</x:v>
      </x:c>
      <x:c r="D550" s="51" t="str">
        <x:v>佛山虚拟回收/检测中心</x:v>
      </x:c>
      <x:c r="E550" s="51" t="str">
        <x:v>P08</x:v>
      </x:c>
      <x:c r="F550" s="51" t="str">
        <x:v>echelon</x:v>
      </x:c>
      <x:c r="G550" s="51" t="str">
        <x:v>东莞市博森新能源有限公司</x:v>
      </x:c>
      <x:c r="H550" s="52" t="n">
        <x:v>77.28343572424338</x:v>
      </x:c>
      <x:c r="I550" s="52" t="n">
        <x:v>81.8258</x:v>
      </x:c>
      <x:c r="J550" s="52" t="n">
        <x:v>64.91</x:v>
      </x:c>
      <x:c r="K550" s="52" t="n">
        <x:f>IFERROR(I550/H550,"")</x:f>
        <x:v>1.0587753925946606</x:v>
      </x:c>
      <x:c r="L550" s="52" t="n">
        <x:v>300</x:v>
      </x:c>
      <x:c r="M550" s="65" t="n">
        <x:f>IF(H550&lt;=L550,1,0)</x:f>
        <x:v>1</x:v>
      </x:c>
      <x:c r="N550" s="65" t="n">
        <x:f>IF(I550&lt;=L550,1,0)</x:f>
        <x:v>1</x:v>
      </x:c>
      <x:c r="O550" s="51" t="str">
        <x:f>IF(M550=N550,"不变",IF(N550=1,"由禁变允","由允变禁"))</x:f>
        <x:v>不变</x:v>
      </x:c>
      <x:c r="P550" s="51" t="str">
        <x:v>OSRM driving/car</x:v>
      </x:c>
      <x:c r="Q550" s="51" t="str">
        <x:v>2026-08-15</x:v>
      </x:c>
      <x:c r="R550" s="51" t="str">
        <x:v>C-开放路网计算；不是货车/危运合规路线</x:v>
      </x:c>
      <x:c r="S550" s="51" t="str">
        <x:v>https://routing.openstreetmap.de/routed-car/</x:v>
      </x:c>
    </x:row>
    <x:row r="551">
      <x:c r="A551" s="51" t="str">
        <x:v>A0547</x:v>
      </x:c>
      <x:c r="B551" s="51" t="str">
        <x:v>C05</x:v>
      </x:c>
      <x:c r="C551" s="51" t="str">
        <x:v>collection</x:v>
      </x:c>
      <x:c r="D551" s="51" t="str">
        <x:v>佛山虚拟回收/检测中心</x:v>
      </x:c>
      <x:c r="E551" s="51" t="str">
        <x:v>P09</x:v>
      </x:c>
      <x:c r="F551" s="51" t="str">
        <x:v>echelon</x:v>
      </x:c>
      <x:c r="G551" s="51" t="str">
        <x:v>广东宇阳新能源有限公司</x:v>
      </x:c>
      <x:c r="H551" s="52" t="n">
        <x:v>77.28343572424338</x:v>
      </x:c>
      <x:c r="I551" s="52" t="n">
        <x:v>81.8258</x:v>
      </x:c>
      <x:c r="J551" s="52" t="n">
        <x:v>64.91</x:v>
      </x:c>
      <x:c r="K551" s="52" t="n">
        <x:f>IFERROR(I551/H551,"")</x:f>
        <x:v>1.0587753925946606</x:v>
      </x:c>
      <x:c r="L551" s="52" t="n">
        <x:v>300</x:v>
      </x:c>
      <x:c r="M551" s="65" t="n">
        <x:f>IF(H551&lt;=L551,1,0)</x:f>
        <x:v>1</x:v>
      </x:c>
      <x:c r="N551" s="65" t="n">
        <x:f>IF(I551&lt;=L551,1,0)</x:f>
        <x:v>1</x:v>
      </x:c>
      <x:c r="O551" s="51" t="str">
        <x:f>IF(M551=N551,"不变",IF(N551=1,"由禁变允","由允变禁"))</x:f>
        <x:v>不变</x:v>
      </x:c>
      <x:c r="P551" s="51" t="str">
        <x:v>OSRM driving/car</x:v>
      </x:c>
      <x:c r="Q551" s="51" t="str">
        <x:v>2026-08-15</x:v>
      </x:c>
      <x:c r="R551" s="51" t="str">
        <x:v>C-开放路网计算；不是货车/危运合规路线</x:v>
      </x:c>
      <x:c r="S551" s="51" t="str">
        <x:v>https://routing.openstreetmap.de/routed-car/</x:v>
      </x:c>
    </x:row>
    <x:row r="552">
      <x:c r="A552" s="51" t="str">
        <x:v>A0548</x:v>
      </x:c>
      <x:c r="B552" s="51" t="str">
        <x:v>C05</x:v>
      </x:c>
      <x:c r="C552" s="51" t="str">
        <x:v>collection</x:v>
      </x:c>
      <x:c r="D552" s="51" t="str">
        <x:v>佛山虚拟回收/检测中心</x:v>
      </x:c>
      <x:c r="E552" s="51" t="str">
        <x:v>P10</x:v>
      </x:c>
      <x:c r="F552" s="51" t="str">
        <x:v>echelon</x:v>
      </x:c>
      <x:c r="G552" s="51" t="str">
        <x:v>广州广汽商贸再生资源有限公司</x:v>
      </x:c>
      <x:c r="H552" s="52" t="n">
        <x:v>22.448811015599897</x:v>
      </x:c>
      <x:c r="I552" s="52" t="n">
        <x:v>24.544700000000002</x:v>
      </x:c>
      <x:c r="J552" s="52" t="n">
        <x:v>21.89333333333333</x:v>
      </x:c>
      <x:c r="K552" s="52" t="n">
        <x:f>IFERROR(I552/H552,"")</x:f>
        <x:v>1.09336302857838</x:v>
      </x:c>
      <x:c r="L552" s="52" t="n">
        <x:v>300</x:v>
      </x:c>
      <x:c r="M552" s="65" t="n">
        <x:f>IF(H552&lt;=L552,1,0)</x:f>
        <x:v>1</x:v>
      </x:c>
      <x:c r="N552" s="65" t="n">
        <x:f>IF(I552&lt;=L552,1,0)</x:f>
        <x:v>1</x:v>
      </x:c>
      <x:c r="O552" s="51" t="str">
        <x:f>IF(M552=N552,"不变",IF(N552=1,"由禁变允","由允变禁"))</x:f>
        <x:v>不变</x:v>
      </x:c>
      <x:c r="P552" s="51" t="str">
        <x:v>OSRM driving/car</x:v>
      </x:c>
      <x:c r="Q552" s="51" t="str">
        <x:v>2026-08-15</x:v>
      </x:c>
      <x:c r="R552" s="51" t="str">
        <x:v>C-开放路网计算；不是货车/危运合规路线</x:v>
      </x:c>
      <x:c r="S552" s="51" t="str">
        <x:v>https://routing.openstreetmap.de/routed-car/</x:v>
      </x:c>
    </x:row>
    <x:row r="553">
      <x:c r="A553" s="51" t="str">
        <x:v>A0549</x:v>
      </x:c>
      <x:c r="B553" s="51" t="str">
        <x:v>C05</x:v>
      </x:c>
      <x:c r="C553" s="51" t="str">
        <x:v>collection</x:v>
      </x:c>
      <x:c r="D553" s="51" t="str">
        <x:v>佛山虚拟回收/检测中心</x:v>
      </x:c>
      <x:c r="E553" s="51" t="str">
        <x:v>P11</x:v>
      </x:c>
      <x:c r="F553" s="51" t="str">
        <x:v>echelon</x:v>
      </x:c>
      <x:c r="G553" s="51" t="str">
        <x:v>深圳市杰成镍钴新能源科技有限公司</x:v>
      </x:c>
      <x:c r="H553" s="52" t="n">
        <x:v>132.00168158093638</x:v>
      </x:c>
      <x:c r="I553" s="52" t="n">
        <x:v>142.9087</x:v>
      </x:c>
      <x:c r="J553" s="52" t="n">
        <x:v>101.89</x:v>
      </x:c>
      <x:c r="K553" s="52" t="n">
        <x:f>IFERROR(I553/H553,"")</x:f>
        <x:v>1.0826278748000344</x:v>
      </x:c>
      <x:c r="L553" s="52" t="n">
        <x:v>300</x:v>
      </x:c>
      <x:c r="M553" s="65" t="n">
        <x:f>IF(H553&lt;=L553,1,0)</x:f>
        <x:v>1</x:v>
      </x:c>
      <x:c r="N553" s="65" t="n">
        <x:f>IF(I553&lt;=L553,1,0)</x:f>
        <x:v>1</x:v>
      </x:c>
      <x:c r="O553" s="51" t="str">
        <x:f>IF(M553=N553,"不变",IF(N553=1,"由禁变允","由允变禁"))</x:f>
        <x:v>不变</x:v>
      </x:c>
      <x:c r="P553" s="51" t="str">
        <x:v>OSRM driving/car</x:v>
      </x:c>
      <x:c r="Q553" s="51" t="str">
        <x:v>2026-08-15</x:v>
      </x:c>
      <x:c r="R553" s="51" t="str">
        <x:v>C-开放路网计算；不是货车/危运合规路线</x:v>
      </x:c>
      <x:c r="S553" s="51" t="str">
        <x:v>https://routing.openstreetmap.de/routed-car/</x:v>
      </x:c>
    </x:row>
    <x:row r="554">
      <x:c r="A554" s="51" t="str">
        <x:v>A0550</x:v>
      </x:c>
      <x:c r="B554" s="51" t="str">
        <x:v>C05</x:v>
      </x:c>
      <x:c r="C554" s="51" t="str">
        <x:v>collection</x:v>
      </x:c>
      <x:c r="D554" s="51" t="str">
        <x:v>佛山虚拟回收/检测中心</x:v>
      </x:c>
      <x:c r="E554" s="51" t="str">
        <x:v>P12</x:v>
      </x:c>
      <x:c r="F554" s="51" t="str">
        <x:v>recycling</x:v>
      </x:c>
      <x:c r="G554" s="51" t="str">
        <x:v>江门市恒创睿能环保科技有限公司</x:v>
      </x:c>
      <x:c r="H554" s="52" t="n">
        <x:v>59.22325916789457</x:v>
      </x:c>
      <x:c r="I554" s="52" t="n">
        <x:v>66.31339999999999</x:v>
      </x:c>
      <x:c r="J554" s="52" t="n">
        <x:v>52.69833333333334</x:v>
      </x:c>
      <x:c r="K554" s="52" t="n">
        <x:f>IFERROR(I554/H554,"")</x:f>
        <x:v>1.1197188559313374</x:v>
      </x:c>
      <x:c r="L554" s="52" t="n">
        <x:v>400</x:v>
      </x:c>
      <x:c r="M554" s="65" t="n">
        <x:f>IF(H554&lt;=L554,1,0)</x:f>
        <x:v>1</x:v>
      </x:c>
      <x:c r="N554" s="65" t="n">
        <x:f>IF(I554&lt;=L554,1,0)</x:f>
        <x:v>1</x:v>
      </x:c>
      <x:c r="O554" s="51" t="str">
        <x:f>IF(M554=N554,"不变",IF(N554=1,"由禁变允","由允变禁"))</x:f>
        <x:v>不变</x:v>
      </x:c>
      <x:c r="P554" s="51" t="str">
        <x:v>OSRM driving/car</x:v>
      </x:c>
      <x:c r="Q554" s="51" t="str">
        <x:v>2026-08-15</x:v>
      </x:c>
      <x:c r="R554" s="51" t="str">
        <x:v>C-开放路网计算；不是货车/危运合规路线</x:v>
      </x:c>
      <x:c r="S554" s="51" t="str">
        <x:v>https://routing.openstreetmap.de/routed-car/</x:v>
      </x:c>
    </x:row>
    <x:row r="555">
      <x:c r="A555" s="51" t="str">
        <x:v>A0551</x:v>
      </x:c>
      <x:c r="B555" s="51" t="str">
        <x:v>C05</x:v>
      </x:c>
      <x:c r="C555" s="51" t="str">
        <x:v>collection</x:v>
      </x:c>
      <x:c r="D555" s="51" t="str">
        <x:v>佛山虚拟回收/检测中心</x:v>
      </x:c>
      <x:c r="E555" s="51" t="str">
        <x:v>P13</x:v>
      </x:c>
      <x:c r="F555" s="51" t="str">
        <x:v>recycling</x:v>
      </x:c>
      <x:c r="G555" s="51" t="str">
        <x:v>广东佳纳能源科技有限公司</x:v>
      </x:c>
      <x:c r="H555" s="52" t="n">
        <x:v>88.3391479847887</x:v>
      </x:c>
      <x:c r="I555" s="52" t="n">
        <x:v>94.4498</x:v>
      </x:c>
      <x:c r="J555" s="52" t="n">
        <x:v>73.91333333333334</x:v>
      </x:c>
      <x:c r="K555" s="52" t="n">
        <x:f>IFERROR(I555/H555,"")</x:f>
        <x:v>1.0691726392500809</x:v>
      </x:c>
      <x:c r="L555" s="52" t="n">
        <x:v>400</x:v>
      </x:c>
      <x:c r="M555" s="65" t="n">
        <x:f>IF(H555&lt;=L555,1,0)</x:f>
        <x:v>1</x:v>
      </x:c>
      <x:c r="N555" s="65" t="n">
        <x:f>IF(I555&lt;=L555,1,0)</x:f>
        <x:v>1</x:v>
      </x:c>
      <x:c r="O555" s="51" t="str">
        <x:f>IF(M555=N555,"不变",IF(N555=1,"由禁变允","由允变禁"))</x:f>
        <x:v>不变</x:v>
      </x:c>
      <x:c r="P555" s="51" t="str">
        <x:v>OSRM driving/car</x:v>
      </x:c>
      <x:c r="Q555" s="51" t="str">
        <x:v>2026-08-15</x:v>
      </x:c>
      <x:c r="R555" s="51" t="str">
        <x:v>C-开放路网计算；不是货车/危运合规路线</x:v>
      </x:c>
      <x:c r="S555" s="51" t="str">
        <x:v>https://routing.openstreetmap.de/routed-car/</x:v>
      </x:c>
    </x:row>
    <x:row r="556">
      <x:c r="A556" s="51" t="str">
        <x:v>A0552</x:v>
      </x:c>
      <x:c r="B556" s="51" t="str">
        <x:v>C05</x:v>
      </x:c>
      <x:c r="C556" s="51" t="str">
        <x:v>collection</x:v>
      </x:c>
      <x:c r="D556" s="51" t="str">
        <x:v>佛山虚拟回收/检测中心</x:v>
      </x:c>
      <x:c r="E556" s="51" t="str">
        <x:v>P14</x:v>
      </x:c>
      <x:c r="F556" s="51" t="str">
        <x:v>echelon</x:v>
      </x:c>
      <x:c r="G556" s="51" t="str">
        <x:v>格林美（深圳）循环科技有限公司</x:v>
      </x:c>
      <x:c r="H556" s="52" t="n">
        <x:v>132.00168158093638</x:v>
      </x:c>
      <x:c r="I556" s="52" t="n">
        <x:v>142.9087</x:v>
      </x:c>
      <x:c r="J556" s="52" t="n">
        <x:v>101.89</x:v>
      </x:c>
      <x:c r="K556" s="52" t="n">
        <x:f>IFERROR(I556/H556,"")</x:f>
        <x:v>1.0826278748000344</x:v>
      </x:c>
      <x:c r="L556" s="52" t="n">
        <x:v>300</x:v>
      </x:c>
      <x:c r="M556" s="65" t="n">
        <x:f>IF(H556&lt;=L556,1,0)</x:f>
        <x:v>1</x:v>
      </x:c>
      <x:c r="N556" s="65" t="n">
        <x:f>IF(I556&lt;=L556,1,0)</x:f>
        <x:v>1</x:v>
      </x:c>
      <x:c r="O556" s="51" t="str">
        <x:f>IF(M556=N556,"不变",IF(N556=1,"由禁变允","由允变禁"))</x:f>
        <x:v>不变</x:v>
      </x:c>
      <x:c r="P556" s="51" t="str">
        <x:v>OSRM driving/car</x:v>
      </x:c>
      <x:c r="Q556" s="51" t="str">
        <x:v>2026-08-15</x:v>
      </x:c>
      <x:c r="R556" s="51" t="str">
        <x:v>C-开放路网计算；不是货车/危运合规路线</x:v>
      </x:c>
      <x:c r="S556" s="51" t="str">
        <x:v>https://routing.openstreetmap.de/routed-car/</x:v>
      </x:c>
    </x:row>
    <x:row r="557">
      <x:c r="A557" s="51" t="str">
        <x:v>A0553</x:v>
      </x:c>
      <x:c r="B557" s="51" t="str">
        <x:v>C05</x:v>
      </x:c>
      <x:c r="C557" s="51" t="str">
        <x:v>collection</x:v>
      </x:c>
      <x:c r="D557" s="51" t="str">
        <x:v>佛山虚拟回收/检测中心</x:v>
      </x:c>
      <x:c r="E557" s="51" t="str">
        <x:v>P15</x:v>
      </x:c>
      <x:c r="F557" s="51" t="str">
        <x:v>echelon</x:v>
      </x:c>
      <x:c r="G557" s="51" t="str">
        <x:v>绿循新能源科技（佛山）有限责任公司</x:v>
      </x:c>
      <x:c r="H557" s="52" t="n">
        <x:v>0</x:v>
      </x:c>
      <x:c r="I557" s="52" t="n">
        <x:v>0</x:v>
      </x:c>
      <x:c r="J557" s="52" t="n">
        <x:v>0</x:v>
      </x:c>
      <x:c r="K557" s="52" t="str">
        <x:f>IFERROR(I557/H557,"")</x:f>
      </x:c>
      <x:c r="L557" s="52" t="n">
        <x:v>300</x:v>
      </x:c>
      <x:c r="M557" s="65" t="n">
        <x:f>IF(H557&lt;=L557,1,0)</x:f>
        <x:v>1</x:v>
      </x:c>
      <x:c r="N557" s="65" t="n">
        <x:f>IF(I557&lt;=L557,1,0)</x:f>
        <x:v>1</x:v>
      </x:c>
      <x:c r="O557" s="51" t="str">
        <x:f>IF(M557=N557,"不变",IF(N557=1,"由禁变允","由允变禁"))</x:f>
        <x:v>不变</x:v>
      </x:c>
      <x:c r="P557" s="51" t="str">
        <x:v>OSRM driving/car</x:v>
      </x:c>
      <x:c r="Q557" s="51" t="str">
        <x:v>2026-08-15</x:v>
      </x:c>
      <x:c r="R557" s="51" t="str">
        <x:v>C-开放路网计算；不是货车/危运合规路线</x:v>
      </x:c>
      <x:c r="S557" s="51" t="str">
        <x:v>https://routing.openstreetmap.de/routed-car/</x:v>
      </x:c>
    </x:row>
    <x:row r="558">
      <x:c r="A558" s="51" t="str">
        <x:v>A0554</x:v>
      </x:c>
      <x:c r="B558" s="51" t="str">
        <x:v>C05</x:v>
      </x:c>
      <x:c r="C558" s="51" t="str">
        <x:v>collection</x:v>
      </x:c>
      <x:c r="D558" s="51" t="str">
        <x:v>佛山虚拟回收/检测中心</x:v>
      </x:c>
      <x:c r="E558" s="51" t="str">
        <x:v>P16</x:v>
      </x:c>
      <x:c r="F558" s="51" t="str">
        <x:v>echelon</x:v>
      </x:c>
      <x:c r="G558" s="51" t="str">
        <x:v>深圳艾云动智慧科技有限公司</x:v>
      </x:c>
      <x:c r="H558" s="52" t="n">
        <x:v>132.00168158093638</x:v>
      </x:c>
      <x:c r="I558" s="52" t="n">
        <x:v>142.9087</x:v>
      </x:c>
      <x:c r="J558" s="52" t="n">
        <x:v>101.89</x:v>
      </x:c>
      <x:c r="K558" s="52" t="n">
        <x:f>IFERROR(I558/H558,"")</x:f>
        <x:v>1.0826278748000344</x:v>
      </x:c>
      <x:c r="L558" s="52" t="n">
        <x:v>300</x:v>
      </x:c>
      <x:c r="M558" s="65" t="n">
        <x:f>IF(H558&lt;=L558,1,0)</x:f>
        <x:v>1</x:v>
      </x:c>
      <x:c r="N558" s="65" t="n">
        <x:f>IF(I558&lt;=L558,1,0)</x:f>
        <x:v>1</x:v>
      </x:c>
      <x:c r="O558" s="51" t="str">
        <x:f>IF(M558=N558,"不变",IF(N558=1,"由禁变允","由允变禁"))</x:f>
        <x:v>不变</x:v>
      </x:c>
      <x:c r="P558" s="51" t="str">
        <x:v>OSRM driving/car</x:v>
      </x:c>
      <x:c r="Q558" s="51" t="str">
        <x:v>2026-08-15</x:v>
      </x:c>
      <x:c r="R558" s="51" t="str">
        <x:v>C-开放路网计算；不是货车/危运合规路线</x:v>
      </x:c>
      <x:c r="S558" s="51" t="str">
        <x:v>https://routing.openstreetmap.de/routed-car/</x:v>
      </x:c>
    </x:row>
    <x:row r="559">
      <x:c r="A559" s="51" t="str">
        <x:v>A0555</x:v>
      </x:c>
      <x:c r="B559" s="51" t="str">
        <x:v>C05</x:v>
      </x:c>
      <x:c r="C559" s="51" t="str">
        <x:v>collection</x:v>
      </x:c>
      <x:c r="D559" s="51" t="str">
        <x:v>佛山虚拟回收/检测中心</x:v>
      </x:c>
      <x:c r="E559" s="51" t="str">
        <x:v>P17</x:v>
      </x:c>
      <x:c r="F559" s="51" t="str">
        <x:v>echelon</x:v>
      </x:c>
      <x:c r="G559" s="51" t="str">
        <x:v>深圳市荣高晟新能源科技有限公司</x:v>
      </x:c>
      <x:c r="H559" s="52" t="n">
        <x:v>132.00168158093638</x:v>
      </x:c>
      <x:c r="I559" s="52" t="n">
        <x:v>142.9087</x:v>
      </x:c>
      <x:c r="J559" s="52" t="n">
        <x:v>101.89</x:v>
      </x:c>
      <x:c r="K559" s="52" t="n">
        <x:f>IFERROR(I559/H559,"")</x:f>
        <x:v>1.0826278748000344</x:v>
      </x:c>
      <x:c r="L559" s="52" t="n">
        <x:v>300</x:v>
      </x:c>
      <x:c r="M559" s="65" t="n">
        <x:f>IF(H559&lt;=L559,1,0)</x:f>
        <x:v>1</x:v>
      </x:c>
      <x:c r="N559" s="65" t="n">
        <x:f>IF(I559&lt;=L559,1,0)</x:f>
        <x:v>1</x:v>
      </x:c>
      <x:c r="O559" s="51" t="str">
        <x:f>IF(M559=N559,"不变",IF(N559=1,"由禁变允","由允变禁"))</x:f>
        <x:v>不变</x:v>
      </x:c>
      <x:c r="P559" s="51" t="str">
        <x:v>OSRM driving/car</x:v>
      </x:c>
      <x:c r="Q559" s="51" t="str">
        <x:v>2026-08-15</x:v>
      </x:c>
      <x:c r="R559" s="51" t="str">
        <x:v>C-开放路网计算；不是货车/危运合规路线</x:v>
      </x:c>
      <x:c r="S559" s="51" t="str">
        <x:v>https://routing.openstreetmap.de/routed-car/</x:v>
      </x:c>
    </x:row>
    <x:row r="560">
      <x:c r="A560" s="51" t="str">
        <x:v>A0556</x:v>
      </x:c>
      <x:c r="B560" s="51" t="str">
        <x:v>C05</x:v>
      </x:c>
      <x:c r="C560" s="51" t="str">
        <x:v>collection</x:v>
      </x:c>
      <x:c r="D560" s="51" t="str">
        <x:v>佛山虚拟回收/检测中心</x:v>
      </x:c>
      <x:c r="E560" s="51" t="str">
        <x:v>P18</x:v>
      </x:c>
      <x:c r="F560" s="51" t="str">
        <x:v>echelon</x:v>
      </x:c>
      <x:c r="G560" s="51" t="str">
        <x:v>中商锂新能源科技（惠州）有限公司</x:v>
      </x:c>
      <x:c r="H560" s="52" t="n">
        <x:v>159.63127925962104</x:v>
      </x:c>
      <x:c r="I560" s="52" t="n">
        <x:v>157.8114</x:v>
      </x:c>
      <x:c r="J560" s="52" t="n">
        <x:v>117.81333333333333</x:v>
      </x:c>
      <x:c r="K560" s="52" t="n">
        <x:f>IFERROR(I560/H560,"")</x:f>
        <x:v>0.9885994820810698</x:v>
      </x:c>
      <x:c r="L560" s="52" t="n">
        <x:v>300</x:v>
      </x:c>
      <x:c r="M560" s="65" t="n">
        <x:f>IF(H560&lt;=L560,1,0)</x:f>
        <x:v>1</x:v>
      </x:c>
      <x:c r="N560" s="65" t="n">
        <x:f>IF(I560&lt;=L560,1,0)</x:f>
        <x:v>1</x:v>
      </x:c>
      <x:c r="O560" s="51" t="str">
        <x:f>IF(M560=N560,"不变",IF(N560=1,"由禁变允","由允变禁"))</x:f>
        <x:v>不变</x:v>
      </x:c>
      <x:c r="P560" s="51" t="str">
        <x:v>OSRM driving/car</x:v>
      </x:c>
      <x:c r="Q560" s="51" t="str">
        <x:v>2026-08-15</x:v>
      </x:c>
      <x:c r="R560" s="51" t="str">
        <x:v>C-开放路网计算；不是货车/危运合规路线</x:v>
      </x:c>
      <x:c r="S560" s="51" t="str">
        <x:v>https://routing.openstreetmap.de/routed-car/</x:v>
      </x:c>
    </x:row>
    <x:row r="561">
      <x:c r="A561" s="51" t="str">
        <x:v>A0557</x:v>
      </x:c>
      <x:c r="B561" s="51" t="str">
        <x:v>C05</x:v>
      </x:c>
      <x:c r="C561" s="51" t="str">
        <x:v>collection</x:v>
      </x:c>
      <x:c r="D561" s="51" t="str">
        <x:v>佛山虚拟回收/检测中心</x:v>
      </x:c>
      <x:c r="E561" s="51" t="str">
        <x:v>P19</x:v>
      </x:c>
      <x:c r="F561" s="51" t="str">
        <x:v>recycling</x:v>
      </x:c>
      <x:c r="G561" s="51" t="str">
        <x:v>广东盛祥新材料科技有限公司</x:v>
      </x:c>
      <x:c r="H561" s="52" t="n">
        <x:v>255.76122145140755</x:v>
      </x:c>
      <x:c r="I561" s="52" t="n">
        <x:v>255.2269</x:v>
      </x:c>
      <x:c r="J561" s="52" t="n">
        <x:v>186.15666666666667</x:v>
      </x:c>
      <x:c r="K561" s="52" t="n">
        <x:f>IFERROR(I561/H561,"")</x:f>
        <x:v>0.9979108582279387</x:v>
      </x:c>
      <x:c r="L561" s="52" t="n">
        <x:v>400</x:v>
      </x:c>
      <x:c r="M561" s="65" t="n">
        <x:f>IF(H561&lt;=L561,1,0)</x:f>
        <x:v>1</x:v>
      </x:c>
      <x:c r="N561" s="65" t="n">
        <x:f>IF(I561&lt;=L561,1,0)</x:f>
        <x:v>1</x:v>
      </x:c>
      <x:c r="O561" s="51" t="str">
        <x:f>IF(M561=N561,"不变",IF(N561=1,"由禁变允","由允变禁"))</x:f>
        <x:v>不变</x:v>
      </x:c>
      <x:c r="P561" s="51" t="str">
        <x:v>OSRM driving/car</x:v>
      </x:c>
      <x:c r="Q561" s="51" t="str">
        <x:v>2026-08-15</x:v>
      </x:c>
      <x:c r="R561" s="51" t="str">
        <x:v>C-开放路网计算；不是货车/危运合规路线</x:v>
      </x:c>
      <x:c r="S561" s="51" t="str">
        <x:v>https://routing.openstreetmap.de/routed-car/</x:v>
      </x:c>
    </x:row>
    <x:row r="562">
      <x:c r="A562" s="51" t="str">
        <x:v>A0558</x:v>
      </x:c>
      <x:c r="B562" s="51" t="str">
        <x:v>C05</x:v>
      </x:c>
      <x:c r="C562" s="51" t="str">
        <x:v>collection</x:v>
      </x:c>
      <x:c r="D562" s="51" t="str">
        <x:v>佛山虚拟回收/检测中心</x:v>
      </x:c>
      <x:c r="E562" s="51" t="str">
        <x:v>P20E</x:v>
      </x:c>
      <x:c r="F562" s="51" t="str">
        <x:v>echelon</x:v>
      </x:c>
      <x:c r="G562" s="51" t="str">
        <x:v>广东金晟新能源股份有限公司（梯次功能）</x:v>
      </x:c>
      <x:c r="H562" s="52" t="n">
        <x:v>80.57782241114403</x:v>
      </x:c>
      <x:c r="I562" s="52" t="n">
        <x:v>85.2239</x:v>
      </x:c>
      <x:c r="J562" s="52" t="n">
        <x:v>70.57333333333332</x:v>
      </x:c>
      <x:c r="K562" s="52" t="n">
        <x:f>IFERROR(I562/H562,"")</x:f>
        <x:v>1.0576595079121103</x:v>
      </x:c>
      <x:c r="L562" s="52" t="n">
        <x:v>300</x:v>
      </x:c>
      <x:c r="M562" s="65" t="n">
        <x:f>IF(H562&lt;=L562,1,0)</x:f>
        <x:v>1</x:v>
      </x:c>
      <x:c r="N562" s="65" t="n">
        <x:f>IF(I562&lt;=L562,1,0)</x:f>
        <x:v>1</x:v>
      </x:c>
      <x:c r="O562" s="51" t="str">
        <x:f>IF(M562=N562,"不变",IF(N562=1,"由禁变允","由允变禁"))</x:f>
        <x:v>不变</x:v>
      </x:c>
      <x:c r="P562" s="51" t="str">
        <x:v>OSRM driving/car</x:v>
      </x:c>
      <x:c r="Q562" s="51" t="str">
        <x:v>2026-08-15</x:v>
      </x:c>
      <x:c r="R562" s="51" t="str">
        <x:v>C-开放路网计算；不是货车/危运合规路线</x:v>
      </x:c>
      <x:c r="S562" s="51" t="str">
        <x:v>https://routing.openstreetmap.de/routed-car/</x:v>
      </x:c>
    </x:row>
    <x:row r="563">
      <x:c r="A563" s="51" t="str">
        <x:v>A0559</x:v>
      </x:c>
      <x:c r="B563" s="51" t="str">
        <x:v>C05</x:v>
      </x:c>
      <x:c r="C563" s="51" t="str">
        <x:v>collection</x:v>
      </x:c>
      <x:c r="D563" s="51" t="str">
        <x:v>佛山虚拟回收/检测中心</x:v>
      </x:c>
      <x:c r="E563" s="51" t="str">
        <x:v>P20R</x:v>
      </x:c>
      <x:c r="F563" s="51" t="str">
        <x:v>recycling</x:v>
      </x:c>
      <x:c r="G563" s="51" t="str">
        <x:v>广东金晟新能源股份有限公司（再生功能）</x:v>
      </x:c>
      <x:c r="H563" s="52" t="n">
        <x:v>80.57782241114403</x:v>
      </x:c>
      <x:c r="I563" s="52" t="n">
        <x:v>85.2239</x:v>
      </x:c>
      <x:c r="J563" s="52" t="n">
        <x:v>70.57333333333332</x:v>
      </x:c>
      <x:c r="K563" s="52" t="n">
        <x:f>IFERROR(I563/H563,"")</x:f>
        <x:v>1.0576595079121103</x:v>
      </x:c>
      <x:c r="L563" s="52" t="n">
        <x:v>400</x:v>
      </x:c>
      <x:c r="M563" s="65" t="n">
        <x:f>IF(H563&lt;=L563,1,0)</x:f>
        <x:v>1</x:v>
      </x:c>
      <x:c r="N563" s="65" t="n">
        <x:f>IF(I563&lt;=L563,1,0)</x:f>
        <x:v>1</x:v>
      </x:c>
      <x:c r="O563" s="51" t="str">
        <x:f>IF(M563=N563,"不变",IF(N563=1,"由禁变允","由允变禁"))</x:f>
        <x:v>不变</x:v>
      </x:c>
      <x:c r="P563" s="51" t="str">
        <x:v>OSRM driving/car</x:v>
      </x:c>
      <x:c r="Q563" s="51" t="str">
        <x:v>2026-08-15</x:v>
      </x:c>
      <x:c r="R563" s="51" t="str">
        <x:v>C-开放路网计算；不是货车/危运合规路线</x:v>
      </x:c>
      <x:c r="S563" s="51" t="str">
        <x:v>https://routing.openstreetmap.de/routed-car/</x:v>
      </x:c>
    </x:row>
    <x:row r="564">
      <x:c r="A564" s="51" t="str">
        <x:v>A0560</x:v>
      </x:c>
      <x:c r="B564" s="51" t="str">
        <x:v>C05</x:v>
      </x:c>
      <x:c r="C564" s="51" t="str">
        <x:v>collection</x:v>
      </x:c>
      <x:c r="D564" s="51" t="str">
        <x:v>佛山虚拟回收/检测中心</x:v>
      </x:c>
      <x:c r="E564" s="51" t="str">
        <x:v>P21E</x:v>
      </x:c>
      <x:c r="F564" s="51" t="str">
        <x:v>echelon</x:v>
      </x:c>
      <x:c r="G564" s="51" t="str">
        <x:v>广东瑞科美电源技术有限公司（梯次功能）</x:v>
      </x:c>
      <x:c r="H564" s="52" t="n">
        <x:v>0</x:v>
      </x:c>
      <x:c r="I564" s="52" t="n">
        <x:v>0</x:v>
      </x:c>
      <x:c r="J564" s="52" t="n">
        <x:v>0</x:v>
      </x:c>
      <x:c r="K564" s="52" t="str">
        <x:f>IFERROR(I564/H564,"")</x:f>
      </x:c>
      <x:c r="L564" s="52" t="n">
        <x:v>300</x:v>
      </x:c>
      <x:c r="M564" s="65" t="n">
        <x:f>IF(H564&lt;=L564,1,0)</x:f>
        <x:v>1</x:v>
      </x:c>
      <x:c r="N564" s="65" t="n">
        <x:f>IF(I564&lt;=L564,1,0)</x:f>
        <x:v>1</x:v>
      </x:c>
      <x:c r="O564" s="51" t="str">
        <x:f>IF(M564=N564,"不变",IF(N564=1,"由禁变允","由允变禁"))</x:f>
        <x:v>不变</x:v>
      </x:c>
      <x:c r="P564" s="51" t="str">
        <x:v>OSRM driving/car</x:v>
      </x:c>
      <x:c r="Q564" s="51" t="str">
        <x:v>2026-08-15</x:v>
      </x:c>
      <x:c r="R564" s="51" t="str">
        <x:v>C-开放路网计算；不是货车/危运合规路线</x:v>
      </x:c>
      <x:c r="S564" s="51" t="str">
        <x:v>https://routing.openstreetmap.de/routed-car/</x:v>
      </x:c>
    </x:row>
    <x:row r="565">
      <x:c r="A565" s="51" t="str">
        <x:v>A0561</x:v>
      </x:c>
      <x:c r="B565" s="51" t="str">
        <x:v>C05</x:v>
      </x:c>
      <x:c r="C565" s="51" t="str">
        <x:v>collection</x:v>
      </x:c>
      <x:c r="D565" s="51" t="str">
        <x:v>佛山虚拟回收/检测中心</x:v>
      </x:c>
      <x:c r="E565" s="51" t="str">
        <x:v>P21R</x:v>
      </x:c>
      <x:c r="F565" s="51" t="str">
        <x:v>recycling</x:v>
      </x:c>
      <x:c r="G565" s="51" t="str">
        <x:v>广东瑞科美电源技术有限公司（再生功能）</x:v>
      </x:c>
      <x:c r="H565" s="52" t="n">
        <x:v>0</x:v>
      </x:c>
      <x:c r="I565" s="52" t="n">
        <x:v>0</x:v>
      </x:c>
      <x:c r="J565" s="52" t="n">
        <x:v>0</x:v>
      </x:c>
      <x:c r="K565" s="52" t="str">
        <x:f>IFERROR(I565/H565,"")</x:f>
      </x:c>
      <x:c r="L565" s="52" t="n">
        <x:v>400</x:v>
      </x:c>
      <x:c r="M565" s="65" t="n">
        <x:f>IF(H565&lt;=L565,1,0)</x:f>
        <x:v>1</x:v>
      </x:c>
      <x:c r="N565" s="65" t="n">
        <x:f>IF(I565&lt;=L565,1,0)</x:f>
        <x:v>1</x:v>
      </x:c>
      <x:c r="O565" s="51" t="str">
        <x:f>IF(M565=N565,"不变",IF(N565=1,"由禁变允","由允变禁"))</x:f>
        <x:v>不变</x:v>
      </x:c>
      <x:c r="P565" s="51" t="str">
        <x:v>OSRM driving/car</x:v>
      </x:c>
      <x:c r="Q565" s="51" t="str">
        <x:v>2026-08-15</x:v>
      </x:c>
      <x:c r="R565" s="51" t="str">
        <x:v>C-开放路网计算；不是货车/危运合规路线</x:v>
      </x:c>
      <x:c r="S565" s="51" t="str">
        <x:v>https://routing.openstreetmap.de/routed-car/</x:v>
      </x:c>
    </x:row>
    <x:row r="566">
      <x:c r="A566" s="51" t="str">
        <x:v>A0562</x:v>
      </x:c>
      <x:c r="B566" s="51" t="str">
        <x:v>C06</x:v>
      </x:c>
      <x:c r="C566" s="51" t="str">
        <x:v>collection</x:v>
      </x:c>
      <x:c r="D566" s="51" t="str">
        <x:v>韶关虚拟回收/检测中心</x:v>
      </x:c>
      <x:c r="E566" s="51" t="str">
        <x:v>P01</x:v>
      </x:c>
      <x:c r="F566" s="51" t="str">
        <x:v>recycling</x:v>
      </x:c>
      <x:c r="G566" s="51" t="str">
        <x:v>汕尾比亚迪废旧动力电池回收项目</x:v>
      </x:c>
      <x:c r="H566" s="52" t="n">
        <x:v>325.1926122366196</x:v>
      </x:c>
      <x:c r="I566" s="52" t="n">
        <x:v>384.46259999999995</x:v>
      </x:c>
      <x:c r="J566" s="52" t="n">
        <x:v>282.59833333333336</x:v>
      </x:c>
      <x:c r="K566" s="52" t="n">
        <x:f>IFERROR(I566/H566,"")</x:f>
        <x:v>1.1822611754791459</x:v>
      </x:c>
      <x:c r="L566" s="52" t="n">
        <x:v>400</x:v>
      </x:c>
      <x:c r="M566" s="65" t="n">
        <x:f>IF(H566&lt;=L566,1,0)</x:f>
        <x:v>1</x:v>
      </x:c>
      <x:c r="N566" s="65" t="n">
        <x:f>IF(I566&lt;=L566,1,0)</x:f>
        <x:v>1</x:v>
      </x:c>
      <x:c r="O566" s="51" t="str">
        <x:f>IF(M566=N566,"不变",IF(N566=1,"由禁变允","由允变禁"))</x:f>
        <x:v>不变</x:v>
      </x:c>
      <x:c r="P566" s="51" t="str">
        <x:v>OSRM driving/car</x:v>
      </x:c>
      <x:c r="Q566" s="51" t="str">
        <x:v>2026-08-15</x:v>
      </x:c>
      <x:c r="R566" s="51" t="str">
        <x:v>C-开放路网计算；不是货车/危运合规路线</x:v>
      </x:c>
      <x:c r="S566" s="51" t="str">
        <x:v>https://routing.openstreetmap.de/routed-car/</x:v>
      </x:c>
    </x:row>
    <x:row r="567">
      <x:c r="A567" s="51" t="str">
        <x:v>A0563</x:v>
      </x:c>
      <x:c r="B567" s="51" t="str">
        <x:v>C06</x:v>
      </x:c>
      <x:c r="C567" s="51" t="str">
        <x:v>collection</x:v>
      </x:c>
      <x:c r="D567" s="51" t="str">
        <x:v>韶关虚拟回收/检测中心</x:v>
      </x:c>
      <x:c r="E567" s="51" t="str">
        <x:v>P02E</x:v>
      </x:c>
      <x:c r="F567" s="51" t="str">
        <x:v>echelon</x:v>
      </x:c>
      <x:c r="G567" s="51" t="str">
        <x:v>广东光华科技股份有限公司（梯次功能）</x:v>
      </x:c>
      <x:c r="H567" s="52" t="n">
        <x:v>400.29631081436423</x:v>
      </x:c>
      <x:c r="I567" s="52" t="n">
        <x:v>433.9995</x:v>
      </x:c>
      <x:c r="J567" s="52" t="n">
        <x:v>324.35</x:v>
      </x:c>
      <x:c r="K567" s="52" t="n">
        <x:f>IFERROR(I567/H567,"")</x:f>
        <x:v>1.0841956027950141</x:v>
      </x:c>
      <x:c r="L567" s="52" t="n">
        <x:v>300</x:v>
      </x:c>
      <x:c r="M567" s="65" t="n">
        <x:f>IF(H567&lt;=L567,1,0)</x:f>
        <x:v>0</x:v>
      </x:c>
      <x:c r="N567" s="65" t="n">
        <x:f>IF(I567&lt;=L567,1,0)</x:f>
        <x:v>0</x:v>
      </x:c>
      <x:c r="O567" s="51" t="str">
        <x:f>IF(M567=N567,"不变",IF(N567=1,"由禁变允","由允变禁"))</x:f>
        <x:v>不变</x:v>
      </x:c>
      <x:c r="P567" s="51" t="str">
        <x:v>OSRM driving/car</x:v>
      </x:c>
      <x:c r="Q567" s="51" t="str">
        <x:v>2026-08-15</x:v>
      </x:c>
      <x:c r="R567" s="51" t="str">
        <x:v>C-开放路网计算；不是货车/危运合规路线</x:v>
      </x:c>
      <x:c r="S567" s="51" t="str">
        <x:v>https://routing.openstreetmap.de/routed-car/</x:v>
      </x:c>
    </x:row>
    <x:row r="568">
      <x:c r="A568" s="51" t="str">
        <x:v>A0564</x:v>
      </x:c>
      <x:c r="B568" s="51" t="str">
        <x:v>C06</x:v>
      </x:c>
      <x:c r="C568" s="51" t="str">
        <x:v>collection</x:v>
      </x:c>
      <x:c r="D568" s="51" t="str">
        <x:v>韶关虚拟回收/检测中心</x:v>
      </x:c>
      <x:c r="E568" s="51" t="str">
        <x:v>P02R</x:v>
      </x:c>
      <x:c r="F568" s="51" t="str">
        <x:v>recycling</x:v>
      </x:c>
      <x:c r="G568" s="51" t="str">
        <x:v>广东光华科技股份有限公司（再生功能）</x:v>
      </x:c>
      <x:c r="H568" s="52" t="n">
        <x:v>400.29631081436423</x:v>
      </x:c>
      <x:c r="I568" s="52" t="n">
        <x:v>433.9995</x:v>
      </x:c>
      <x:c r="J568" s="52" t="n">
        <x:v>324.35</x:v>
      </x:c>
      <x:c r="K568" s="52" t="n">
        <x:f>IFERROR(I568/H568,"")</x:f>
        <x:v>1.0841956027950141</x:v>
      </x:c>
      <x:c r="L568" s="52" t="n">
        <x:v>400</x:v>
      </x:c>
      <x:c r="M568" s="65" t="n">
        <x:f>IF(H568&lt;=L568,1,0)</x:f>
        <x:v>0</x:v>
      </x:c>
      <x:c r="N568" s="65" t="n">
        <x:f>IF(I568&lt;=L568,1,0)</x:f>
        <x:v>0</x:v>
      </x:c>
      <x:c r="O568" s="51" t="str">
        <x:f>IF(M568=N568,"不变",IF(N568=1,"由禁变允","由允变禁"))</x:f>
        <x:v>不变</x:v>
      </x:c>
      <x:c r="P568" s="51" t="str">
        <x:v>OSRM driving/car</x:v>
      </x:c>
      <x:c r="Q568" s="51" t="str">
        <x:v>2026-08-15</x:v>
      </x:c>
      <x:c r="R568" s="51" t="str">
        <x:v>C-开放路网计算；不是货车/危运合规路线</x:v>
      </x:c>
      <x:c r="S568" s="51" t="str">
        <x:v>https://routing.openstreetmap.de/routed-car/</x:v>
      </x:c>
    </x:row>
    <x:row r="569">
      <x:c r="A569" s="51" t="str">
        <x:v>A0565</x:v>
      </x:c>
      <x:c r="B569" s="51" t="str">
        <x:v>C06</x:v>
      </x:c>
      <x:c r="C569" s="51" t="str">
        <x:v>collection</x:v>
      </x:c>
      <x:c r="D569" s="51" t="str">
        <x:v>韶关虚拟回收/检测中心</x:v>
      </x:c>
      <x:c r="E569" s="51" t="str">
        <x:v>P03</x:v>
      </x:c>
      <x:c r="F569" s="51" t="str">
        <x:v>echelon</x:v>
      </x:c>
      <x:c r="G569" s="51" t="str">
        <x:v>深圳深汕特别合作区乾泰技术有限公司</x:v>
      </x:c>
      <x:c r="H569" s="52" t="n">
        <x:v>318.73774688823676</x:v>
      </x:c>
      <x:c r="I569" s="52" t="n">
        <x:v>398.1455</x:v>
      </x:c>
      <x:c r="J569" s="52" t="n">
        <x:v>310.8383333333333</x:v>
      </x:c>
      <x:c r="K569" s="52" t="n">
        <x:f>IFERROR(I569/H569,"")</x:f>
        <x:v>1.2491319396180807</x:v>
      </x:c>
      <x:c r="L569" s="52" t="n">
        <x:v>300</x:v>
      </x:c>
      <x:c r="M569" s="65" t="n">
        <x:f>IF(H569&lt;=L569,1,0)</x:f>
        <x:v>0</x:v>
      </x:c>
      <x:c r="N569" s="65" t="n">
        <x:f>IF(I569&lt;=L569,1,0)</x:f>
        <x:v>0</x:v>
      </x:c>
      <x:c r="O569" s="51" t="str">
        <x:f>IF(M569=N569,"不变",IF(N569=1,"由禁变允","由允变禁"))</x:f>
        <x:v>不变</x:v>
      </x:c>
      <x:c r="P569" s="51" t="str">
        <x:v>OSRM driving/car</x:v>
      </x:c>
      <x:c r="Q569" s="51" t="str">
        <x:v>2026-08-15</x:v>
      </x:c>
      <x:c r="R569" s="51" t="str">
        <x:v>C-开放路网计算；不是货车/危运合规路线</x:v>
      </x:c>
      <x:c r="S569" s="51" t="str">
        <x:v>https://routing.openstreetmap.de/routed-car/</x:v>
      </x:c>
    </x:row>
    <x:row r="570">
      <x:c r="A570" s="51" t="str">
        <x:v>A0566</x:v>
      </x:c>
      <x:c r="B570" s="51" t="str">
        <x:v>C06</x:v>
      </x:c>
      <x:c r="C570" s="51" t="str">
        <x:v>collection</x:v>
      </x:c>
      <x:c r="D570" s="51" t="str">
        <x:v>韶关虚拟回收/检测中心</x:v>
      </x:c>
      <x:c r="E570" s="51" t="str">
        <x:v>P04</x:v>
      </x:c>
      <x:c r="F570" s="51" t="str">
        <x:v>echelon</x:v>
      </x:c>
      <x:c r="G570" s="51" t="str">
        <x:v>珠海中力新能源科技有限公司</x:v>
      </x:c>
      <x:c r="H570" s="52" t="n">
        <x:v>342.51517338462924</x:v>
      </x:c>
      <x:c r="I570" s="52" t="n">
        <x:v>357.90540000000004</x:v>
      </x:c>
      <x:c r="J570" s="52" t="n">
        <x:v>254.56</x:v>
      </x:c>
      <x:c r="K570" s="52" t="n">
        <x:f>IFERROR(I570/H570,"")</x:f>
        <x:v>1.044932977605895</x:v>
      </x:c>
      <x:c r="L570" s="52" t="n">
        <x:v>300</x:v>
      </x:c>
      <x:c r="M570" s="65" t="n">
        <x:f>IF(H570&lt;=L570,1,0)</x:f>
        <x:v>0</x:v>
      </x:c>
      <x:c r="N570" s="65" t="n">
        <x:f>IF(I570&lt;=L570,1,0)</x:f>
        <x:v>0</x:v>
      </x:c>
      <x:c r="O570" s="51" t="str">
        <x:f>IF(M570=N570,"不变",IF(N570=1,"由禁变允","由允变禁"))</x:f>
        <x:v>不变</x:v>
      </x:c>
      <x:c r="P570" s="51" t="str">
        <x:v>OSRM driving/car</x:v>
      </x:c>
      <x:c r="Q570" s="51" t="str">
        <x:v>2026-08-15</x:v>
      </x:c>
      <x:c r="R570" s="51" t="str">
        <x:v>C-开放路网计算；不是货车/危运合规路线</x:v>
      </x:c>
      <x:c r="S570" s="51" t="str">
        <x:v>https://routing.openstreetmap.de/routed-car/</x:v>
      </x:c>
    </x:row>
    <x:row r="571">
      <x:c r="A571" s="51" t="str">
        <x:v>A0567</x:v>
      </x:c>
      <x:c r="B571" s="51" t="str">
        <x:v>C06</x:v>
      </x:c>
      <x:c r="C571" s="51" t="str">
        <x:v>collection</x:v>
      </x:c>
      <x:c r="D571" s="51" t="str">
        <x:v>韶关虚拟回收/检测中心</x:v>
      </x:c>
      <x:c r="E571" s="51" t="str">
        <x:v>P05</x:v>
      </x:c>
      <x:c r="F571" s="51" t="str">
        <x:v>echelon</x:v>
      </x:c>
      <x:c r="G571" s="51" t="str">
        <x:v>惠州市恒创睿能环保科技有限公司</x:v>
      </x:c>
      <x:c r="H571" s="52" t="n">
        <x:v>240.57838750981594</x:v>
      </x:c>
      <x:c r="I571" s="52" t="n">
        <x:v>272.4595</x:v>
      </x:c>
      <x:c r="J571" s="52" t="n">
        <x:v>209.82999999999998</x:v>
      </x:c>
      <x:c r="K571" s="52" t="n">
        <x:f>IFERROR(I571/H571,"")</x:f>
        <x:v>1.1325186057657954</x:v>
      </x:c>
      <x:c r="L571" s="52" t="n">
        <x:v>300</x:v>
      </x:c>
      <x:c r="M571" s="65" t="n">
        <x:f>IF(H571&lt;=L571,1,0)</x:f>
        <x:v>1</x:v>
      </x:c>
      <x:c r="N571" s="65" t="n">
        <x:f>IF(I571&lt;=L571,1,0)</x:f>
        <x:v>1</x:v>
      </x:c>
      <x:c r="O571" s="51" t="str">
        <x:f>IF(M571=N571,"不变",IF(N571=1,"由禁变允","由允变禁"))</x:f>
        <x:v>不变</x:v>
      </x:c>
      <x:c r="P571" s="51" t="str">
        <x:v>OSRM driving/car</x:v>
      </x:c>
      <x:c r="Q571" s="51" t="str">
        <x:v>2026-08-15</x:v>
      </x:c>
      <x:c r="R571" s="51" t="str">
        <x:v>C-开放路网计算；不是货车/危运合规路线</x:v>
      </x:c>
      <x:c r="S571" s="51" t="str">
        <x:v>https://routing.openstreetmap.de/routed-car/</x:v>
      </x:c>
    </x:row>
    <x:row r="572">
      <x:c r="A572" s="51" t="str">
        <x:v>A0568</x:v>
      </x:c>
      <x:c r="B572" s="51" t="str">
        <x:v>C06</x:v>
      </x:c>
      <x:c r="C572" s="51" t="str">
        <x:v>collection</x:v>
      </x:c>
      <x:c r="D572" s="51" t="str">
        <x:v>韶关虚拟回收/检测中心</x:v>
      </x:c>
      <x:c r="E572" s="51" t="str">
        <x:v>P06</x:v>
      </x:c>
      <x:c r="F572" s="51" t="str">
        <x:v>echelon</x:v>
      </x:c>
      <x:c r="G572" s="51" t="str">
        <x:v>江门市朗达锂电池有限公司</x:v>
      </x:c>
      <x:c r="H572" s="52" t="n">
        <x:v>313.42946331342586</x:v>
      </x:c>
      <x:c r="I572" s="52" t="n">
        <x:v>314.6585</x:v>
      </x:c>
      <x:c r="J572" s="52" t="n">
        <x:v>229.18666666666667</x:v>
      </x:c>
      <x:c r="K572" s="52" t="n">
        <x:f>IFERROR(I572/H572,"")</x:f>
        <x:v>1.0039212544780614</x:v>
      </x:c>
      <x:c r="L572" s="52" t="n">
        <x:v>300</x:v>
      </x:c>
      <x:c r="M572" s="65" t="n">
        <x:f>IF(H572&lt;=L572,1,0)</x:f>
        <x:v>0</x:v>
      </x:c>
      <x:c r="N572" s="65" t="n">
        <x:f>IF(I572&lt;=L572,1,0)</x:f>
        <x:v>0</x:v>
      </x:c>
      <x:c r="O572" s="51" t="str">
        <x:f>IF(M572=N572,"不变",IF(N572=1,"由禁变允","由允变禁"))</x:f>
        <x:v>不变</x:v>
      </x:c>
      <x:c r="P572" s="51" t="str">
        <x:v>OSRM driving/car</x:v>
      </x:c>
      <x:c r="Q572" s="51" t="str">
        <x:v>2026-08-15</x:v>
      </x:c>
      <x:c r="R572" s="51" t="str">
        <x:v>C-开放路网计算；不是货车/危运合规路线</x:v>
      </x:c>
      <x:c r="S572" s="51" t="str">
        <x:v>https://routing.openstreetmap.de/routed-car/</x:v>
      </x:c>
    </x:row>
    <x:row r="573">
      <x:c r="A573" s="51" t="str">
        <x:v>A0569</x:v>
      </x:c>
      <x:c r="B573" s="51" t="str">
        <x:v>C06</x:v>
      </x:c>
      <x:c r="C573" s="51" t="str">
        <x:v>collection</x:v>
      </x:c>
      <x:c r="D573" s="51" t="str">
        <x:v>韶关虚拟回收/检测中心</x:v>
      </x:c>
      <x:c r="E573" s="51" t="str">
        <x:v>P07</x:v>
      </x:c>
      <x:c r="F573" s="51" t="str">
        <x:v>echelon</x:v>
      </x:c>
      <x:c r="G573" s="51" t="str">
        <x:v>广东迪度新能源有限公司</x:v>
      </x:c>
      <x:c r="H573" s="52" t="n">
        <x:v>242.01314694033505</x:v>
      </x:c>
      <x:c r="I573" s="52" t="n">
        <x:v>272.5831</x:v>
      </x:c>
      <x:c r="J573" s="52" t="n">
        <x:v>194.70166666666668</x:v>
      </x:c>
      <x:c r="K573" s="52" t="n">
        <x:f>IFERROR(I573/H573,"")</x:f>
        <x:v>1.1263152578533329</x:v>
      </x:c>
      <x:c r="L573" s="52" t="n">
        <x:v>300</x:v>
      </x:c>
      <x:c r="M573" s="65" t="n">
        <x:f>IF(H573&lt;=L573,1,0)</x:f>
        <x:v>1</x:v>
      </x:c>
      <x:c r="N573" s="65" t="n">
        <x:f>IF(I573&lt;=L573,1,0)</x:f>
        <x:v>1</x:v>
      </x:c>
      <x:c r="O573" s="51" t="str">
        <x:f>IF(M573=N573,"不变",IF(N573=1,"由禁变允","由允变禁"))</x:f>
        <x:v>不变</x:v>
      </x:c>
      <x:c r="P573" s="51" t="str">
        <x:v>OSRM driving/car</x:v>
      </x:c>
      <x:c r="Q573" s="51" t="str">
        <x:v>2026-08-15</x:v>
      </x:c>
      <x:c r="R573" s="51" t="str">
        <x:v>C-开放路网计算；不是货车/危运合规路线</x:v>
      </x:c>
      <x:c r="S573" s="51" t="str">
        <x:v>https://routing.openstreetmap.de/routed-car/</x:v>
      </x:c>
    </x:row>
    <x:row r="574">
      <x:c r="A574" s="51" t="str">
        <x:v>A0570</x:v>
      </x:c>
      <x:c r="B574" s="51" t="str">
        <x:v>C06</x:v>
      </x:c>
      <x:c r="C574" s="51" t="str">
        <x:v>collection</x:v>
      </x:c>
      <x:c r="D574" s="51" t="str">
        <x:v>韶关虚拟回收/检测中心</x:v>
      </x:c>
      <x:c r="E574" s="51" t="str">
        <x:v>P08</x:v>
      </x:c>
      <x:c r="F574" s="51" t="str">
        <x:v>echelon</x:v>
      </x:c>
      <x:c r="G574" s="51" t="str">
        <x:v>东莞市博森新能源有限公司</x:v>
      </x:c>
      <x:c r="H574" s="52" t="n">
        <x:v>242.01314694033505</x:v>
      </x:c>
      <x:c r="I574" s="52" t="n">
        <x:v>272.5831</x:v>
      </x:c>
      <x:c r="J574" s="52" t="n">
        <x:v>194.70166666666668</x:v>
      </x:c>
      <x:c r="K574" s="52" t="n">
        <x:f>IFERROR(I574/H574,"")</x:f>
        <x:v>1.1263152578533329</x:v>
      </x:c>
      <x:c r="L574" s="52" t="n">
        <x:v>300</x:v>
      </x:c>
      <x:c r="M574" s="65" t="n">
        <x:f>IF(H574&lt;=L574,1,0)</x:f>
        <x:v>1</x:v>
      </x:c>
      <x:c r="N574" s="65" t="n">
        <x:f>IF(I574&lt;=L574,1,0)</x:f>
        <x:v>1</x:v>
      </x:c>
      <x:c r="O574" s="51" t="str">
        <x:f>IF(M574=N574,"不变",IF(N574=1,"由禁变允","由允变禁"))</x:f>
        <x:v>不变</x:v>
      </x:c>
      <x:c r="P574" s="51" t="str">
        <x:v>OSRM driving/car</x:v>
      </x:c>
      <x:c r="Q574" s="51" t="str">
        <x:v>2026-08-15</x:v>
      </x:c>
      <x:c r="R574" s="51" t="str">
        <x:v>C-开放路网计算；不是货车/危运合规路线</x:v>
      </x:c>
      <x:c r="S574" s="51" t="str">
        <x:v>https://routing.openstreetmap.de/routed-car/</x:v>
      </x:c>
    </x:row>
    <x:row r="575">
      <x:c r="A575" s="51" t="str">
        <x:v>A0571</x:v>
      </x:c>
      <x:c r="B575" s="51" t="str">
        <x:v>C06</x:v>
      </x:c>
      <x:c r="C575" s="51" t="str">
        <x:v>collection</x:v>
      </x:c>
      <x:c r="D575" s="51" t="str">
        <x:v>韶关虚拟回收/检测中心</x:v>
      </x:c>
      <x:c r="E575" s="51" t="str">
        <x:v>P09</x:v>
      </x:c>
      <x:c r="F575" s="51" t="str">
        <x:v>echelon</x:v>
      </x:c>
      <x:c r="G575" s="51" t="str">
        <x:v>广东宇阳新能源有限公司</x:v>
      </x:c>
      <x:c r="H575" s="52" t="n">
        <x:v>242.01314694033505</x:v>
      </x:c>
      <x:c r="I575" s="52" t="n">
        <x:v>272.5831</x:v>
      </x:c>
      <x:c r="J575" s="52" t="n">
        <x:v>194.70166666666668</x:v>
      </x:c>
      <x:c r="K575" s="52" t="n">
        <x:f>IFERROR(I575/H575,"")</x:f>
        <x:v>1.1263152578533329</x:v>
      </x:c>
      <x:c r="L575" s="52" t="n">
        <x:v>300</x:v>
      </x:c>
      <x:c r="M575" s="65" t="n">
        <x:f>IF(H575&lt;=L575,1,0)</x:f>
        <x:v>1</x:v>
      </x:c>
      <x:c r="N575" s="65" t="n">
        <x:f>IF(I575&lt;=L575,1,0)</x:f>
        <x:v>1</x:v>
      </x:c>
      <x:c r="O575" s="51" t="str">
        <x:f>IF(M575=N575,"不变",IF(N575=1,"由禁变允","由允变禁"))</x:f>
        <x:v>不变</x:v>
      </x:c>
      <x:c r="P575" s="51" t="str">
        <x:v>OSRM driving/car</x:v>
      </x:c>
      <x:c r="Q575" s="51" t="str">
        <x:v>2026-08-15</x:v>
      </x:c>
      <x:c r="R575" s="51" t="str">
        <x:v>C-开放路网计算；不是货车/危运合规路线</x:v>
      </x:c>
      <x:c r="S575" s="51" t="str">
        <x:v>https://routing.openstreetmap.de/routed-car/</x:v>
      </x:c>
    </x:row>
    <x:row r="576">
      <x:c r="A576" s="51" t="str">
        <x:v>A0572</x:v>
      </x:c>
      <x:c r="B576" s="51" t="str">
        <x:v>C06</x:v>
      </x:c>
      <x:c r="C576" s="51" t="str">
        <x:v>collection</x:v>
      </x:c>
      <x:c r="D576" s="51" t="str">
        <x:v>韶关虚拟回收/检测中心</x:v>
      </x:c>
      <x:c r="E576" s="51" t="str">
        <x:v>P10</x:v>
      </x:c>
      <x:c r="F576" s="51" t="str">
        <x:v>echelon</x:v>
      </x:c>
      <x:c r="G576" s="51" t="str">
        <x:v>广州广汽商贸再生资源有限公司</x:v>
      </x:c>
      <x:c r="H576" s="52" t="n">
        <x:v>237.03724939624288</x:v>
      </x:c>
      <x:c r="I576" s="52" t="n">
        <x:v>236.2303</x:v>
      </x:c>
      <x:c r="J576" s="52" t="n">
        <x:v>169.85</x:v>
      </x:c>
      <x:c r="K576" s="52" t="n">
        <x:f>IFERROR(I576/H576,"")</x:f>
        <x:v>0.9965956852844932</x:v>
      </x:c>
      <x:c r="L576" s="52" t="n">
        <x:v>300</x:v>
      </x:c>
      <x:c r="M576" s="65" t="n">
        <x:f>IF(H576&lt;=L576,1,0)</x:f>
        <x:v>1</x:v>
      </x:c>
      <x:c r="N576" s="65" t="n">
        <x:f>IF(I576&lt;=L576,1,0)</x:f>
        <x:v>1</x:v>
      </x:c>
      <x:c r="O576" s="51" t="str">
        <x:f>IF(M576=N576,"不变",IF(N576=1,"由禁变允","由允变禁"))</x:f>
        <x:v>不变</x:v>
      </x:c>
      <x:c r="P576" s="51" t="str">
        <x:v>OSRM driving/car</x:v>
      </x:c>
      <x:c r="Q576" s="51" t="str">
        <x:v>2026-08-15</x:v>
      </x:c>
      <x:c r="R576" s="51" t="str">
        <x:v>C-开放路网计算；不是货车/危运合规路线</x:v>
      </x:c>
      <x:c r="S576" s="51" t="str">
        <x:v>https://routing.openstreetmap.de/routed-car/</x:v>
      </x:c>
    </x:row>
    <x:row r="577">
      <x:c r="A577" s="51" t="str">
        <x:v>A0573</x:v>
      </x:c>
      <x:c r="B577" s="51" t="str">
        <x:v>C06</x:v>
      </x:c>
      <x:c r="C577" s="51" t="str">
        <x:v>collection</x:v>
      </x:c>
      <x:c r="D577" s="51" t="str">
        <x:v>韶关虚拟回收/检测中心</x:v>
      </x:c>
      <x:c r="E577" s="51" t="str">
        <x:v>P11</x:v>
      </x:c>
      <x:c r="F577" s="51" t="str">
        <x:v>echelon</x:v>
      </x:c>
      <x:c r="G577" s="51" t="str">
        <x:v>深圳市杰成镍钴新能源科技有限公司</x:v>
      </x:c>
      <x:c r="H577" s="52" t="n">
        <x:v>306.47442199910176</x:v>
      </x:c>
      <x:c r="I577" s="52" t="n">
        <x:v>338.1469</x:v>
      </x:c>
      <x:c r="J577" s="52" t="n">
        <x:v>236.02833333333334</x:v>
      </x:c>
      <x:c r="K577" s="52" t="n">
        <x:f>IFERROR(I577/H577,"")</x:f>
        <x:v>1.1033446047285183</x:v>
      </x:c>
      <x:c r="L577" s="52" t="n">
        <x:v>300</x:v>
      </x:c>
      <x:c r="M577" s="65" t="n">
        <x:f>IF(H577&lt;=L577,1,0)</x:f>
        <x:v>0</x:v>
      </x:c>
      <x:c r="N577" s="65" t="n">
        <x:f>IF(I577&lt;=L577,1,0)</x:f>
        <x:v>0</x:v>
      </x:c>
      <x:c r="O577" s="51" t="str">
        <x:f>IF(M577=N577,"不变",IF(N577=1,"由禁变允","由允变禁"))</x:f>
        <x:v>不变</x:v>
      </x:c>
      <x:c r="P577" s="51" t="str">
        <x:v>OSRM driving/car</x:v>
      </x:c>
      <x:c r="Q577" s="51" t="str">
        <x:v>2026-08-15</x:v>
      </x:c>
      <x:c r="R577" s="51" t="str">
        <x:v>C-开放路网计算；不是货车/危运合规路线</x:v>
      </x:c>
      <x:c r="S577" s="51" t="str">
        <x:v>https://routing.openstreetmap.de/routed-car/</x:v>
      </x:c>
    </x:row>
    <x:row r="578">
      <x:c r="A578" s="51" t="str">
        <x:v>A0574</x:v>
      </x:c>
      <x:c r="B578" s="51" t="str">
        <x:v>C06</x:v>
      </x:c>
      <x:c r="C578" s="51" t="str">
        <x:v>collection</x:v>
      </x:c>
      <x:c r="D578" s="51" t="str">
        <x:v>韶关虚拟回收/检测中心</x:v>
      </x:c>
      <x:c r="E578" s="51" t="str">
        <x:v>P12</x:v>
      </x:c>
      <x:c r="F578" s="51" t="str">
        <x:v>recycling</x:v>
      </x:c>
      <x:c r="G578" s="51" t="str">
        <x:v>江门市恒创睿能环保科技有限公司</x:v>
      </x:c>
      <x:c r="H578" s="52" t="n">
        <x:v>313.42946331342586</x:v>
      </x:c>
      <x:c r="I578" s="52" t="n">
        <x:v>314.6585</x:v>
      </x:c>
      <x:c r="J578" s="52" t="n">
        <x:v>229.18666666666667</x:v>
      </x:c>
      <x:c r="K578" s="52" t="n">
        <x:f>IFERROR(I578/H578,"")</x:f>
        <x:v>1.0039212544780614</x:v>
      </x:c>
      <x:c r="L578" s="52" t="n">
        <x:v>400</x:v>
      </x:c>
      <x:c r="M578" s="65" t="n">
        <x:f>IF(H578&lt;=L578,1,0)</x:f>
        <x:v>1</x:v>
      </x:c>
      <x:c r="N578" s="65" t="n">
        <x:f>IF(I578&lt;=L578,1,0)</x:f>
        <x:v>1</x:v>
      </x:c>
      <x:c r="O578" s="51" t="str">
        <x:f>IF(M578=N578,"不变",IF(N578=1,"由禁变允","由允变禁"))</x:f>
        <x:v>不变</x:v>
      </x:c>
      <x:c r="P578" s="51" t="str">
        <x:v>OSRM driving/car</x:v>
      </x:c>
      <x:c r="Q578" s="51" t="str">
        <x:v>2026-08-15</x:v>
      </x:c>
      <x:c r="R578" s="51" t="str">
        <x:v>C-开放路网计算；不是货车/危运合规路线</x:v>
      </x:c>
      <x:c r="S578" s="51" t="str">
        <x:v>https://routing.openstreetmap.de/routed-car/</x:v>
      </x:c>
    </x:row>
    <x:row r="579">
      <x:c r="A579" s="51" t="str">
        <x:v>A0575</x:v>
      </x:c>
      <x:c r="B579" s="51" t="str">
        <x:v>C06</x:v>
      </x:c>
      <x:c r="C579" s="51" t="str">
        <x:v>collection</x:v>
      </x:c>
      <x:c r="D579" s="51" t="str">
        <x:v>韶关虚拟回收/检测中心</x:v>
      </x:c>
      <x:c r="E579" s="51" t="str">
        <x:v>P13</x:v>
      </x:c>
      <x:c r="F579" s="51" t="str">
        <x:v>recycling</x:v>
      </x:c>
      <x:c r="G579" s="51" t="str">
        <x:v>广东佳纳能源科技有限公司</x:v>
      </x:c>
      <x:c r="H579" s="52" t="n">
        <x:v>179.19087548833554</x:v>
      </x:c>
      <x:c r="I579" s="52" t="n">
        <x:v>180.2101</x:v>
      </x:c>
      <x:c r="J579" s="52" t="n">
        <x:v>142.0883333333333</x:v>
      </x:c>
      <x:c r="K579" s="52" t="n">
        <x:f>IFERROR(I579/H579,"")</x:f>
        <x:v>1.005687926401871</x:v>
      </x:c>
      <x:c r="L579" s="52" t="n">
        <x:v>400</x:v>
      </x:c>
      <x:c r="M579" s="65" t="n">
        <x:f>IF(H579&lt;=L579,1,0)</x:f>
        <x:v>1</x:v>
      </x:c>
      <x:c r="N579" s="65" t="n">
        <x:f>IF(I579&lt;=L579,1,0)</x:f>
        <x:v>1</x:v>
      </x:c>
      <x:c r="O579" s="51" t="str">
        <x:f>IF(M579=N579,"不变",IF(N579=1,"由禁变允","由允变禁"))</x:f>
        <x:v>不变</x:v>
      </x:c>
      <x:c r="P579" s="51" t="str">
        <x:v>OSRM driving/car</x:v>
      </x:c>
      <x:c r="Q579" s="51" t="str">
        <x:v>2026-08-15</x:v>
      </x:c>
      <x:c r="R579" s="51" t="str">
        <x:v>C-开放路网计算；不是货车/危运合规路线</x:v>
      </x:c>
      <x:c r="S579" s="51" t="str">
        <x:v>https://routing.openstreetmap.de/routed-car/</x:v>
      </x:c>
    </x:row>
    <x:row r="580">
      <x:c r="A580" s="51" t="str">
        <x:v>A0576</x:v>
      </x:c>
      <x:c r="B580" s="51" t="str">
        <x:v>C06</x:v>
      </x:c>
      <x:c r="C580" s="51" t="str">
        <x:v>collection</x:v>
      </x:c>
      <x:c r="D580" s="51" t="str">
        <x:v>韶关虚拟回收/检测中心</x:v>
      </x:c>
      <x:c r="E580" s="51" t="str">
        <x:v>P14</x:v>
      </x:c>
      <x:c r="F580" s="51" t="str">
        <x:v>echelon</x:v>
      </x:c>
      <x:c r="G580" s="51" t="str">
        <x:v>格林美（深圳）循环科技有限公司</x:v>
      </x:c>
      <x:c r="H580" s="52" t="n">
        <x:v>306.47442199910176</x:v>
      </x:c>
      <x:c r="I580" s="52" t="n">
        <x:v>338.1469</x:v>
      </x:c>
      <x:c r="J580" s="52" t="n">
        <x:v>236.02833333333334</x:v>
      </x:c>
      <x:c r="K580" s="52" t="n">
        <x:f>IFERROR(I580/H580,"")</x:f>
        <x:v>1.1033446047285183</x:v>
      </x:c>
      <x:c r="L580" s="52" t="n">
        <x:v>300</x:v>
      </x:c>
      <x:c r="M580" s="65" t="n">
        <x:f>IF(H580&lt;=L580,1,0)</x:f>
        <x:v>0</x:v>
      </x:c>
      <x:c r="N580" s="65" t="n">
        <x:f>IF(I580&lt;=L580,1,0)</x:f>
        <x:v>0</x:v>
      </x:c>
      <x:c r="O580" s="51" t="str">
        <x:f>IF(M580=N580,"不变",IF(N580=1,"由禁变允","由允变禁"))</x:f>
        <x:v>不变</x:v>
      </x:c>
      <x:c r="P580" s="51" t="str">
        <x:v>OSRM driving/car</x:v>
      </x:c>
      <x:c r="Q580" s="51" t="str">
        <x:v>2026-08-15</x:v>
      </x:c>
      <x:c r="R580" s="51" t="str">
        <x:v>C-开放路网计算；不是货车/危运合规路线</x:v>
      </x:c>
      <x:c r="S580" s="51" t="str">
        <x:v>https://routing.openstreetmap.de/routed-car/</x:v>
      </x:c>
    </x:row>
    <x:row r="581">
      <x:c r="A581" s="51" t="str">
        <x:v>A0577</x:v>
      </x:c>
      <x:c r="B581" s="51" t="str">
        <x:v>C06</x:v>
      </x:c>
      <x:c r="C581" s="51" t="str">
        <x:v>collection</x:v>
      </x:c>
      <x:c r="D581" s="51" t="str">
        <x:v>韶关虚拟回收/检测中心</x:v>
      </x:c>
      <x:c r="E581" s="51" t="str">
        <x:v>P15</x:v>
      </x:c>
      <x:c r="F581" s="51" t="str">
        <x:v>echelon</x:v>
      </x:c>
      <x:c r="G581" s="51" t="str">
        <x:v>绿循新能源科技（佛山）有限责任公司</x:v>
      </x:c>
      <x:c r="H581" s="52" t="n">
        <x:v>255.76122145140755</x:v>
      </x:c>
      <x:c r="I581" s="52" t="n">
        <x:v>257.7153</x:v>
      </x:c>
      <x:c r="J581" s="52" t="n">
        <x:v>189.54833333333332</x:v>
      </x:c>
      <x:c r="K581" s="52" t="n">
        <x:f>IFERROR(I581/H581,"")</x:f>
        <x:v>1.0076402456068334</x:v>
      </x:c>
      <x:c r="L581" s="52" t="n">
        <x:v>300</x:v>
      </x:c>
      <x:c r="M581" s="65" t="n">
        <x:f>IF(H581&lt;=L581,1,0)</x:f>
        <x:v>1</x:v>
      </x:c>
      <x:c r="N581" s="65" t="n">
        <x:f>IF(I581&lt;=L581,1,0)</x:f>
        <x:v>1</x:v>
      </x:c>
      <x:c r="O581" s="51" t="str">
        <x:f>IF(M581=N581,"不变",IF(N581=1,"由禁变允","由允变禁"))</x:f>
        <x:v>不变</x:v>
      </x:c>
      <x:c r="P581" s="51" t="str">
        <x:v>OSRM driving/car</x:v>
      </x:c>
      <x:c r="Q581" s="51" t="str">
        <x:v>2026-08-15</x:v>
      </x:c>
      <x:c r="R581" s="51" t="str">
        <x:v>C-开放路网计算；不是货车/危运合规路线</x:v>
      </x:c>
      <x:c r="S581" s="51" t="str">
        <x:v>https://routing.openstreetmap.de/routed-car/</x:v>
      </x:c>
    </x:row>
    <x:row r="582">
      <x:c r="A582" s="51" t="str">
        <x:v>A0578</x:v>
      </x:c>
      <x:c r="B582" s="51" t="str">
        <x:v>C06</x:v>
      </x:c>
      <x:c r="C582" s="51" t="str">
        <x:v>collection</x:v>
      </x:c>
      <x:c r="D582" s="51" t="str">
        <x:v>韶关虚拟回收/检测中心</x:v>
      </x:c>
      <x:c r="E582" s="51" t="str">
        <x:v>P16</x:v>
      </x:c>
      <x:c r="F582" s="51" t="str">
        <x:v>echelon</x:v>
      </x:c>
      <x:c r="G582" s="51" t="str">
        <x:v>深圳艾云动智慧科技有限公司</x:v>
      </x:c>
      <x:c r="H582" s="52" t="n">
        <x:v>306.47442199910176</x:v>
      </x:c>
      <x:c r="I582" s="52" t="n">
        <x:v>338.1469</x:v>
      </x:c>
      <x:c r="J582" s="52" t="n">
        <x:v>236.02833333333334</x:v>
      </x:c>
      <x:c r="K582" s="52" t="n">
        <x:f>IFERROR(I582/H582,"")</x:f>
        <x:v>1.1033446047285183</x:v>
      </x:c>
      <x:c r="L582" s="52" t="n">
        <x:v>300</x:v>
      </x:c>
      <x:c r="M582" s="65" t="n">
        <x:f>IF(H582&lt;=L582,1,0)</x:f>
        <x:v>0</x:v>
      </x:c>
      <x:c r="N582" s="65" t="n">
        <x:f>IF(I582&lt;=L582,1,0)</x:f>
        <x:v>0</x:v>
      </x:c>
      <x:c r="O582" s="51" t="str">
        <x:f>IF(M582=N582,"不变",IF(N582=1,"由禁变允","由允变禁"))</x:f>
        <x:v>不变</x:v>
      </x:c>
      <x:c r="P582" s="51" t="str">
        <x:v>OSRM driving/car</x:v>
      </x:c>
      <x:c r="Q582" s="51" t="str">
        <x:v>2026-08-15</x:v>
      </x:c>
      <x:c r="R582" s="51" t="str">
        <x:v>C-开放路网计算；不是货车/危运合规路线</x:v>
      </x:c>
      <x:c r="S582" s="51" t="str">
        <x:v>https://routing.openstreetmap.de/routed-car/</x:v>
      </x:c>
    </x:row>
    <x:row r="583">
      <x:c r="A583" s="51" t="str">
        <x:v>A0579</x:v>
      </x:c>
      <x:c r="B583" s="51" t="str">
        <x:v>C06</x:v>
      </x:c>
      <x:c r="C583" s="51" t="str">
        <x:v>collection</x:v>
      </x:c>
      <x:c r="D583" s="51" t="str">
        <x:v>韶关虚拟回收/检测中心</x:v>
      </x:c>
      <x:c r="E583" s="51" t="str">
        <x:v>P17</x:v>
      </x:c>
      <x:c r="F583" s="51" t="str">
        <x:v>echelon</x:v>
      </x:c>
      <x:c r="G583" s="51" t="str">
        <x:v>深圳市荣高晟新能源科技有限公司</x:v>
      </x:c>
      <x:c r="H583" s="52" t="n">
        <x:v>306.47442199910176</x:v>
      </x:c>
      <x:c r="I583" s="52" t="n">
        <x:v>338.1469</x:v>
      </x:c>
      <x:c r="J583" s="52" t="n">
        <x:v>236.02833333333334</x:v>
      </x:c>
      <x:c r="K583" s="52" t="n">
        <x:f>IFERROR(I583/H583,"")</x:f>
        <x:v>1.1033446047285183</x:v>
      </x:c>
      <x:c r="L583" s="52" t="n">
        <x:v>300</x:v>
      </x:c>
      <x:c r="M583" s="65" t="n">
        <x:f>IF(H583&lt;=L583,1,0)</x:f>
        <x:v>0</x:v>
      </x:c>
      <x:c r="N583" s="65" t="n">
        <x:f>IF(I583&lt;=L583,1,0)</x:f>
        <x:v>0</x:v>
      </x:c>
      <x:c r="O583" s="51" t="str">
        <x:f>IF(M583=N583,"不变",IF(N583=1,"由禁变允","由允变禁"))</x:f>
        <x:v>不变</x:v>
      </x:c>
      <x:c r="P583" s="51" t="str">
        <x:v>OSRM driving/car</x:v>
      </x:c>
      <x:c r="Q583" s="51" t="str">
        <x:v>2026-08-15</x:v>
      </x:c>
      <x:c r="R583" s="51" t="str">
        <x:v>C-开放路网计算；不是货车/危运合规路线</x:v>
      </x:c>
      <x:c r="S583" s="51" t="str">
        <x:v>https://routing.openstreetmap.de/routed-car/</x:v>
      </x:c>
    </x:row>
    <x:row r="584">
      <x:c r="A584" s="51" t="str">
        <x:v>A0580</x:v>
      </x:c>
      <x:c r="B584" s="51" t="str">
        <x:v>C06</x:v>
      </x:c>
      <x:c r="C584" s="51" t="str">
        <x:v>collection</x:v>
      </x:c>
      <x:c r="D584" s="51" t="str">
        <x:v>韶关虚拟回收/检测中心</x:v>
      </x:c>
      <x:c r="E584" s="51" t="str">
        <x:v>P18</x:v>
      </x:c>
      <x:c r="F584" s="51" t="str">
        <x:v>echelon</x:v>
      </x:c>
      <x:c r="G584" s="51" t="str">
        <x:v>中商锂新能源科技（惠州）有限公司</x:v>
      </x:c>
      <x:c r="H584" s="52" t="n">
        <x:v>240.57838750981594</x:v>
      </x:c>
      <x:c r="I584" s="52" t="n">
        <x:v>272.4595</x:v>
      </x:c>
      <x:c r="J584" s="52" t="n">
        <x:v>209.82999999999998</x:v>
      </x:c>
      <x:c r="K584" s="52" t="n">
        <x:f>IFERROR(I584/H584,"")</x:f>
        <x:v>1.1325186057657954</x:v>
      </x:c>
      <x:c r="L584" s="52" t="n">
        <x:v>300</x:v>
      </x:c>
      <x:c r="M584" s="65" t="n">
        <x:f>IF(H584&lt;=L584,1,0)</x:f>
        <x:v>1</x:v>
      </x:c>
      <x:c r="N584" s="65" t="n">
        <x:f>IF(I584&lt;=L584,1,0)</x:f>
        <x:v>1</x:v>
      </x:c>
      <x:c r="O584" s="51" t="str">
        <x:f>IF(M584=N584,"不变",IF(N584=1,"由禁变允","由允变禁"))</x:f>
        <x:v>不变</x:v>
      </x:c>
      <x:c r="P584" s="51" t="str">
        <x:v>OSRM driving/car</x:v>
      </x:c>
      <x:c r="Q584" s="51" t="str">
        <x:v>2026-08-15</x:v>
      </x:c>
      <x:c r="R584" s="51" t="str">
        <x:v>C-开放路网计算；不是货车/危运合规路线</x:v>
      </x:c>
      <x:c r="S584" s="51" t="str">
        <x:v>https://routing.openstreetmap.de/routed-car/</x:v>
      </x:c>
    </x:row>
    <x:row r="585">
      <x:c r="A585" s="51" t="str">
        <x:v>A0581</x:v>
      </x:c>
      <x:c r="B585" s="51" t="str">
        <x:v>C06</x:v>
      </x:c>
      <x:c r="C585" s="51" t="str">
        <x:v>collection</x:v>
      </x:c>
      <x:c r="D585" s="51" t="str">
        <x:v>韶关虚拟回收/检测中心</x:v>
      </x:c>
      <x:c r="E585" s="51" t="str">
        <x:v>P19</x:v>
      </x:c>
      <x:c r="F585" s="51" t="str">
        <x:v>recycling</x:v>
      </x:c>
      <x:c r="G585" s="51" t="str">
        <x:v>广东盛祥新材料科技有限公司</x:v>
      </x:c>
      <x:c r="H585" s="52" t="n">
        <x:v>0</x:v>
      </x:c>
      <x:c r="I585" s="52" t="n">
        <x:v>0</x:v>
      </x:c>
      <x:c r="J585" s="52" t="n">
        <x:v>0</x:v>
      </x:c>
      <x:c r="K585" s="52" t="str">
        <x:f>IFERROR(I585/H585,"")</x:f>
      </x:c>
      <x:c r="L585" s="52" t="n">
        <x:v>400</x:v>
      </x:c>
      <x:c r="M585" s="65" t="n">
        <x:f>IF(H585&lt;=L585,1,0)</x:f>
        <x:v>1</x:v>
      </x:c>
      <x:c r="N585" s="65" t="n">
        <x:f>IF(I585&lt;=L585,1,0)</x:f>
        <x:v>1</x:v>
      </x:c>
      <x:c r="O585" s="51" t="str">
        <x:f>IF(M585=N585,"不变",IF(N585=1,"由禁变允","由允变禁"))</x:f>
        <x:v>不变</x:v>
      </x:c>
      <x:c r="P585" s="51" t="str">
        <x:v>OSRM driving/car</x:v>
      </x:c>
      <x:c r="Q585" s="51" t="str">
        <x:v>2026-08-15</x:v>
      </x:c>
      <x:c r="R585" s="51" t="str">
        <x:v>C-开放路网计算；不是货车/危运合规路线</x:v>
      </x:c>
      <x:c r="S585" s="51" t="str">
        <x:v>https://routing.openstreetmap.de/routed-car/</x:v>
      </x:c>
    </x:row>
    <x:row r="586">
      <x:c r="A586" s="51" t="str">
        <x:v>A0582</x:v>
      </x:c>
      <x:c r="B586" s="51" t="str">
        <x:v>C06</x:v>
      </x:c>
      <x:c r="C586" s="51" t="str">
        <x:v>collection</x:v>
      </x:c>
      <x:c r="D586" s="51" t="str">
        <x:v>韶关虚拟回收/检测中心</x:v>
      </x:c>
      <x:c r="E586" s="51" t="str">
        <x:v>P20E</x:v>
      </x:c>
      <x:c r="F586" s="51" t="str">
        <x:v>echelon</x:v>
      </x:c>
      <x:c r="G586" s="51" t="str">
        <x:v>广东金晟新能源股份有限公司（梯次功能）</x:v>
      </x:c>
      <x:c r="H586" s="52" t="n">
        <x:v>289.43307246740227</x:v>
      </x:c>
      <x:c r="I586" s="52" t="n">
        <x:v>287.91740000000004</x:v>
      </x:c>
      <x:c r="J586" s="52" t="n">
        <x:v>214.13333333333333</x:v>
      </x:c>
      <x:c r="K586" s="52" t="n">
        <x:f>IFERROR(I586/H586,"")</x:f>
        <x:v>0.9947633058845653</x:v>
      </x:c>
      <x:c r="L586" s="52" t="n">
        <x:v>300</x:v>
      </x:c>
      <x:c r="M586" s="65" t="n">
        <x:f>IF(H586&lt;=L586,1,0)</x:f>
        <x:v>1</x:v>
      </x:c>
      <x:c r="N586" s="65" t="n">
        <x:f>IF(I586&lt;=L586,1,0)</x:f>
        <x:v>1</x:v>
      </x:c>
      <x:c r="O586" s="51" t="str">
        <x:f>IF(M586=N586,"不变",IF(N586=1,"由禁变允","由允变禁"))</x:f>
        <x:v>不变</x:v>
      </x:c>
      <x:c r="P586" s="51" t="str">
        <x:v>OSRM driving/car</x:v>
      </x:c>
      <x:c r="Q586" s="51" t="str">
        <x:v>2026-08-15</x:v>
      </x:c>
      <x:c r="R586" s="51" t="str">
        <x:v>C-开放路网计算；不是货车/危运合规路线</x:v>
      </x:c>
      <x:c r="S586" s="51" t="str">
        <x:v>https://routing.openstreetmap.de/routed-car/</x:v>
      </x:c>
    </x:row>
    <x:row r="587">
      <x:c r="A587" s="51" t="str">
        <x:v>A0583</x:v>
      </x:c>
      <x:c r="B587" s="51" t="str">
        <x:v>C06</x:v>
      </x:c>
      <x:c r="C587" s="51" t="str">
        <x:v>collection</x:v>
      </x:c>
      <x:c r="D587" s="51" t="str">
        <x:v>韶关虚拟回收/检测中心</x:v>
      </x:c>
      <x:c r="E587" s="51" t="str">
        <x:v>P20R</x:v>
      </x:c>
      <x:c r="F587" s="51" t="str">
        <x:v>recycling</x:v>
      </x:c>
      <x:c r="G587" s="51" t="str">
        <x:v>广东金晟新能源股份有限公司（再生功能）</x:v>
      </x:c>
      <x:c r="H587" s="52" t="n">
        <x:v>289.43307246740227</x:v>
      </x:c>
      <x:c r="I587" s="52" t="n">
        <x:v>287.91740000000004</x:v>
      </x:c>
      <x:c r="J587" s="52" t="n">
        <x:v>214.13333333333333</x:v>
      </x:c>
      <x:c r="K587" s="52" t="n">
        <x:f>IFERROR(I587/H587,"")</x:f>
        <x:v>0.9947633058845653</x:v>
      </x:c>
      <x:c r="L587" s="52" t="n">
        <x:v>400</x:v>
      </x:c>
      <x:c r="M587" s="65" t="n">
        <x:f>IF(H587&lt;=L587,1,0)</x:f>
        <x:v>1</x:v>
      </x:c>
      <x:c r="N587" s="65" t="n">
        <x:f>IF(I587&lt;=L587,1,0)</x:f>
        <x:v>1</x:v>
      </x:c>
      <x:c r="O587" s="51" t="str">
        <x:f>IF(M587=N587,"不变",IF(N587=1,"由禁变允","由允变禁"))</x:f>
        <x:v>不变</x:v>
      </x:c>
      <x:c r="P587" s="51" t="str">
        <x:v>OSRM driving/car</x:v>
      </x:c>
      <x:c r="Q587" s="51" t="str">
        <x:v>2026-08-15</x:v>
      </x:c>
      <x:c r="R587" s="51" t="str">
        <x:v>C-开放路网计算；不是货车/危运合规路线</x:v>
      </x:c>
      <x:c r="S587" s="51" t="str">
        <x:v>https://routing.openstreetmap.de/routed-car/</x:v>
      </x:c>
    </x:row>
    <x:row r="588">
      <x:c r="A588" s="51" t="str">
        <x:v>A0584</x:v>
      </x:c>
      <x:c r="B588" s="51" t="str">
        <x:v>C06</x:v>
      </x:c>
      <x:c r="C588" s="51" t="str">
        <x:v>collection</x:v>
      </x:c>
      <x:c r="D588" s="51" t="str">
        <x:v>韶关虚拟回收/检测中心</x:v>
      </x:c>
      <x:c r="E588" s="51" t="str">
        <x:v>P21E</x:v>
      </x:c>
      <x:c r="F588" s="51" t="str">
        <x:v>echelon</x:v>
      </x:c>
      <x:c r="G588" s="51" t="str">
        <x:v>广东瑞科美电源技术有限公司（梯次功能）</x:v>
      </x:c>
      <x:c r="H588" s="52" t="n">
        <x:v>255.76122145140755</x:v>
      </x:c>
      <x:c r="I588" s="52" t="n">
        <x:v>257.7153</x:v>
      </x:c>
      <x:c r="J588" s="52" t="n">
        <x:v>189.54833333333332</x:v>
      </x:c>
      <x:c r="K588" s="52" t="n">
        <x:f>IFERROR(I588/H588,"")</x:f>
        <x:v>1.0076402456068334</x:v>
      </x:c>
      <x:c r="L588" s="52" t="n">
        <x:v>300</x:v>
      </x:c>
      <x:c r="M588" s="65" t="n">
        <x:f>IF(H588&lt;=L588,1,0)</x:f>
        <x:v>1</x:v>
      </x:c>
      <x:c r="N588" s="65" t="n">
        <x:f>IF(I588&lt;=L588,1,0)</x:f>
        <x:v>1</x:v>
      </x:c>
      <x:c r="O588" s="51" t="str">
        <x:f>IF(M588=N588,"不变",IF(N588=1,"由禁变允","由允变禁"))</x:f>
        <x:v>不变</x:v>
      </x:c>
      <x:c r="P588" s="51" t="str">
        <x:v>OSRM driving/car</x:v>
      </x:c>
      <x:c r="Q588" s="51" t="str">
        <x:v>2026-08-15</x:v>
      </x:c>
      <x:c r="R588" s="51" t="str">
        <x:v>C-开放路网计算；不是货车/危运合规路线</x:v>
      </x:c>
      <x:c r="S588" s="51" t="str">
        <x:v>https://routing.openstreetmap.de/routed-car/</x:v>
      </x:c>
    </x:row>
    <x:row r="589">
      <x:c r="A589" s="51" t="str">
        <x:v>A0585</x:v>
      </x:c>
      <x:c r="B589" s="51" t="str">
        <x:v>C06</x:v>
      </x:c>
      <x:c r="C589" s="51" t="str">
        <x:v>collection</x:v>
      </x:c>
      <x:c r="D589" s="51" t="str">
        <x:v>韶关虚拟回收/检测中心</x:v>
      </x:c>
      <x:c r="E589" s="51" t="str">
        <x:v>P21R</x:v>
      </x:c>
      <x:c r="F589" s="51" t="str">
        <x:v>recycling</x:v>
      </x:c>
      <x:c r="G589" s="51" t="str">
        <x:v>广东瑞科美电源技术有限公司（再生功能）</x:v>
      </x:c>
      <x:c r="H589" s="52" t="n">
        <x:v>255.76122145140755</x:v>
      </x:c>
      <x:c r="I589" s="52" t="n">
        <x:v>257.7153</x:v>
      </x:c>
      <x:c r="J589" s="52" t="n">
        <x:v>189.54833333333332</x:v>
      </x:c>
      <x:c r="K589" s="52" t="n">
        <x:f>IFERROR(I589/H589,"")</x:f>
        <x:v>1.0076402456068334</x:v>
      </x:c>
      <x:c r="L589" s="52" t="n">
        <x:v>400</x:v>
      </x:c>
      <x:c r="M589" s="65" t="n">
        <x:f>IF(H589&lt;=L589,1,0)</x:f>
        <x:v>1</x:v>
      </x:c>
      <x:c r="N589" s="65" t="n">
        <x:f>IF(I589&lt;=L589,1,0)</x:f>
        <x:v>1</x:v>
      </x:c>
      <x:c r="O589" s="51" t="str">
        <x:f>IF(M589=N589,"不变",IF(N589=1,"由禁变允","由允变禁"))</x:f>
        <x:v>不变</x:v>
      </x:c>
      <x:c r="P589" s="51" t="str">
        <x:v>OSRM driving/car</x:v>
      </x:c>
      <x:c r="Q589" s="51" t="str">
        <x:v>2026-08-15</x:v>
      </x:c>
      <x:c r="R589" s="51" t="str">
        <x:v>C-开放路网计算；不是货车/危运合规路线</x:v>
      </x:c>
      <x:c r="S589" s="51" t="str">
        <x:v>https://routing.openstreetmap.de/routed-car/</x:v>
      </x:c>
    </x:row>
    <x:row r="590">
      <x:c r="A590" s="51" t="str">
        <x:v>A0586</x:v>
      </x:c>
      <x:c r="B590" s="51" t="str">
        <x:v>C07</x:v>
      </x:c>
      <x:c r="C590" s="51" t="str">
        <x:v>collection</x:v>
      </x:c>
      <x:c r="D590" s="51" t="str">
        <x:v>河源虚拟回收/检测中心</x:v>
      </x:c>
      <x:c r="E590" s="51" t="str">
        <x:v>P01</x:v>
      </x:c>
      <x:c r="F590" s="51" t="str">
        <x:v>recycling</x:v>
      </x:c>
      <x:c r="G590" s="51" t="str">
        <x:v>汕尾比亚迪废旧动力电池回收项目</x:v>
      </x:c>
      <x:c r="H590" s="52" t="n">
        <x:v>172.31613285384597</x:v>
      </x:c>
      <x:c r="I590" s="52" t="n">
        <x:v>204.26379999999997</x:v>
      </x:c>
      <x:c r="J590" s="52" t="n">
        <x:v>170.87166666666664</x:v>
      </x:c>
      <x:c r="K590" s="52" t="n">
        <x:f>IFERROR(I590/H590,"")</x:f>
        <x:v>1.1854014863091848</x:v>
      </x:c>
      <x:c r="L590" s="52" t="n">
        <x:v>400</x:v>
      </x:c>
      <x:c r="M590" s="65" t="n">
        <x:f>IF(H590&lt;=L590,1,0)</x:f>
        <x:v>1</x:v>
      </x:c>
      <x:c r="N590" s="65" t="n">
        <x:f>IF(I590&lt;=L590,1,0)</x:f>
        <x:v>1</x:v>
      </x:c>
      <x:c r="O590" s="51" t="str">
        <x:f>IF(M590=N590,"不变",IF(N590=1,"由禁变允","由允变禁"))</x:f>
        <x:v>不变</x:v>
      </x:c>
      <x:c r="P590" s="51" t="str">
        <x:v>OSRM driving/car</x:v>
      </x:c>
      <x:c r="Q590" s="51" t="str">
        <x:v>2026-08-15</x:v>
      </x:c>
      <x:c r="R590" s="51" t="str">
        <x:v>C-开放路网计算；不是货车/危运合规路线</x:v>
      </x:c>
      <x:c r="S590" s="51" t="str">
        <x:v>https://routing.openstreetmap.de/routed-car/</x:v>
      </x:c>
    </x:row>
    <x:row r="591">
      <x:c r="A591" s="51" t="str">
        <x:v>A0587</x:v>
      </x:c>
      <x:c r="B591" s="51" t="str">
        <x:v>C07</x:v>
      </x:c>
      <x:c r="C591" s="51" t="str">
        <x:v>collection</x:v>
      </x:c>
      <x:c r="D591" s="51" t="str">
        <x:v>河源虚拟回收/检测中心</x:v>
      </x:c>
      <x:c r="E591" s="51" t="str">
        <x:v>P02E</x:v>
      </x:c>
      <x:c r="F591" s="51" t="str">
        <x:v>echelon</x:v>
      </x:c>
      <x:c r="G591" s="51" t="str">
        <x:v>广东光华科技股份有限公司（梯次功能）</x:v>
      </x:c>
      <x:c r="H591" s="52" t="n">
        <x:v>221.4376923116871</x:v>
      </x:c>
      <x:c r="I591" s="52" t="n">
        <x:v>234.5172</x:v>
      </x:c>
      <x:c r="J591" s="52" t="n">
        <x:v>186.18833333333333</x:v>
      </x:c>
      <x:c r="K591" s="52" t="n">
        <x:f>IFERROR(I591/H591,"")</x:f>
        <x:v>1.059066311393377</x:v>
      </x:c>
      <x:c r="L591" s="52" t="n">
        <x:v>300</x:v>
      </x:c>
      <x:c r="M591" s="65" t="n">
        <x:f>IF(H591&lt;=L591,1,0)</x:f>
        <x:v>1</x:v>
      </x:c>
      <x:c r="N591" s="65" t="n">
        <x:f>IF(I591&lt;=L591,1,0)</x:f>
        <x:v>1</x:v>
      </x:c>
      <x:c r="O591" s="51" t="str">
        <x:f>IF(M591=N591,"不变",IF(N591=1,"由禁变允","由允变禁"))</x:f>
        <x:v>不变</x:v>
      </x:c>
      <x:c r="P591" s="51" t="str">
        <x:v>OSRM driving/car</x:v>
      </x:c>
      <x:c r="Q591" s="51" t="str">
        <x:v>2026-08-15</x:v>
      </x:c>
      <x:c r="R591" s="51" t="str">
        <x:v>C-开放路网计算；不是货车/危运合规路线</x:v>
      </x:c>
      <x:c r="S591" s="51" t="str">
        <x:v>https://routing.openstreetmap.de/routed-car/</x:v>
      </x:c>
    </x:row>
    <x:row r="592">
      <x:c r="A592" s="51" t="str">
        <x:v>A0588</x:v>
      </x:c>
      <x:c r="B592" s="51" t="str">
        <x:v>C07</x:v>
      </x:c>
      <x:c r="C592" s="51" t="str">
        <x:v>collection</x:v>
      </x:c>
      <x:c r="D592" s="51" t="str">
        <x:v>河源虚拟回收/检测中心</x:v>
      </x:c>
      <x:c r="E592" s="51" t="str">
        <x:v>P02R</x:v>
      </x:c>
      <x:c r="F592" s="51" t="str">
        <x:v>recycling</x:v>
      </x:c>
      <x:c r="G592" s="51" t="str">
        <x:v>广东光华科技股份有限公司（再生功能）</x:v>
      </x:c>
      <x:c r="H592" s="52" t="n">
        <x:v>221.4376923116871</x:v>
      </x:c>
      <x:c r="I592" s="52" t="n">
        <x:v>234.5172</x:v>
      </x:c>
      <x:c r="J592" s="52" t="n">
        <x:v>186.18833333333333</x:v>
      </x:c>
      <x:c r="K592" s="52" t="n">
        <x:f>IFERROR(I592/H592,"")</x:f>
        <x:v>1.059066311393377</x:v>
      </x:c>
      <x:c r="L592" s="52" t="n">
        <x:v>400</x:v>
      </x:c>
      <x:c r="M592" s="65" t="n">
        <x:f>IF(H592&lt;=L592,1,0)</x:f>
        <x:v>1</x:v>
      </x:c>
      <x:c r="N592" s="65" t="n">
        <x:f>IF(I592&lt;=L592,1,0)</x:f>
        <x:v>1</x:v>
      </x:c>
      <x:c r="O592" s="51" t="str">
        <x:f>IF(M592=N592,"不变",IF(N592=1,"由禁变允","由允变禁"))</x:f>
        <x:v>不变</x:v>
      </x:c>
      <x:c r="P592" s="51" t="str">
        <x:v>OSRM driving/car</x:v>
      </x:c>
      <x:c r="Q592" s="51" t="str">
        <x:v>2026-08-15</x:v>
      </x:c>
      <x:c r="R592" s="51" t="str">
        <x:v>C-开放路网计算；不是货车/危运合规路线</x:v>
      </x:c>
      <x:c r="S592" s="51" t="str">
        <x:v>https://routing.openstreetmap.de/routed-car/</x:v>
      </x:c>
    </x:row>
    <x:row r="593">
      <x:c r="A593" s="51" t="str">
        <x:v>A0589</x:v>
      </x:c>
      <x:c r="B593" s="51" t="str">
        <x:v>C07</x:v>
      </x:c>
      <x:c r="C593" s="51" t="str">
        <x:v>collection</x:v>
      </x:c>
      <x:c r="D593" s="51" t="str">
        <x:v>河源虚拟回收/检测中心</x:v>
      </x:c>
      <x:c r="E593" s="51" t="str">
        <x:v>P03</x:v>
      </x:c>
      <x:c r="F593" s="51" t="str">
        <x:v>echelon</x:v>
      </x:c>
      <x:c r="G593" s="51" t="str">
        <x:v>深圳深汕特别合作区乾泰技术有限公司</x:v>
      </x:c>
      <x:c r="H593" s="52" t="n">
        <x:v>155.4955738550505</x:v>
      </x:c>
      <x:c r="I593" s="52" t="n">
        <x:v>208.71470000000002</x:v>
      </x:c>
      <x:c r="J593" s="52" t="n">
        <x:v>190.89833333333334</x:v>
      </x:c>
      <x:c r="K593" s="52" t="n">
        <x:f>IFERROR(I593/H593,"")</x:f>
        <x:v>1.3422549261405934</x:v>
      </x:c>
      <x:c r="L593" s="52" t="n">
        <x:v>300</x:v>
      </x:c>
      <x:c r="M593" s="65" t="n">
        <x:f>IF(H593&lt;=L593,1,0)</x:f>
        <x:v>1</x:v>
      </x:c>
      <x:c r="N593" s="65" t="n">
        <x:f>IF(I593&lt;=L593,1,0)</x:f>
        <x:v>1</x:v>
      </x:c>
      <x:c r="O593" s="51" t="str">
        <x:f>IF(M593=N593,"不变",IF(N593=1,"由禁变允","由允变禁"))</x:f>
        <x:v>不变</x:v>
      </x:c>
      <x:c r="P593" s="51" t="str">
        <x:v>OSRM driving/car</x:v>
      </x:c>
      <x:c r="Q593" s="51" t="str">
        <x:v>2026-08-15</x:v>
      </x:c>
      <x:c r="R593" s="51" t="str">
        <x:v>C-开放路网计算；不是货车/危运合规路线</x:v>
      </x:c>
      <x:c r="S593" s="51" t="str">
        <x:v>https://routing.openstreetmap.de/routed-car/</x:v>
      </x:c>
    </x:row>
    <x:row r="594">
      <x:c r="A594" s="51" t="str">
        <x:v>A0590</x:v>
      </x:c>
      <x:c r="B594" s="51" t="str">
        <x:v>C07</x:v>
      </x:c>
      <x:c r="C594" s="51" t="str">
        <x:v>collection</x:v>
      </x:c>
      <x:c r="D594" s="51" t="str">
        <x:v>河源虚拟回收/检测中心</x:v>
      </x:c>
      <x:c r="E594" s="51" t="str">
        <x:v>P04</x:v>
      </x:c>
      <x:c r="F594" s="51" t="str">
        <x:v>echelon</x:v>
      </x:c>
      <x:c r="G594" s="51" t="str">
        <x:v>珠海中力新能源科技有限公司</x:v>
      </x:c>
      <x:c r="H594" s="52" t="n">
        <x:v>304.43065388171823</x:v>
      </x:c>
      <x:c r="I594" s="52" t="n">
        <x:v>344.5653</x:v>
      </x:c>
      <x:c r="J594" s="52" t="n">
        <x:v>267.2916666666667</x:v>
      </x:c>
      <x:c r="K594" s="52" t="n">
        <x:f>IFERROR(I594/H594,"")</x:f>
        <x:v>1.1318351013819898</x:v>
      </x:c>
      <x:c r="L594" s="52" t="n">
        <x:v>300</x:v>
      </x:c>
      <x:c r="M594" s="65" t="n">
        <x:f>IF(H594&lt;=L594,1,0)</x:f>
        <x:v>0</x:v>
      </x:c>
      <x:c r="N594" s="65" t="n">
        <x:f>IF(I594&lt;=L594,1,0)</x:f>
        <x:v>0</x:v>
      </x:c>
      <x:c r="O594" s="51" t="str">
        <x:f>IF(M594=N594,"不变",IF(N594=1,"由禁变允","由允变禁"))</x:f>
        <x:v>不变</x:v>
      </x:c>
      <x:c r="P594" s="51" t="str">
        <x:v>OSRM driving/car</x:v>
      </x:c>
      <x:c r="Q594" s="51" t="str">
        <x:v>2026-08-15</x:v>
      </x:c>
      <x:c r="R594" s="51" t="str">
        <x:v>C-开放路网计算；不是货车/危运合规路线</x:v>
      </x:c>
      <x:c r="S594" s="51" t="str">
        <x:v>https://routing.openstreetmap.de/routed-car/</x:v>
      </x:c>
    </x:row>
    <x:row r="595">
      <x:c r="A595" s="51" t="str">
        <x:v>A0591</x:v>
      </x:c>
      <x:c r="B595" s="51" t="str">
        <x:v>C07</x:v>
      </x:c>
      <x:c r="C595" s="51" t="str">
        <x:v>collection</x:v>
      </x:c>
      <x:c r="D595" s="51" t="str">
        <x:v>河源虚拟回收/检测中心</x:v>
      </x:c>
      <x:c r="E595" s="51" t="str">
        <x:v>P05</x:v>
      </x:c>
      <x:c r="F595" s="51" t="str">
        <x:v>echelon</x:v>
      </x:c>
      <x:c r="G595" s="51" t="str">
        <x:v>惠州市恒创睿能环保科技有限公司</x:v>
      </x:c>
      <x:c r="H595" s="52" t="n">
        <x:v>153.73276695379784</x:v>
      </x:c>
      <x:c r="I595" s="52" t="n">
        <x:v>162.7103</x:v>
      </x:c>
      <x:c r="J595" s="52" t="n">
        <x:v>135.45666666666665</x:v>
      </x:c>
      <x:c r="K595" s="52" t="n">
        <x:f>IFERROR(I595/H595,"")</x:f>
        <x:v>1.0583970042567452</x:v>
      </x:c>
      <x:c r="L595" s="52" t="n">
        <x:v>300</x:v>
      </x:c>
      <x:c r="M595" s="65" t="n">
        <x:f>IF(H595&lt;=L595,1,0)</x:f>
        <x:v>1</x:v>
      </x:c>
      <x:c r="N595" s="65" t="n">
        <x:f>IF(I595&lt;=L595,1,0)</x:f>
        <x:v>1</x:v>
      </x:c>
      <x:c r="O595" s="51" t="str">
        <x:f>IF(M595=N595,"不变",IF(N595=1,"由禁变允","由允变禁"))</x:f>
        <x:v>不变</x:v>
      </x:c>
      <x:c r="P595" s="51" t="str">
        <x:v>OSRM driving/car</x:v>
      </x:c>
      <x:c r="Q595" s="51" t="str">
        <x:v>2026-08-15</x:v>
      </x:c>
      <x:c r="R595" s="51" t="str">
        <x:v>C-开放路网计算；不是货车/危运合规路线</x:v>
      </x:c>
      <x:c r="S595" s="51" t="str">
        <x:v>https://routing.openstreetmap.de/routed-car/</x:v>
      </x:c>
    </x:row>
    <x:row r="596">
      <x:c r="A596" s="51" t="str">
        <x:v>A0592</x:v>
      </x:c>
      <x:c r="B596" s="51" t="str">
        <x:v>C07</x:v>
      </x:c>
      <x:c r="C596" s="51" t="str">
        <x:v>collection</x:v>
      </x:c>
      <x:c r="D596" s="51" t="str">
        <x:v>河源虚拟回收/检测中心</x:v>
      </x:c>
      <x:c r="E596" s="51" t="str">
        <x:v>P06</x:v>
      </x:c>
      <x:c r="F596" s="51" t="str">
        <x:v>echelon</x:v>
      </x:c>
      <x:c r="G596" s="51" t="str">
        <x:v>江门市朗达锂电池有限公司</x:v>
      </x:c>
      <x:c r="H596" s="52" t="n">
        <x:v>316.3240228712952</x:v>
      </x:c>
      <x:c r="I596" s="52" t="n">
        <x:v>347.3153</x:v>
      </x:c>
      <x:c r="J596" s="52" t="n">
        <x:v>263.8983333333333</x:v>
      </x:c>
      <x:c r="K596" s="52" t="n">
        <x:f>IFERROR(I596/H596,"")</x:f>
        <x:v>1.0979732011732615</x:v>
      </x:c>
      <x:c r="L596" s="52" t="n">
        <x:v>300</x:v>
      </x:c>
      <x:c r="M596" s="65" t="n">
        <x:f>IF(H596&lt;=L596,1,0)</x:f>
        <x:v>0</x:v>
      </x:c>
      <x:c r="N596" s="65" t="n">
        <x:f>IF(I596&lt;=L596,1,0)</x:f>
        <x:v>0</x:v>
      </x:c>
      <x:c r="O596" s="51" t="str">
        <x:f>IF(M596=N596,"不变",IF(N596=1,"由禁变允","由允变禁"))</x:f>
        <x:v>不变</x:v>
      </x:c>
      <x:c r="P596" s="51" t="str">
        <x:v>OSRM driving/car</x:v>
      </x:c>
      <x:c r="Q596" s="51" t="str">
        <x:v>2026-08-15</x:v>
      </x:c>
      <x:c r="R596" s="51" t="str">
        <x:v>C-开放路网计算；不是货车/危运合规路线</x:v>
      </x:c>
      <x:c r="S596" s="51" t="str">
        <x:v>https://routing.openstreetmap.de/routed-car/</x:v>
      </x:c>
    </x:row>
    <x:row r="597">
      <x:c r="A597" s="51" t="str">
        <x:v>A0593</x:v>
      </x:c>
      <x:c r="B597" s="51" t="str">
        <x:v>C07</x:v>
      </x:c>
      <x:c r="C597" s="51" t="str">
        <x:v>collection</x:v>
      </x:c>
      <x:c r="D597" s="51" t="str">
        <x:v>河源虚拟回收/检测中心</x:v>
      </x:c>
      <x:c r="E597" s="51" t="str">
        <x:v>P07</x:v>
      </x:c>
      <x:c r="F597" s="51" t="str">
        <x:v>echelon</x:v>
      </x:c>
      <x:c r="G597" s="51" t="str">
        <x:v>广东迪度新能源有限公司</x:v>
      </x:c>
      <x:c r="H597" s="52" t="n">
        <x:v>216.00434329045038</x:v>
      </x:c>
      <x:c r="I597" s="52" t="n">
        <x:v>235.32989999999998</x:v>
      </x:c>
      <x:c r="J597" s="52" t="n">
        <x:v>186.33333333333334</x:v>
      </x:c>
      <x:c r="K597" s="52" t="n">
        <x:f>IFERROR(I597/H597,"")</x:f>
        <x:v>1.089468370937169</x:v>
      </x:c>
      <x:c r="L597" s="52" t="n">
        <x:v>300</x:v>
      </x:c>
      <x:c r="M597" s="65" t="n">
        <x:f>IF(H597&lt;=L597,1,0)</x:f>
        <x:v>1</x:v>
      </x:c>
      <x:c r="N597" s="65" t="n">
        <x:f>IF(I597&lt;=L597,1,0)</x:f>
        <x:v>1</x:v>
      </x:c>
      <x:c r="O597" s="51" t="str">
        <x:f>IF(M597=N597,"不变",IF(N597=1,"由禁变允","由允变禁"))</x:f>
        <x:v>不变</x:v>
      </x:c>
      <x:c r="P597" s="51" t="str">
        <x:v>OSRM driving/car</x:v>
      </x:c>
      <x:c r="Q597" s="51" t="str">
        <x:v>2026-08-15</x:v>
      </x:c>
      <x:c r="R597" s="51" t="str">
        <x:v>C-开放路网计算；不是货车/危运合规路线</x:v>
      </x:c>
      <x:c r="S597" s="51" t="str">
        <x:v>https://routing.openstreetmap.de/routed-car/</x:v>
      </x:c>
    </x:row>
    <x:row r="598">
      <x:c r="A598" s="51" t="str">
        <x:v>A0594</x:v>
      </x:c>
      <x:c r="B598" s="51" t="str">
        <x:v>C07</x:v>
      </x:c>
      <x:c r="C598" s="51" t="str">
        <x:v>collection</x:v>
      </x:c>
      <x:c r="D598" s="51" t="str">
        <x:v>河源虚拟回收/检测中心</x:v>
      </x:c>
      <x:c r="E598" s="51" t="str">
        <x:v>P08</x:v>
      </x:c>
      <x:c r="F598" s="51" t="str">
        <x:v>echelon</x:v>
      </x:c>
      <x:c r="G598" s="51" t="str">
        <x:v>东莞市博森新能源有限公司</x:v>
      </x:c>
      <x:c r="H598" s="52" t="n">
        <x:v>216.00434329045038</x:v>
      </x:c>
      <x:c r="I598" s="52" t="n">
        <x:v>235.32989999999998</x:v>
      </x:c>
      <x:c r="J598" s="52" t="n">
        <x:v>186.33333333333334</x:v>
      </x:c>
      <x:c r="K598" s="52" t="n">
        <x:f>IFERROR(I598/H598,"")</x:f>
        <x:v>1.089468370937169</x:v>
      </x:c>
      <x:c r="L598" s="52" t="n">
        <x:v>300</x:v>
      </x:c>
      <x:c r="M598" s="65" t="n">
        <x:f>IF(H598&lt;=L598,1,0)</x:f>
        <x:v>1</x:v>
      </x:c>
      <x:c r="N598" s="65" t="n">
        <x:f>IF(I598&lt;=L598,1,0)</x:f>
        <x:v>1</x:v>
      </x:c>
      <x:c r="O598" s="51" t="str">
        <x:f>IF(M598=N598,"不变",IF(N598=1,"由禁变允","由允变禁"))</x:f>
        <x:v>不变</x:v>
      </x:c>
      <x:c r="P598" s="51" t="str">
        <x:v>OSRM driving/car</x:v>
      </x:c>
      <x:c r="Q598" s="51" t="str">
        <x:v>2026-08-15</x:v>
      </x:c>
      <x:c r="R598" s="51" t="str">
        <x:v>C-开放路网计算；不是货车/危运合规路线</x:v>
      </x:c>
      <x:c r="S598" s="51" t="str">
        <x:v>https://routing.openstreetmap.de/routed-car/</x:v>
      </x:c>
    </x:row>
    <x:row r="599">
      <x:c r="A599" s="51" t="str">
        <x:v>A0595</x:v>
      </x:c>
      <x:c r="B599" s="51" t="str">
        <x:v>C07</x:v>
      </x:c>
      <x:c r="C599" s="51" t="str">
        <x:v>collection</x:v>
      </x:c>
      <x:c r="D599" s="51" t="str">
        <x:v>河源虚拟回收/检测中心</x:v>
      </x:c>
      <x:c r="E599" s="51" t="str">
        <x:v>P09</x:v>
      </x:c>
      <x:c r="F599" s="51" t="str">
        <x:v>echelon</x:v>
      </x:c>
      <x:c r="G599" s="51" t="str">
        <x:v>广东宇阳新能源有限公司</x:v>
      </x:c>
      <x:c r="H599" s="52" t="n">
        <x:v>216.00434329045038</x:v>
      </x:c>
      <x:c r="I599" s="52" t="n">
        <x:v>235.32989999999998</x:v>
      </x:c>
      <x:c r="J599" s="52" t="n">
        <x:v>186.33333333333334</x:v>
      </x:c>
      <x:c r="K599" s="52" t="n">
        <x:f>IFERROR(I599/H599,"")</x:f>
        <x:v>1.089468370937169</x:v>
      </x:c>
      <x:c r="L599" s="52" t="n">
        <x:v>300</x:v>
      </x:c>
      <x:c r="M599" s="65" t="n">
        <x:f>IF(H599&lt;=L599,1,0)</x:f>
        <x:v>1</x:v>
      </x:c>
      <x:c r="N599" s="65" t="n">
        <x:f>IF(I599&lt;=L599,1,0)</x:f>
        <x:v>1</x:v>
      </x:c>
      <x:c r="O599" s="51" t="str">
        <x:f>IF(M599=N599,"不变",IF(N599=1,"由禁变允","由允变禁"))</x:f>
        <x:v>不变</x:v>
      </x:c>
      <x:c r="P599" s="51" t="str">
        <x:v>OSRM driving/car</x:v>
      </x:c>
      <x:c r="Q599" s="51" t="str">
        <x:v>2026-08-15</x:v>
      </x:c>
      <x:c r="R599" s="51" t="str">
        <x:v>C-开放路网计算；不是货车/危运合规路线</x:v>
      </x:c>
      <x:c r="S599" s="51" t="str">
        <x:v>https://routing.openstreetmap.de/routed-car/</x:v>
      </x:c>
    </x:row>
    <x:row r="600">
      <x:c r="A600" s="51" t="str">
        <x:v>A0596</x:v>
      </x:c>
      <x:c r="B600" s="51" t="str">
        <x:v>C07</x:v>
      </x:c>
      <x:c r="C600" s="51" t="str">
        <x:v>collection</x:v>
      </x:c>
      <x:c r="D600" s="51" t="str">
        <x:v>河源虚拟回收/检测中心</x:v>
      </x:c>
      <x:c r="E600" s="51" t="str">
        <x:v>P10</x:v>
      </x:c>
      <x:c r="F600" s="51" t="str">
        <x:v>echelon</x:v>
      </x:c>
      <x:c r="G600" s="51" t="str">
        <x:v>广州广汽商贸再生资源有限公司</x:v>
      </x:c>
      <x:c r="H600" s="52" t="n">
        <x:v>255.35449854690705</x:v>
      </x:c>
      <x:c r="I600" s="52" t="n">
        <x:v>273.9589</x:v>
      </x:c>
      <x:c r="J600" s="52" t="n">
        <x:v>212.09833333333333</x:v>
      </x:c>
      <x:c r="K600" s="52" t="n">
        <x:f>IFERROR(I600/H600,"")</x:f>
        <x:v>1.0728571517594607</x:v>
      </x:c>
      <x:c r="L600" s="52" t="n">
        <x:v>300</x:v>
      </x:c>
      <x:c r="M600" s="65" t="n">
        <x:f>IF(H600&lt;=L600,1,0)</x:f>
        <x:v>1</x:v>
      </x:c>
      <x:c r="N600" s="65" t="n">
        <x:f>IF(I600&lt;=L600,1,0)</x:f>
        <x:v>1</x:v>
      </x:c>
      <x:c r="O600" s="51" t="str">
        <x:f>IF(M600=N600,"不变",IF(N600=1,"由禁变允","由允变禁"))</x:f>
        <x:v>不变</x:v>
      </x:c>
      <x:c r="P600" s="51" t="str">
        <x:v>OSRM driving/car</x:v>
      </x:c>
      <x:c r="Q600" s="51" t="str">
        <x:v>2026-08-15</x:v>
      </x:c>
      <x:c r="R600" s="51" t="str">
        <x:v>C-开放路网计算；不是货车/危运合规路线</x:v>
      </x:c>
      <x:c r="S600" s="51" t="str">
        <x:v>https://routing.openstreetmap.de/routed-car/</x:v>
      </x:c>
    </x:row>
    <x:row r="601">
      <x:c r="A601" s="51" t="str">
        <x:v>A0597</x:v>
      </x:c>
      <x:c r="B601" s="51" t="str">
        <x:v>C07</x:v>
      </x:c>
      <x:c r="C601" s="51" t="str">
        <x:v>collection</x:v>
      </x:c>
      <x:c r="D601" s="51" t="str">
        <x:v>河源虚拟回收/检测中心</x:v>
      </x:c>
      <x:c r="E601" s="51" t="str">
        <x:v>P11</x:v>
      </x:c>
      <x:c r="F601" s="51" t="str">
        <x:v>echelon</x:v>
      </x:c>
      <x:c r="G601" s="51" t="str">
        <x:v>深圳市杰成镍钴新能源科技有限公司</x:v>
      </x:c>
      <x:c r="H601" s="52" t="n">
        <x:v>241.38401680373065</x:v>
      </x:c>
      <x:c r="I601" s="52" t="n">
        <x:v>249.9957</x:v>
      </x:c>
      <x:c r="J601" s="52" t="n">
        <x:v>196.06</x:v>
      </x:c>
      <x:c r="K601" s="52" t="n">
        <x:f>IFERROR(I601/H601,"")</x:f>
        <x:v>1.035676277618959</x:v>
      </x:c>
      <x:c r="L601" s="52" t="n">
        <x:v>300</x:v>
      </x:c>
      <x:c r="M601" s="65" t="n">
        <x:f>IF(H601&lt;=L601,1,0)</x:f>
        <x:v>1</x:v>
      </x:c>
      <x:c r="N601" s="65" t="n">
        <x:f>IF(I601&lt;=L601,1,0)</x:f>
        <x:v>1</x:v>
      </x:c>
      <x:c r="O601" s="51" t="str">
        <x:f>IF(M601=N601,"不变",IF(N601=1,"由禁变允","由允变禁"))</x:f>
        <x:v>不变</x:v>
      </x:c>
      <x:c r="P601" s="51" t="str">
        <x:v>OSRM driving/car</x:v>
      </x:c>
      <x:c r="Q601" s="51" t="str">
        <x:v>2026-08-15</x:v>
      </x:c>
      <x:c r="R601" s="51" t="str">
        <x:v>C-开放路网计算；不是货车/危运合规路线</x:v>
      </x:c>
      <x:c r="S601" s="51" t="str">
        <x:v>https://routing.openstreetmap.de/routed-car/</x:v>
      </x:c>
    </x:row>
    <x:row r="602">
      <x:c r="A602" s="51" t="str">
        <x:v>A0598</x:v>
      </x:c>
      <x:c r="B602" s="51" t="str">
        <x:v>C07</x:v>
      </x:c>
      <x:c r="C602" s="51" t="str">
        <x:v>collection</x:v>
      </x:c>
      <x:c r="D602" s="51" t="str">
        <x:v>河源虚拟回收/检测中心</x:v>
      </x:c>
      <x:c r="E602" s="51" t="str">
        <x:v>P12</x:v>
      </x:c>
      <x:c r="F602" s="51" t="str">
        <x:v>recycling</x:v>
      </x:c>
      <x:c r="G602" s="51" t="str">
        <x:v>江门市恒创睿能环保科技有限公司</x:v>
      </x:c>
      <x:c r="H602" s="52" t="n">
        <x:v>316.3240228712952</x:v>
      </x:c>
      <x:c r="I602" s="52" t="n">
        <x:v>347.3153</x:v>
      </x:c>
      <x:c r="J602" s="52" t="n">
        <x:v>263.8983333333333</x:v>
      </x:c>
      <x:c r="K602" s="52" t="n">
        <x:f>IFERROR(I602/H602,"")</x:f>
        <x:v>1.0979732011732615</x:v>
      </x:c>
      <x:c r="L602" s="52" t="n">
        <x:v>400</x:v>
      </x:c>
      <x:c r="M602" s="65" t="n">
        <x:f>IF(H602&lt;=L602,1,0)</x:f>
        <x:v>1</x:v>
      </x:c>
      <x:c r="N602" s="65" t="n">
        <x:f>IF(I602&lt;=L602,1,0)</x:f>
        <x:v>1</x:v>
      </x:c>
      <x:c r="O602" s="51" t="str">
        <x:f>IF(M602=N602,"不变",IF(N602=1,"由禁变允","由允变禁"))</x:f>
        <x:v>不变</x:v>
      </x:c>
      <x:c r="P602" s="51" t="str">
        <x:v>OSRM driving/car</x:v>
      </x:c>
      <x:c r="Q602" s="51" t="str">
        <x:v>2026-08-15</x:v>
      </x:c>
      <x:c r="R602" s="51" t="str">
        <x:v>C-开放路网计算；不是货车/危运合规路线</x:v>
      </x:c>
      <x:c r="S602" s="51" t="str">
        <x:v>https://routing.openstreetmap.de/routed-car/</x:v>
      </x:c>
    </x:row>
    <x:row r="603">
      <x:c r="A603" s="51" t="str">
        <x:v>A0599</x:v>
      </x:c>
      <x:c r="B603" s="51" t="str">
        <x:v>C07</x:v>
      </x:c>
      <x:c r="C603" s="51" t="str">
        <x:v>collection</x:v>
      </x:c>
      <x:c r="D603" s="51" t="str">
        <x:v>河源虚拟回收/检测中心</x:v>
      </x:c>
      <x:c r="E603" s="51" t="str">
        <x:v>P13</x:v>
      </x:c>
      <x:c r="F603" s="51" t="str">
        <x:v>recycling</x:v>
      </x:c>
      <x:c r="G603" s="51" t="str">
        <x:v>广东佳纳能源科技有限公司</x:v>
      </x:c>
      <x:c r="H603" s="52" t="n">
        <x:v>251.14636384742758</x:v>
      </x:c>
      <x:c r="I603" s="52" t="n">
        <x:v>286.3671</x:v>
      </x:c>
      <x:c r="J603" s="52" t="n">
        <x:v>228.09333333333333</x:v>
      </x:c>
      <x:c r="K603" s="52" t="n">
        <x:f>IFERROR(I603/H603,"")</x:f>
        <x:v>1.1402398808925984</x:v>
      </x:c>
      <x:c r="L603" s="52" t="n">
        <x:v>400</x:v>
      </x:c>
      <x:c r="M603" s="65" t="n">
        <x:f>IF(H603&lt;=L603,1,0)</x:f>
        <x:v>1</x:v>
      </x:c>
      <x:c r="N603" s="65" t="n">
        <x:f>IF(I603&lt;=L603,1,0)</x:f>
        <x:v>1</x:v>
      </x:c>
      <x:c r="O603" s="51" t="str">
        <x:f>IF(M603=N603,"不变",IF(N603=1,"由禁变允","由允变禁"))</x:f>
        <x:v>不变</x:v>
      </x:c>
      <x:c r="P603" s="51" t="str">
        <x:v>OSRM driving/car</x:v>
      </x:c>
      <x:c r="Q603" s="51" t="str">
        <x:v>2026-08-15</x:v>
      </x:c>
      <x:c r="R603" s="51" t="str">
        <x:v>C-开放路网计算；不是货车/危运合规路线</x:v>
      </x:c>
      <x:c r="S603" s="51" t="str">
        <x:v>https://routing.openstreetmap.de/routed-car/</x:v>
      </x:c>
    </x:row>
    <x:row r="604">
      <x:c r="A604" s="51" t="str">
        <x:v>A0600</x:v>
      </x:c>
      <x:c r="B604" s="51" t="str">
        <x:v>C07</x:v>
      </x:c>
      <x:c r="C604" s="51" t="str">
        <x:v>collection</x:v>
      </x:c>
      <x:c r="D604" s="51" t="str">
        <x:v>河源虚拟回收/检测中心</x:v>
      </x:c>
      <x:c r="E604" s="51" t="str">
        <x:v>P14</x:v>
      </x:c>
      <x:c r="F604" s="51" t="str">
        <x:v>echelon</x:v>
      </x:c>
      <x:c r="G604" s="51" t="str">
        <x:v>格林美（深圳）循环科技有限公司</x:v>
      </x:c>
      <x:c r="H604" s="52" t="n">
        <x:v>241.38401680373065</x:v>
      </x:c>
      <x:c r="I604" s="52" t="n">
        <x:v>249.9957</x:v>
      </x:c>
      <x:c r="J604" s="52" t="n">
        <x:v>196.06</x:v>
      </x:c>
      <x:c r="K604" s="52" t="n">
        <x:f>IFERROR(I604/H604,"")</x:f>
        <x:v>1.035676277618959</x:v>
      </x:c>
      <x:c r="L604" s="52" t="n">
        <x:v>300</x:v>
      </x:c>
      <x:c r="M604" s="65" t="n">
        <x:f>IF(H604&lt;=L604,1,0)</x:f>
        <x:v>1</x:v>
      </x:c>
      <x:c r="N604" s="65" t="n">
        <x:f>IF(I604&lt;=L604,1,0)</x:f>
        <x:v>1</x:v>
      </x:c>
      <x:c r="O604" s="51" t="str">
        <x:f>IF(M604=N604,"不变",IF(N604=1,"由禁变允","由允变禁"))</x:f>
        <x:v>不变</x:v>
      </x:c>
      <x:c r="P604" s="51" t="str">
        <x:v>OSRM driving/car</x:v>
      </x:c>
      <x:c r="Q604" s="51" t="str">
        <x:v>2026-08-15</x:v>
      </x:c>
      <x:c r="R604" s="51" t="str">
        <x:v>C-开放路网计算；不是货车/危运合规路线</x:v>
      </x:c>
      <x:c r="S604" s="51" t="str">
        <x:v>https://routing.openstreetmap.de/routed-car/</x:v>
      </x:c>
    </x:row>
    <x:row r="605">
      <x:c r="A605" s="51" t="str">
        <x:v>A0601</x:v>
      </x:c>
      <x:c r="B605" s="51" t="str">
        <x:v>C07</x:v>
      </x:c>
      <x:c r="C605" s="51" t="str">
        <x:v>collection</x:v>
      </x:c>
      <x:c r="D605" s="51" t="str">
        <x:v>河源虚拟回收/检测中心</x:v>
      </x:c>
      <x:c r="E605" s="51" t="str">
        <x:v>P15</x:v>
      </x:c>
      <x:c r="F605" s="51" t="str">
        <x:v>echelon</x:v>
      </x:c>
      <x:c r="G605" s="51" t="str">
        <x:v>绿循新能源科技（佛山）有限责任公司</x:v>
      </x:c>
      <x:c r="H605" s="52" t="n">
        <x:v>277.62076243937133</x:v>
      </x:c>
      <x:c r="I605" s="52" t="n">
        <x:v>291.10209999999995</x:v>
      </x:c>
      <x:c r="J605" s="52" t="n">
        <x:v>232.91</x:v>
      </x:c>
      <x:c r="K605" s="52" t="n">
        <x:f>IFERROR(I605/H605,"")</x:f>
        <x:v>1.0485602641609804</x:v>
      </x:c>
      <x:c r="L605" s="52" t="n">
        <x:v>300</x:v>
      </x:c>
      <x:c r="M605" s="65" t="n">
        <x:f>IF(H605&lt;=L605,1,0)</x:f>
        <x:v>1</x:v>
      </x:c>
      <x:c r="N605" s="65" t="n">
        <x:f>IF(I605&lt;=L605,1,0)</x:f>
        <x:v>1</x:v>
      </x:c>
      <x:c r="O605" s="51" t="str">
        <x:f>IF(M605=N605,"不变",IF(N605=1,"由禁变允","由允变禁"))</x:f>
        <x:v>不变</x:v>
      </x:c>
      <x:c r="P605" s="51" t="str">
        <x:v>OSRM driving/car</x:v>
      </x:c>
      <x:c r="Q605" s="51" t="str">
        <x:v>2026-08-15</x:v>
      </x:c>
      <x:c r="R605" s="51" t="str">
        <x:v>C-开放路网计算；不是货车/危运合规路线</x:v>
      </x:c>
      <x:c r="S605" s="51" t="str">
        <x:v>https://routing.openstreetmap.de/routed-car/</x:v>
      </x:c>
    </x:row>
    <x:row r="606">
      <x:c r="A606" s="51" t="str">
        <x:v>A0602</x:v>
      </x:c>
      <x:c r="B606" s="51" t="str">
        <x:v>C07</x:v>
      </x:c>
      <x:c r="C606" s="51" t="str">
        <x:v>collection</x:v>
      </x:c>
      <x:c r="D606" s="51" t="str">
        <x:v>河源虚拟回收/检测中心</x:v>
      </x:c>
      <x:c r="E606" s="51" t="str">
        <x:v>P16</x:v>
      </x:c>
      <x:c r="F606" s="51" t="str">
        <x:v>echelon</x:v>
      </x:c>
      <x:c r="G606" s="51" t="str">
        <x:v>深圳艾云动智慧科技有限公司</x:v>
      </x:c>
      <x:c r="H606" s="52" t="n">
        <x:v>241.38401680373065</x:v>
      </x:c>
      <x:c r="I606" s="52" t="n">
        <x:v>249.9957</x:v>
      </x:c>
      <x:c r="J606" s="52" t="n">
        <x:v>196.06</x:v>
      </x:c>
      <x:c r="K606" s="52" t="n">
        <x:f>IFERROR(I606/H606,"")</x:f>
        <x:v>1.035676277618959</x:v>
      </x:c>
      <x:c r="L606" s="52" t="n">
        <x:v>300</x:v>
      </x:c>
      <x:c r="M606" s="65" t="n">
        <x:f>IF(H606&lt;=L606,1,0)</x:f>
        <x:v>1</x:v>
      </x:c>
      <x:c r="N606" s="65" t="n">
        <x:f>IF(I606&lt;=L606,1,0)</x:f>
        <x:v>1</x:v>
      </x:c>
      <x:c r="O606" s="51" t="str">
        <x:f>IF(M606=N606,"不变",IF(N606=1,"由禁变允","由允变禁"))</x:f>
        <x:v>不变</x:v>
      </x:c>
      <x:c r="P606" s="51" t="str">
        <x:v>OSRM driving/car</x:v>
      </x:c>
      <x:c r="Q606" s="51" t="str">
        <x:v>2026-08-15</x:v>
      </x:c>
      <x:c r="R606" s="51" t="str">
        <x:v>C-开放路网计算；不是货车/危运合规路线</x:v>
      </x:c>
      <x:c r="S606" s="51" t="str">
        <x:v>https://routing.openstreetmap.de/routed-car/</x:v>
      </x:c>
    </x:row>
    <x:row r="607">
      <x:c r="A607" s="51" t="str">
        <x:v>A0603</x:v>
      </x:c>
      <x:c r="B607" s="51" t="str">
        <x:v>C07</x:v>
      </x:c>
      <x:c r="C607" s="51" t="str">
        <x:v>collection</x:v>
      </x:c>
      <x:c r="D607" s="51" t="str">
        <x:v>河源虚拟回收/检测中心</x:v>
      </x:c>
      <x:c r="E607" s="51" t="str">
        <x:v>P17</x:v>
      </x:c>
      <x:c r="F607" s="51" t="str">
        <x:v>echelon</x:v>
      </x:c>
      <x:c r="G607" s="51" t="str">
        <x:v>深圳市荣高晟新能源科技有限公司</x:v>
      </x:c>
      <x:c r="H607" s="52" t="n">
        <x:v>241.38401680373065</x:v>
      </x:c>
      <x:c r="I607" s="52" t="n">
        <x:v>249.9957</x:v>
      </x:c>
      <x:c r="J607" s="52" t="n">
        <x:v>196.06</x:v>
      </x:c>
      <x:c r="K607" s="52" t="n">
        <x:f>IFERROR(I607/H607,"")</x:f>
        <x:v>1.035676277618959</x:v>
      </x:c>
      <x:c r="L607" s="52" t="n">
        <x:v>300</x:v>
      </x:c>
      <x:c r="M607" s="65" t="n">
        <x:f>IF(H607&lt;=L607,1,0)</x:f>
        <x:v>1</x:v>
      </x:c>
      <x:c r="N607" s="65" t="n">
        <x:f>IF(I607&lt;=L607,1,0)</x:f>
        <x:v>1</x:v>
      </x:c>
      <x:c r="O607" s="51" t="str">
        <x:f>IF(M607=N607,"不变",IF(N607=1,"由禁变允","由允变禁"))</x:f>
        <x:v>不变</x:v>
      </x:c>
      <x:c r="P607" s="51" t="str">
        <x:v>OSRM driving/car</x:v>
      </x:c>
      <x:c r="Q607" s="51" t="str">
        <x:v>2026-08-15</x:v>
      </x:c>
      <x:c r="R607" s="51" t="str">
        <x:v>C-开放路网计算；不是货车/危运合规路线</x:v>
      </x:c>
      <x:c r="S607" s="51" t="str">
        <x:v>https://routing.openstreetmap.de/routed-car/</x:v>
      </x:c>
    </x:row>
    <x:row r="608">
      <x:c r="A608" s="51" t="str">
        <x:v>A0604</x:v>
      </x:c>
      <x:c r="B608" s="51" t="str">
        <x:v>C07</x:v>
      </x:c>
      <x:c r="C608" s="51" t="str">
        <x:v>collection</x:v>
      </x:c>
      <x:c r="D608" s="51" t="str">
        <x:v>河源虚拟回收/检测中心</x:v>
      </x:c>
      <x:c r="E608" s="51" t="str">
        <x:v>P18</x:v>
      </x:c>
      <x:c r="F608" s="51" t="str">
        <x:v>echelon</x:v>
      </x:c>
      <x:c r="G608" s="51" t="str">
        <x:v>中商锂新能源科技（惠州）有限公司</x:v>
      </x:c>
      <x:c r="H608" s="52" t="n">
        <x:v>153.73276695379784</x:v>
      </x:c>
      <x:c r="I608" s="52" t="n">
        <x:v>162.7103</x:v>
      </x:c>
      <x:c r="J608" s="52" t="n">
        <x:v>135.45666666666665</x:v>
      </x:c>
      <x:c r="K608" s="52" t="n">
        <x:f>IFERROR(I608/H608,"")</x:f>
        <x:v>1.0583970042567452</x:v>
      </x:c>
      <x:c r="L608" s="52" t="n">
        <x:v>300</x:v>
      </x:c>
      <x:c r="M608" s="65" t="n">
        <x:f>IF(H608&lt;=L608,1,0)</x:f>
        <x:v>1</x:v>
      </x:c>
      <x:c r="N608" s="65" t="n">
        <x:f>IF(I608&lt;=L608,1,0)</x:f>
        <x:v>1</x:v>
      </x:c>
      <x:c r="O608" s="51" t="str">
        <x:f>IF(M608=N608,"不变",IF(N608=1,"由禁变允","由允变禁"))</x:f>
        <x:v>不变</x:v>
      </x:c>
      <x:c r="P608" s="51" t="str">
        <x:v>OSRM driving/car</x:v>
      </x:c>
      <x:c r="Q608" s="51" t="str">
        <x:v>2026-08-15</x:v>
      </x:c>
      <x:c r="R608" s="51" t="str">
        <x:v>C-开放路网计算；不是货车/危运合规路线</x:v>
      </x:c>
      <x:c r="S608" s="51" t="str">
        <x:v>https://routing.openstreetmap.de/routed-car/</x:v>
      </x:c>
    </x:row>
    <x:row r="609">
      <x:c r="A609" s="51" t="str">
        <x:v>A0605</x:v>
      </x:c>
      <x:c r="B609" s="51" t="str">
        <x:v>C07</x:v>
      </x:c>
      <x:c r="C609" s="51" t="str">
        <x:v>collection</x:v>
      </x:c>
      <x:c r="D609" s="51" t="str">
        <x:v>河源虚拟回收/检测中心</x:v>
      </x:c>
      <x:c r="E609" s="51" t="str">
        <x:v>P19</x:v>
      </x:c>
      <x:c r="F609" s="51" t="str">
        <x:v>recycling</x:v>
      </x:c>
      <x:c r="G609" s="51" t="str">
        <x:v>广东盛祥新材料科技有限公司</x:v>
      </x:c>
      <x:c r="H609" s="52" t="n">
        <x:v>179.54353323515195</x:v>
      </x:c>
      <x:c r="I609" s="52" t="n">
        <x:v>249.704</x:v>
      </x:c>
      <x:c r="J609" s="52" t="n">
        <x:v>217.09666666666666</x:v>
      </x:c>
      <x:c r="K609" s="52" t="n">
        <x:f>IFERROR(I609/H609,"")</x:f>
        <x:v>1.3907713382968654</x:v>
      </x:c>
      <x:c r="L609" s="52" t="n">
        <x:v>400</x:v>
      </x:c>
      <x:c r="M609" s="65" t="n">
        <x:f>IF(H609&lt;=L609,1,0)</x:f>
        <x:v>1</x:v>
      </x:c>
      <x:c r="N609" s="65" t="n">
        <x:f>IF(I609&lt;=L609,1,0)</x:f>
        <x:v>1</x:v>
      </x:c>
      <x:c r="O609" s="51" t="str">
        <x:f>IF(M609=N609,"不变",IF(N609=1,"由禁变允","由允变禁"))</x:f>
        <x:v>不变</x:v>
      </x:c>
      <x:c r="P609" s="51" t="str">
        <x:v>OSRM driving/car</x:v>
      </x:c>
      <x:c r="Q609" s="51" t="str">
        <x:v>2026-08-15</x:v>
      </x:c>
      <x:c r="R609" s="51" t="str">
        <x:v>C-开放路网计算；不是货车/危运合规路线</x:v>
      </x:c>
      <x:c r="S609" s="51" t="str">
        <x:v>https://routing.openstreetmap.de/routed-car/</x:v>
      </x:c>
    </x:row>
    <x:row r="610">
      <x:c r="A610" s="51" t="str">
        <x:v>A0606</x:v>
      </x:c>
      <x:c r="B610" s="51" t="str">
        <x:v>C07</x:v>
      </x:c>
      <x:c r="C610" s="51" t="str">
        <x:v>collection</x:v>
      </x:c>
      <x:c r="D610" s="51" t="str">
        <x:v>河源虚拟回收/检测中心</x:v>
      </x:c>
      <x:c r="E610" s="51" t="str">
        <x:v>P20E</x:v>
      </x:c>
      <x:c r="F610" s="51" t="str">
        <x:v>echelon</x:v>
      </x:c>
      <x:c r="G610" s="51" t="str">
        <x:v>广东金晟新能源股份有限公司（梯次功能）</x:v>
      </x:c>
      <x:c r="H610" s="52" t="n">
        <x:v>347.2375461741987</x:v>
      </x:c>
      <x:c r="I610" s="52" t="n">
        <x:v>369.1929</x:v>
      </x:c>
      <x:c r="J610" s="52" t="n">
        <x:v>280.8616666666667</x:v>
      </x:c>
      <x:c r="K610" s="52" t="n">
        <x:f>IFERROR(I610/H610,"")</x:f>
        <x:v>1.0632286285504016</x:v>
      </x:c>
      <x:c r="L610" s="52" t="n">
        <x:v>300</x:v>
      </x:c>
      <x:c r="M610" s="65" t="n">
        <x:f>IF(H610&lt;=L610,1,0)</x:f>
        <x:v>0</x:v>
      </x:c>
      <x:c r="N610" s="65" t="n">
        <x:f>IF(I610&lt;=L610,1,0)</x:f>
        <x:v>0</x:v>
      </x:c>
      <x:c r="O610" s="51" t="str">
        <x:f>IF(M610=N610,"不变",IF(N610=1,"由禁变允","由允变禁"))</x:f>
        <x:v>不变</x:v>
      </x:c>
      <x:c r="P610" s="51" t="str">
        <x:v>OSRM driving/car</x:v>
      </x:c>
      <x:c r="Q610" s="51" t="str">
        <x:v>2026-08-15</x:v>
      </x:c>
      <x:c r="R610" s="51" t="str">
        <x:v>C-开放路网计算；不是货车/危运合规路线</x:v>
      </x:c>
      <x:c r="S610" s="51" t="str">
        <x:v>https://routing.openstreetmap.de/routed-car/</x:v>
      </x:c>
    </x:row>
    <x:row r="611">
      <x:c r="A611" s="51" t="str">
        <x:v>A0607</x:v>
      </x:c>
      <x:c r="B611" s="51" t="str">
        <x:v>C07</x:v>
      </x:c>
      <x:c r="C611" s="51" t="str">
        <x:v>collection</x:v>
      </x:c>
      <x:c r="D611" s="51" t="str">
        <x:v>河源虚拟回收/检测中心</x:v>
      </x:c>
      <x:c r="E611" s="51" t="str">
        <x:v>P20R</x:v>
      </x:c>
      <x:c r="F611" s="51" t="str">
        <x:v>recycling</x:v>
      </x:c>
      <x:c r="G611" s="51" t="str">
        <x:v>广东金晟新能源股份有限公司（再生功能）</x:v>
      </x:c>
      <x:c r="H611" s="52" t="n">
        <x:v>347.2375461741987</x:v>
      </x:c>
      <x:c r="I611" s="52" t="n">
        <x:v>369.1929</x:v>
      </x:c>
      <x:c r="J611" s="52" t="n">
        <x:v>280.8616666666667</x:v>
      </x:c>
      <x:c r="K611" s="52" t="n">
        <x:f>IFERROR(I611/H611,"")</x:f>
        <x:v>1.0632286285504016</x:v>
      </x:c>
      <x:c r="L611" s="52" t="n">
        <x:v>400</x:v>
      </x:c>
      <x:c r="M611" s="65" t="n">
        <x:f>IF(H611&lt;=L611,1,0)</x:f>
        <x:v>1</x:v>
      </x:c>
      <x:c r="N611" s="65" t="n">
        <x:f>IF(I611&lt;=L611,1,0)</x:f>
        <x:v>1</x:v>
      </x:c>
      <x:c r="O611" s="51" t="str">
        <x:f>IF(M611=N611,"不变",IF(N611=1,"由禁变允","由允变禁"))</x:f>
        <x:v>不变</x:v>
      </x:c>
      <x:c r="P611" s="51" t="str">
        <x:v>OSRM driving/car</x:v>
      </x:c>
      <x:c r="Q611" s="51" t="str">
        <x:v>2026-08-15</x:v>
      </x:c>
      <x:c r="R611" s="51" t="str">
        <x:v>C-开放路网计算；不是货车/危运合规路线</x:v>
      </x:c>
      <x:c r="S611" s="51" t="str">
        <x:v>https://routing.openstreetmap.de/routed-car/</x:v>
      </x:c>
    </x:row>
    <x:row r="612">
      <x:c r="A612" s="51" t="str">
        <x:v>A0608</x:v>
      </x:c>
      <x:c r="B612" s="51" t="str">
        <x:v>C07</x:v>
      </x:c>
      <x:c r="C612" s="51" t="str">
        <x:v>collection</x:v>
      </x:c>
      <x:c r="D612" s="51" t="str">
        <x:v>河源虚拟回收/检测中心</x:v>
      </x:c>
      <x:c r="E612" s="51" t="str">
        <x:v>P21E</x:v>
      </x:c>
      <x:c r="F612" s="51" t="str">
        <x:v>echelon</x:v>
      </x:c>
      <x:c r="G612" s="51" t="str">
        <x:v>广东瑞科美电源技术有限公司（梯次功能）</x:v>
      </x:c>
      <x:c r="H612" s="52" t="n">
        <x:v>277.62076243937133</x:v>
      </x:c>
      <x:c r="I612" s="52" t="n">
        <x:v>291.10209999999995</x:v>
      </x:c>
      <x:c r="J612" s="52" t="n">
        <x:v>232.91</x:v>
      </x:c>
      <x:c r="K612" s="52" t="n">
        <x:f>IFERROR(I612/H612,"")</x:f>
        <x:v>1.0485602641609804</x:v>
      </x:c>
      <x:c r="L612" s="52" t="n">
        <x:v>300</x:v>
      </x:c>
      <x:c r="M612" s="65" t="n">
        <x:f>IF(H612&lt;=L612,1,0)</x:f>
        <x:v>1</x:v>
      </x:c>
      <x:c r="N612" s="65" t="n">
        <x:f>IF(I612&lt;=L612,1,0)</x:f>
        <x:v>1</x:v>
      </x:c>
      <x:c r="O612" s="51" t="str">
        <x:f>IF(M612=N612,"不变",IF(N612=1,"由禁变允","由允变禁"))</x:f>
        <x:v>不变</x:v>
      </x:c>
      <x:c r="P612" s="51" t="str">
        <x:v>OSRM driving/car</x:v>
      </x:c>
      <x:c r="Q612" s="51" t="str">
        <x:v>2026-08-15</x:v>
      </x:c>
      <x:c r="R612" s="51" t="str">
        <x:v>C-开放路网计算；不是货车/危运合规路线</x:v>
      </x:c>
      <x:c r="S612" s="51" t="str">
        <x:v>https://routing.openstreetmap.de/routed-car/</x:v>
      </x:c>
    </x:row>
    <x:row r="613">
      <x:c r="A613" s="51" t="str">
        <x:v>A0609</x:v>
      </x:c>
      <x:c r="B613" s="51" t="str">
        <x:v>C07</x:v>
      </x:c>
      <x:c r="C613" s="51" t="str">
        <x:v>collection</x:v>
      </x:c>
      <x:c r="D613" s="51" t="str">
        <x:v>河源虚拟回收/检测中心</x:v>
      </x:c>
      <x:c r="E613" s="51" t="str">
        <x:v>P21R</x:v>
      </x:c>
      <x:c r="F613" s="51" t="str">
        <x:v>recycling</x:v>
      </x:c>
      <x:c r="G613" s="51" t="str">
        <x:v>广东瑞科美电源技术有限公司（再生功能）</x:v>
      </x:c>
      <x:c r="H613" s="52" t="n">
        <x:v>277.62076243937133</x:v>
      </x:c>
      <x:c r="I613" s="52" t="n">
        <x:v>291.10209999999995</x:v>
      </x:c>
      <x:c r="J613" s="52" t="n">
        <x:v>232.91</x:v>
      </x:c>
      <x:c r="K613" s="52" t="n">
        <x:f>IFERROR(I613/H613,"")</x:f>
        <x:v>1.0485602641609804</x:v>
      </x:c>
      <x:c r="L613" s="52" t="n">
        <x:v>400</x:v>
      </x:c>
      <x:c r="M613" s="65" t="n">
        <x:f>IF(H613&lt;=L613,1,0)</x:f>
        <x:v>1</x:v>
      </x:c>
      <x:c r="N613" s="65" t="n">
        <x:f>IF(I613&lt;=L613,1,0)</x:f>
        <x:v>1</x:v>
      </x:c>
      <x:c r="O613" s="51" t="str">
        <x:f>IF(M613=N613,"不变",IF(N613=1,"由禁变允","由允变禁"))</x:f>
        <x:v>不变</x:v>
      </x:c>
      <x:c r="P613" s="51" t="str">
        <x:v>OSRM driving/car</x:v>
      </x:c>
      <x:c r="Q613" s="51" t="str">
        <x:v>2026-08-15</x:v>
      </x:c>
      <x:c r="R613" s="51" t="str">
        <x:v>C-开放路网计算；不是货车/危运合规路线</x:v>
      </x:c>
      <x:c r="S613" s="51" t="str">
        <x:v>https://routing.openstreetmap.de/routed-car/</x:v>
      </x:c>
    </x:row>
    <x:row r="614">
      <x:c r="A614" s="51" t="str">
        <x:v>A0610</x:v>
      </x:c>
      <x:c r="B614" s="51" t="str">
        <x:v>C08</x:v>
      </x:c>
      <x:c r="C614" s="51" t="str">
        <x:v>collection</x:v>
      </x:c>
      <x:c r="D614" s="51" t="str">
        <x:v>梅州虚拟回收/检测中心</x:v>
      </x:c>
      <x:c r="E614" s="51" t="str">
        <x:v>P01</x:v>
      </x:c>
      <x:c r="F614" s="51" t="str">
        <x:v>recycling</x:v>
      </x:c>
      <x:c r="G614" s="51" t="str">
        <x:v>汕尾比亚迪废旧动力电池回收项目</x:v>
      </x:c>
      <x:c r="H614" s="52" t="n">
        <x:v>215.52013332303915</x:v>
      </x:c>
      <x:c r="I614" s="52" t="n">
        <x:v>216.151</x:v>
      </x:c>
      <x:c r="J614" s="52" t="n">
        <x:v>150.625</x:v>
      </x:c>
      <x:c r="K614" s="52" t="n">
        <x:f>IFERROR(I614/H614,"")</x:f>
        <x:v>1.0029271821023573</x:v>
      </x:c>
      <x:c r="L614" s="52" t="n">
        <x:v>400</x:v>
      </x:c>
      <x:c r="M614" s="65" t="n">
        <x:f>IF(H614&lt;=L614,1,0)</x:f>
        <x:v>1</x:v>
      </x:c>
      <x:c r="N614" s="65" t="n">
        <x:f>IF(I614&lt;=L614,1,0)</x:f>
        <x:v>1</x:v>
      </x:c>
      <x:c r="O614" s="51" t="str">
        <x:f>IF(M614=N614,"不变",IF(N614=1,"由禁变允","由允变禁"))</x:f>
        <x:v>不变</x:v>
      </x:c>
      <x:c r="P614" s="51" t="str">
        <x:v>OSRM driving/car</x:v>
      </x:c>
      <x:c r="Q614" s="51" t="str">
        <x:v>2026-08-15</x:v>
      </x:c>
      <x:c r="R614" s="51" t="str">
        <x:v>C-开放路网计算；不是货车/危运合规路线</x:v>
      </x:c>
      <x:c r="S614" s="51" t="str">
        <x:v>https://routing.openstreetmap.de/routed-car/</x:v>
      </x:c>
    </x:row>
    <x:row r="615">
      <x:c r="A615" s="51" t="str">
        <x:v>A0611</x:v>
      </x:c>
      <x:c r="B615" s="51" t="str">
        <x:v>C08</x:v>
      </x:c>
      <x:c r="C615" s="51" t="str">
        <x:v>collection</x:v>
      </x:c>
      <x:c r="D615" s="51" t="str">
        <x:v>梅州虚拟回收/检测中心</x:v>
      </x:c>
      <x:c r="E615" s="51" t="str">
        <x:v>P02E</x:v>
      </x:c>
      <x:c r="F615" s="51" t="str">
        <x:v>echelon</x:v>
      </x:c>
      <x:c r="G615" s="51" t="str">
        <x:v>广东光华科技股份有限公司（梯次功能）</x:v>
      </x:c>
      <x:c r="H615" s="52" t="n">
        <x:v>142.3374058165527</x:v>
      </x:c>
      <x:c r="I615" s="52" t="n">
        <x:v>155.01139999999998</x:v>
      </x:c>
      <x:c r="J615" s="52" t="n">
        <x:v>114.345</x:v>
      </x:c>
      <x:c r="K615" s="52" t="n">
        <x:f>IFERROR(I615/H615,"")</x:f>
        <x:v>1.0890419079281366</x:v>
      </x:c>
      <x:c r="L615" s="52" t="n">
        <x:v>300</x:v>
      </x:c>
      <x:c r="M615" s="65" t="n">
        <x:f>IF(H615&lt;=L615,1,0)</x:f>
        <x:v>1</x:v>
      </x:c>
      <x:c r="N615" s="65" t="n">
        <x:f>IF(I615&lt;=L615,1,0)</x:f>
        <x:v>1</x:v>
      </x:c>
      <x:c r="O615" s="51" t="str">
        <x:f>IF(M615=N615,"不变",IF(N615=1,"由禁变允","由允变禁"))</x:f>
        <x:v>不变</x:v>
      </x:c>
      <x:c r="P615" s="51" t="str">
        <x:v>OSRM driving/car</x:v>
      </x:c>
      <x:c r="Q615" s="51" t="str">
        <x:v>2026-08-15</x:v>
      </x:c>
      <x:c r="R615" s="51" t="str">
        <x:v>C-开放路网计算；不是货车/危运合规路线</x:v>
      </x:c>
      <x:c r="S615" s="51" t="str">
        <x:v>https://routing.openstreetmap.de/routed-car/</x:v>
      </x:c>
    </x:row>
    <x:row r="616">
      <x:c r="A616" s="51" t="str">
        <x:v>A0612</x:v>
      </x:c>
      <x:c r="B616" s="51" t="str">
        <x:v>C08</x:v>
      </x:c>
      <x:c r="C616" s="51" t="str">
        <x:v>collection</x:v>
      </x:c>
      <x:c r="D616" s="51" t="str">
        <x:v>梅州虚拟回收/检测中心</x:v>
      </x:c>
      <x:c r="E616" s="51" t="str">
        <x:v>P02R</x:v>
      </x:c>
      <x:c r="F616" s="51" t="str">
        <x:v>recycling</x:v>
      </x:c>
      <x:c r="G616" s="51" t="str">
        <x:v>广东光华科技股份有限公司（再生功能）</x:v>
      </x:c>
      <x:c r="H616" s="52" t="n">
        <x:v>142.3374058165527</x:v>
      </x:c>
      <x:c r="I616" s="52" t="n">
        <x:v>155.01139999999998</x:v>
      </x:c>
      <x:c r="J616" s="52" t="n">
        <x:v>114.345</x:v>
      </x:c>
      <x:c r="K616" s="52" t="n">
        <x:f>IFERROR(I616/H616,"")</x:f>
        <x:v>1.0890419079281366</x:v>
      </x:c>
      <x:c r="L616" s="52" t="n">
        <x:v>400</x:v>
      </x:c>
      <x:c r="M616" s="65" t="n">
        <x:f>IF(H616&lt;=L616,1,0)</x:f>
        <x:v>1</x:v>
      </x:c>
      <x:c r="N616" s="65" t="n">
        <x:f>IF(I616&lt;=L616,1,0)</x:f>
        <x:v>1</x:v>
      </x:c>
      <x:c r="O616" s="51" t="str">
        <x:f>IF(M616=N616,"不变",IF(N616=1,"由禁变允","由允变禁"))</x:f>
        <x:v>不变</x:v>
      </x:c>
      <x:c r="P616" s="51" t="str">
        <x:v>OSRM driving/car</x:v>
      </x:c>
      <x:c r="Q616" s="51" t="str">
        <x:v>2026-08-15</x:v>
      </x:c>
      <x:c r="R616" s="51" t="str">
        <x:v>C-开放路网计算；不是货车/危运合规路线</x:v>
      </x:c>
      <x:c r="S616" s="51" t="str">
        <x:v>https://routing.openstreetmap.de/routed-car/</x:v>
      </x:c>
    </x:row>
    <x:row r="617">
      <x:c r="A617" s="51" t="str">
        <x:v>A0613</x:v>
      </x:c>
      <x:c r="B617" s="51" t="str">
        <x:v>C08</x:v>
      </x:c>
      <x:c r="C617" s="51" t="str">
        <x:v>collection</x:v>
      </x:c>
      <x:c r="D617" s="51" t="str">
        <x:v>梅州虚拟回收/检测中心</x:v>
      </x:c>
      <x:c r="E617" s="51" t="str">
        <x:v>P03</x:v>
      </x:c>
      <x:c r="F617" s="51" t="str">
        <x:v>echelon</x:v>
      </x:c>
      <x:c r="G617" s="51" t="str">
        <x:v>深圳深汕特别合作区乾泰技术有限公司</x:v>
      </x:c>
      <x:c r="H617" s="52" t="n">
        <x:v>186.1554692104985</x:v>
      </x:c>
      <x:c r="I617" s="52" t="n">
        <x:v>220.6019</x:v>
      </x:c>
      <x:c r="J617" s="52" t="n">
        <x:v>170.65166666666667</x:v>
      </x:c>
      <x:c r="K617" s="52" t="n">
        <x:f>IFERROR(I617/H617,"")</x:f>
        <x:v>1.1850411966706742</x:v>
      </x:c>
      <x:c r="L617" s="52" t="n">
        <x:v>300</x:v>
      </x:c>
      <x:c r="M617" s="65" t="n">
        <x:f>IF(H617&lt;=L617,1,0)</x:f>
        <x:v>1</x:v>
      </x:c>
      <x:c r="N617" s="65" t="n">
        <x:f>IF(I617&lt;=L617,1,0)</x:f>
        <x:v>1</x:v>
      </x:c>
      <x:c r="O617" s="51" t="str">
        <x:f>IF(M617=N617,"不变",IF(N617=1,"由禁变允","由允变禁"))</x:f>
        <x:v>不变</x:v>
      </x:c>
      <x:c r="P617" s="51" t="str">
        <x:v>OSRM driving/car</x:v>
      </x:c>
      <x:c r="Q617" s="51" t="str">
        <x:v>2026-08-15</x:v>
      </x:c>
      <x:c r="R617" s="51" t="str">
        <x:v>C-开放路网计算；不是货车/危运合规路线</x:v>
      </x:c>
      <x:c r="S617" s="51" t="str">
        <x:v>https://routing.openstreetmap.de/routed-car/</x:v>
      </x:c>
    </x:row>
    <x:row r="618">
      <x:c r="A618" s="51" t="str">
        <x:v>A0614</x:v>
      </x:c>
      <x:c r="B618" s="51" t="str">
        <x:v>C08</x:v>
      </x:c>
      <x:c r="C618" s="51" t="str">
        <x:v>collection</x:v>
      </x:c>
      <x:c r="D618" s="51" t="str">
        <x:v>梅州虚拟回收/检测中心</x:v>
      </x:c>
      <x:c r="E618" s="51" t="str">
        <x:v>P04</x:v>
      </x:c>
      <x:c r="F618" s="51" t="str">
        <x:v>echelon</x:v>
      </x:c>
      <x:c r="G618" s="51" t="str">
        <x:v>珠海中力新能源科技有限公司</x:v>
      </x:c>
      <x:c r="H618" s="52" t="n">
        <x:v>412.0677892611643</x:v>
      </x:c>
      <x:c r="I618" s="52" t="n">
        <x:v>452.3677</x:v>
      </x:c>
      <x:c r="J618" s="52" t="n">
        <x:v>321.2866666666667</x:v>
      </x:c>
      <x:c r="K618" s="52" t="n">
        <x:f>IFERROR(I618/H618,"")</x:f>
        <x:v>1.0977992257319924</x:v>
      </x:c>
      <x:c r="L618" s="52" t="n">
        <x:v>300</x:v>
      </x:c>
      <x:c r="M618" s="65" t="n">
        <x:f>IF(H618&lt;=L618,1,0)</x:f>
        <x:v>0</x:v>
      </x:c>
      <x:c r="N618" s="65" t="n">
        <x:f>IF(I618&lt;=L618,1,0)</x:f>
        <x:v>0</x:v>
      </x:c>
      <x:c r="O618" s="51" t="str">
        <x:f>IF(M618=N618,"不变",IF(N618=1,"由禁变允","由允变禁"))</x:f>
        <x:v>不变</x:v>
      </x:c>
      <x:c r="P618" s="51" t="str">
        <x:v>OSRM driving/car</x:v>
      </x:c>
      <x:c r="Q618" s="51" t="str">
        <x:v>2026-08-15</x:v>
      </x:c>
      <x:c r="R618" s="51" t="str">
        <x:v>C-开放路网计算；不是货车/危运合规路线</x:v>
      </x:c>
      <x:c r="S618" s="51" t="str">
        <x:v>https://routing.openstreetmap.de/routed-car/</x:v>
      </x:c>
    </x:row>
    <x:row r="619">
      <x:c r="A619" s="51" t="str">
        <x:v>A0615</x:v>
      </x:c>
      <x:c r="B619" s="51" t="str">
        <x:v>C08</x:v>
      </x:c>
      <x:c r="C619" s="51" t="str">
        <x:v>collection</x:v>
      </x:c>
      <x:c r="D619" s="51" t="str">
        <x:v>梅州虚拟回收/检测中心</x:v>
      </x:c>
      <x:c r="E619" s="51" t="str">
        <x:v>P05</x:v>
      </x:c>
      <x:c r="F619" s="51" t="str">
        <x:v>echelon</x:v>
      </x:c>
      <x:c r="G619" s="51" t="str">
        <x:v>惠州市恒创睿能环保科技有限公司</x:v>
      </x:c>
      <x:c r="H619" s="52" t="n">
        <x:v>261.0101487251689</x:v>
      </x:c>
      <x:c r="I619" s="52" t="n">
        <x:v>270.5127</x:v>
      </x:c>
      <x:c r="J619" s="52" t="n">
        <x:v>189.45166666666668</x:v>
      </x:c>
      <x:c r="K619" s="52" t="n">
        <x:f>IFERROR(I619/H619,"")</x:f>
        <x:v>1.0364068267890871</x:v>
      </x:c>
      <x:c r="L619" s="52" t="n">
        <x:v>300</x:v>
      </x:c>
      <x:c r="M619" s="65" t="n">
        <x:f>IF(H619&lt;=L619,1,0)</x:f>
        <x:v>1</x:v>
      </x:c>
      <x:c r="N619" s="65" t="n">
        <x:f>IF(I619&lt;=L619,1,0)</x:f>
        <x:v>1</x:v>
      </x:c>
      <x:c r="O619" s="51" t="str">
        <x:f>IF(M619=N619,"不变",IF(N619=1,"由禁变允","由允变禁"))</x:f>
        <x:v>不变</x:v>
      </x:c>
      <x:c r="P619" s="51" t="str">
        <x:v>OSRM driving/car</x:v>
      </x:c>
      <x:c r="Q619" s="51" t="str">
        <x:v>2026-08-15</x:v>
      </x:c>
      <x:c r="R619" s="51" t="str">
        <x:v>C-开放路网计算；不是货车/危运合规路线</x:v>
      </x:c>
      <x:c r="S619" s="51" t="str">
        <x:v>https://routing.openstreetmap.de/routed-car/</x:v>
      </x:c>
    </x:row>
    <x:row r="620">
      <x:c r="A620" s="51" t="str">
        <x:v>A0616</x:v>
      </x:c>
      <x:c r="B620" s="51" t="str">
        <x:v>C08</x:v>
      </x:c>
      <x:c r="C620" s="51" t="str">
        <x:v>collection</x:v>
      </x:c>
      <x:c r="D620" s="51" t="str">
        <x:v>梅州虚拟回收/检测中心</x:v>
      </x:c>
      <x:c r="E620" s="51" t="str">
        <x:v>P06</x:v>
      </x:c>
      <x:c r="F620" s="51" t="str">
        <x:v>echelon</x:v>
      </x:c>
      <x:c r="G620" s="51" t="str">
        <x:v>江门市朗达锂电池有限公司</x:v>
      </x:c>
      <x:c r="H620" s="52" t="n">
        <x:v>436.6461010859192</x:v>
      </x:c>
      <x:c r="I620" s="52" t="n">
        <x:v>443.82590000000005</x:v>
      </x:c>
      <x:c r="J620" s="52" t="n">
        <x:v>314.9216666666667</x:v>
      </x:c>
      <x:c r="K620" s="52" t="n">
        <x:f>IFERROR(I620/H620,"")</x:f>
        <x:v>1.0164430620042753</x:v>
      </x:c>
      <x:c r="L620" s="52" t="n">
        <x:v>300</x:v>
      </x:c>
      <x:c r="M620" s="65" t="n">
        <x:f>IF(H620&lt;=L620,1,0)</x:f>
        <x:v>0</x:v>
      </x:c>
      <x:c r="N620" s="65" t="n">
        <x:f>IF(I620&lt;=L620,1,0)</x:f>
        <x:v>0</x:v>
      </x:c>
      <x:c r="O620" s="51" t="str">
        <x:f>IF(M620=N620,"不变",IF(N620=1,"由禁变允","由允变禁"))</x:f>
        <x:v>不变</x:v>
      </x:c>
      <x:c r="P620" s="51" t="str">
        <x:v>OSRM driving/car</x:v>
      </x:c>
      <x:c r="Q620" s="51" t="str">
        <x:v>2026-08-15</x:v>
      </x:c>
      <x:c r="R620" s="51" t="str">
        <x:v>C-开放路网计算；不是货车/危运合规路线</x:v>
      </x:c>
      <x:c r="S620" s="51" t="str">
        <x:v>https://routing.openstreetmap.de/routed-car/</x:v>
      </x:c>
    </x:row>
    <x:row r="621">
      <x:c r="A621" s="51" t="str">
        <x:v>A0617</x:v>
      </x:c>
      <x:c r="B621" s="51" t="str">
        <x:v>C08</x:v>
      </x:c>
      <x:c r="C621" s="51" t="str">
        <x:v>collection</x:v>
      </x:c>
      <x:c r="D621" s="51" t="str">
        <x:v>梅州虚拟回收/检测中心</x:v>
      </x:c>
      <x:c r="E621" s="51" t="str">
        <x:v>P07</x:v>
      </x:c>
      <x:c r="F621" s="51" t="str">
        <x:v>echelon</x:v>
      </x:c>
      <x:c r="G621" s="51" t="str">
        <x:v>广东迪度新能源有限公司</x:v>
      </x:c>
      <x:c r="H621" s="52" t="n">
        <x:v>336.0205516382558</x:v>
      </x:c>
      <x:c r="I621" s="52" t="n">
        <x:v>343.1323</x:v>
      </x:c>
      <x:c r="J621" s="52" t="n">
        <x:v>240.32833333333335</x:v>
      </x:c>
      <x:c r="K621" s="52" t="n">
        <x:f>IFERROR(I621/H621,"")</x:f>
        <x:v>1.0211646231966203</x:v>
      </x:c>
      <x:c r="L621" s="52" t="n">
        <x:v>300</x:v>
      </x:c>
      <x:c r="M621" s="65" t="n">
        <x:f>IF(H621&lt;=L621,1,0)</x:f>
        <x:v>0</x:v>
      </x:c>
      <x:c r="N621" s="65" t="n">
        <x:f>IF(I621&lt;=L621,1,0)</x:f>
        <x:v>0</x:v>
      </x:c>
      <x:c r="O621" s="51" t="str">
        <x:f>IF(M621=N621,"不变",IF(N621=1,"由禁变允","由允变禁"))</x:f>
        <x:v>不变</x:v>
      </x:c>
      <x:c r="P621" s="51" t="str">
        <x:v>OSRM driving/car</x:v>
      </x:c>
      <x:c r="Q621" s="51" t="str">
        <x:v>2026-08-15</x:v>
      </x:c>
      <x:c r="R621" s="51" t="str">
        <x:v>C-开放路网计算；不是货车/危运合规路线</x:v>
      </x:c>
      <x:c r="S621" s="51" t="str">
        <x:v>https://routing.openstreetmap.de/routed-car/</x:v>
      </x:c>
    </x:row>
    <x:row r="622">
      <x:c r="A622" s="51" t="str">
        <x:v>A0618</x:v>
      </x:c>
      <x:c r="B622" s="51" t="str">
        <x:v>C08</x:v>
      </x:c>
      <x:c r="C622" s="51" t="str">
        <x:v>collection</x:v>
      </x:c>
      <x:c r="D622" s="51" t="str">
        <x:v>梅州虚拟回收/检测中心</x:v>
      </x:c>
      <x:c r="E622" s="51" t="str">
        <x:v>P08</x:v>
      </x:c>
      <x:c r="F622" s="51" t="str">
        <x:v>echelon</x:v>
      </x:c>
      <x:c r="G622" s="51" t="str">
        <x:v>东莞市博森新能源有限公司</x:v>
      </x:c>
      <x:c r="H622" s="52" t="n">
        <x:v>336.0205516382558</x:v>
      </x:c>
      <x:c r="I622" s="52" t="n">
        <x:v>343.1323</x:v>
      </x:c>
      <x:c r="J622" s="52" t="n">
        <x:v>240.32833333333335</x:v>
      </x:c>
      <x:c r="K622" s="52" t="n">
        <x:f>IFERROR(I622/H622,"")</x:f>
        <x:v>1.0211646231966203</x:v>
      </x:c>
      <x:c r="L622" s="52" t="n">
        <x:v>300</x:v>
      </x:c>
      <x:c r="M622" s="65" t="n">
        <x:f>IF(H622&lt;=L622,1,0)</x:f>
        <x:v>0</x:v>
      </x:c>
      <x:c r="N622" s="65" t="n">
        <x:f>IF(I622&lt;=L622,1,0)</x:f>
        <x:v>0</x:v>
      </x:c>
      <x:c r="O622" s="51" t="str">
        <x:f>IF(M622=N622,"不变",IF(N622=1,"由禁变允","由允变禁"))</x:f>
        <x:v>不变</x:v>
      </x:c>
      <x:c r="P622" s="51" t="str">
        <x:v>OSRM driving/car</x:v>
      </x:c>
      <x:c r="Q622" s="51" t="str">
        <x:v>2026-08-15</x:v>
      </x:c>
      <x:c r="R622" s="51" t="str">
        <x:v>C-开放路网计算；不是货车/危运合规路线</x:v>
      </x:c>
      <x:c r="S622" s="51" t="str">
        <x:v>https://routing.openstreetmap.de/routed-car/</x:v>
      </x:c>
    </x:row>
    <x:row r="623">
      <x:c r="A623" s="51" t="str">
        <x:v>A0619</x:v>
      </x:c>
      <x:c r="B623" s="51" t="str">
        <x:v>C08</x:v>
      </x:c>
      <x:c r="C623" s="51" t="str">
        <x:v>collection</x:v>
      </x:c>
      <x:c r="D623" s="51" t="str">
        <x:v>梅州虚拟回收/检测中心</x:v>
      </x:c>
      <x:c r="E623" s="51" t="str">
        <x:v>P09</x:v>
      </x:c>
      <x:c r="F623" s="51" t="str">
        <x:v>echelon</x:v>
      </x:c>
      <x:c r="G623" s="51" t="str">
        <x:v>广东宇阳新能源有限公司</x:v>
      </x:c>
      <x:c r="H623" s="52" t="n">
        <x:v>336.0205516382558</x:v>
      </x:c>
      <x:c r="I623" s="52" t="n">
        <x:v>343.1323</x:v>
      </x:c>
      <x:c r="J623" s="52" t="n">
        <x:v>240.32833333333335</x:v>
      </x:c>
      <x:c r="K623" s="52" t="n">
        <x:f>IFERROR(I623/H623,"")</x:f>
        <x:v>1.0211646231966203</x:v>
      </x:c>
      <x:c r="L623" s="52" t="n">
        <x:v>300</x:v>
      </x:c>
      <x:c r="M623" s="65" t="n">
        <x:f>IF(H623&lt;=L623,1,0)</x:f>
        <x:v>0</x:v>
      </x:c>
      <x:c r="N623" s="65" t="n">
        <x:f>IF(I623&lt;=L623,1,0)</x:f>
        <x:v>0</x:v>
      </x:c>
      <x:c r="O623" s="51" t="str">
        <x:f>IF(M623=N623,"不变",IF(N623=1,"由禁变允","由允变禁"))</x:f>
        <x:v>不变</x:v>
      </x:c>
      <x:c r="P623" s="51" t="str">
        <x:v>OSRM driving/car</x:v>
      </x:c>
      <x:c r="Q623" s="51" t="str">
        <x:v>2026-08-15</x:v>
      </x:c>
      <x:c r="R623" s="51" t="str">
        <x:v>C-开放路网计算；不是货车/危运合规路线</x:v>
      </x:c>
      <x:c r="S623" s="51" t="str">
        <x:v>https://routing.openstreetmap.de/routed-car/</x:v>
      </x:c>
    </x:row>
    <x:row r="624">
      <x:c r="A624" s="51" t="str">
        <x:v>A0620</x:v>
      </x:c>
      <x:c r="B624" s="51" t="str">
        <x:v>C08</x:v>
      </x:c>
      <x:c r="C624" s="51" t="str">
        <x:v>collection</x:v>
      </x:c>
      <x:c r="D624" s="51" t="str">
        <x:v>梅州虚拟回收/检测中心</x:v>
      </x:c>
      <x:c r="E624" s="51" t="str">
        <x:v>P10</x:v>
      </x:c>
      <x:c r="F624" s="51" t="str">
        <x:v>echelon</x:v>
      </x:c>
      <x:c r="G624" s="51" t="str">
        <x:v>广州广汽商贸再生资源有限公司</x:v>
      </x:c>
      <x:c r="H624" s="52" t="n">
        <x:v>382.1027064948506</x:v>
      </x:c>
      <x:c r="I624" s="52" t="n">
        <x:v>381.7613</x:v>
      </x:c>
      <x:c r="J624" s="52" t="n">
        <x:v>266.09333333333336</x:v>
      </x:c>
      <x:c r="K624" s="52" t="n">
        <x:f>IFERROR(I624/H624,"")</x:f>
        <x:v>0.9991065059497158</x:v>
      </x:c>
      <x:c r="L624" s="52" t="n">
        <x:v>300</x:v>
      </x:c>
      <x:c r="M624" s="65" t="n">
        <x:f>IF(H624&lt;=L624,1,0)</x:f>
        <x:v>0</x:v>
      </x:c>
      <x:c r="N624" s="65" t="n">
        <x:f>IF(I624&lt;=L624,1,0)</x:f>
        <x:v>0</x:v>
      </x:c>
      <x:c r="O624" s="51" t="str">
        <x:f>IF(M624=N624,"不变",IF(N624=1,"由禁变允","由允变禁"))</x:f>
        <x:v>不变</x:v>
      </x:c>
      <x:c r="P624" s="51" t="str">
        <x:v>OSRM driving/car</x:v>
      </x:c>
      <x:c r="Q624" s="51" t="str">
        <x:v>2026-08-15</x:v>
      </x:c>
      <x:c r="R624" s="51" t="str">
        <x:v>C-开放路网计算；不是货车/危运合规路线</x:v>
      </x:c>
      <x:c r="S624" s="51" t="str">
        <x:v>https://routing.openstreetmap.de/routed-car/</x:v>
      </x:c>
    </x:row>
    <x:row r="625">
      <x:c r="A625" s="51" t="str">
        <x:v>A0621</x:v>
      </x:c>
      <x:c r="B625" s="51" t="str">
        <x:v>C08</x:v>
      </x:c>
      <x:c r="C625" s="51" t="str">
        <x:v>collection</x:v>
      </x:c>
      <x:c r="D625" s="51" t="str">
        <x:v>梅州虚拟回收/检测中心</x:v>
      </x:c>
      <x:c r="E625" s="51" t="str">
        <x:v>P11</x:v>
      </x:c>
      <x:c r="F625" s="51" t="str">
        <x:v>echelon</x:v>
      </x:c>
      <x:c r="G625" s="51" t="str">
        <x:v>深圳市杰成镍钴新能源科技有限公司</x:v>
      </x:c>
      <x:c r="H625" s="52" t="n">
        <x:v>343.699494537765</x:v>
      </x:c>
      <x:c r="I625" s="52" t="n">
        <x:v>343.7588</x:v>
      </x:c>
      <x:c r="J625" s="52" t="n">
        <x:v>249.52833333333334</x:v>
      </x:c>
      <x:c r="K625" s="52" t="n">
        <x:f>IFERROR(I625/H625,"")</x:f>
        <x:v>1.0001725503330017</x:v>
      </x:c>
      <x:c r="L625" s="52" t="n">
        <x:v>300</x:v>
      </x:c>
      <x:c r="M625" s="65" t="n">
        <x:f>IF(H625&lt;=L625,1,0)</x:f>
        <x:v>0</x:v>
      </x:c>
      <x:c r="N625" s="65" t="n">
        <x:f>IF(I625&lt;=L625,1,0)</x:f>
        <x:v>0</x:v>
      </x:c>
      <x:c r="O625" s="51" t="str">
        <x:f>IF(M625=N625,"不变",IF(N625=1,"由禁变允","由允变禁"))</x:f>
        <x:v>不变</x:v>
      </x:c>
      <x:c r="P625" s="51" t="str">
        <x:v>OSRM driving/car</x:v>
      </x:c>
      <x:c r="Q625" s="51" t="str">
        <x:v>2026-08-15</x:v>
      </x:c>
      <x:c r="R625" s="51" t="str">
        <x:v>C-开放路网计算；不是货车/危运合规路线</x:v>
      </x:c>
      <x:c r="S625" s="51" t="str">
        <x:v>https://routing.openstreetmap.de/routed-car/</x:v>
      </x:c>
    </x:row>
    <x:row r="626">
      <x:c r="A626" s="51" t="str">
        <x:v>A0622</x:v>
      </x:c>
      <x:c r="B626" s="51" t="str">
        <x:v>C08</x:v>
      </x:c>
      <x:c r="C626" s="51" t="str">
        <x:v>collection</x:v>
      </x:c>
      <x:c r="D626" s="51" t="str">
        <x:v>梅州虚拟回收/检测中心</x:v>
      </x:c>
      <x:c r="E626" s="51" t="str">
        <x:v>P12</x:v>
      </x:c>
      <x:c r="F626" s="51" t="str">
        <x:v>recycling</x:v>
      </x:c>
      <x:c r="G626" s="51" t="str">
        <x:v>江门市恒创睿能环保科技有限公司</x:v>
      </x:c>
      <x:c r="H626" s="52" t="n">
        <x:v>436.6461010859192</x:v>
      </x:c>
      <x:c r="I626" s="52" t="n">
        <x:v>443.82590000000005</x:v>
      </x:c>
      <x:c r="J626" s="52" t="n">
        <x:v>314.9216666666667</x:v>
      </x:c>
      <x:c r="K626" s="52" t="n">
        <x:f>IFERROR(I626/H626,"")</x:f>
        <x:v>1.0164430620042753</x:v>
      </x:c>
      <x:c r="L626" s="52" t="n">
        <x:v>400</x:v>
      </x:c>
      <x:c r="M626" s="65" t="n">
        <x:f>IF(H626&lt;=L626,1,0)</x:f>
        <x:v>0</x:v>
      </x:c>
      <x:c r="N626" s="65" t="n">
        <x:f>IF(I626&lt;=L626,1,0)</x:f>
        <x:v>0</x:v>
      </x:c>
      <x:c r="O626" s="51" t="str">
        <x:f>IF(M626=N626,"不变",IF(N626=1,"由禁变允","由允变禁"))</x:f>
        <x:v>不变</x:v>
      </x:c>
      <x:c r="P626" s="51" t="str">
        <x:v>OSRM driving/car</x:v>
      </x:c>
      <x:c r="Q626" s="51" t="str">
        <x:v>2026-08-15</x:v>
      </x:c>
      <x:c r="R626" s="51" t="str">
        <x:v>C-开放路网计算；不是货车/危运合规路线</x:v>
      </x:c>
      <x:c r="S626" s="51" t="str">
        <x:v>https://routing.openstreetmap.de/routed-car/</x:v>
      </x:c>
    </x:row>
    <x:row r="627">
      <x:c r="A627" s="51" t="str">
        <x:v>A0623</x:v>
      </x:c>
      <x:c r="B627" s="51" t="str">
        <x:v>C08</x:v>
      </x:c>
      <x:c r="C627" s="51" t="str">
        <x:v>collection</x:v>
      </x:c>
      <x:c r="D627" s="51" t="str">
        <x:v>梅州虚拟回收/检测中心</x:v>
      </x:c>
      <x:c r="E627" s="51" t="str">
        <x:v>P13</x:v>
      </x:c>
      <x:c r="F627" s="51" t="str">
        <x:v>recycling</x:v>
      </x:c>
      <x:c r="G627" s="51" t="str">
        <x:v>广东佳纳能源科技有限公司</x:v>
      </x:c>
      <x:c r="H627" s="52" t="n">
        <x:v>382.548418383279</x:v>
      </x:c>
      <x:c r="I627" s="52" t="n">
        <x:v>395.348</x:v>
      </x:c>
      <x:c r="J627" s="52" t="n">
        <x:v>280.8316666666667</x:v>
      </x:c>
      <x:c r="K627" s="52" t="n">
        <x:f>IFERROR(I627/H627,"")</x:f>
        <x:v>1.0334587231357915</x:v>
      </x:c>
      <x:c r="L627" s="52" t="n">
        <x:v>400</x:v>
      </x:c>
      <x:c r="M627" s="65" t="n">
        <x:f>IF(H627&lt;=L627,1,0)</x:f>
        <x:v>1</x:v>
      </x:c>
      <x:c r="N627" s="65" t="n">
        <x:f>IF(I627&lt;=L627,1,0)</x:f>
        <x:v>1</x:v>
      </x:c>
      <x:c r="O627" s="51" t="str">
        <x:f>IF(M627=N627,"不变",IF(N627=1,"由禁变允","由允变禁"))</x:f>
        <x:v>不变</x:v>
      </x:c>
      <x:c r="P627" s="51" t="str">
        <x:v>OSRM driving/car</x:v>
      </x:c>
      <x:c r="Q627" s="51" t="str">
        <x:v>2026-08-15</x:v>
      </x:c>
      <x:c r="R627" s="51" t="str">
        <x:v>C-开放路网计算；不是货车/危运合规路线</x:v>
      </x:c>
      <x:c r="S627" s="51" t="str">
        <x:v>https://routing.openstreetmap.de/routed-car/</x:v>
      </x:c>
    </x:row>
    <x:row r="628">
      <x:c r="A628" s="51" t="str">
        <x:v>A0624</x:v>
      </x:c>
      <x:c r="B628" s="51" t="str">
        <x:v>C08</x:v>
      </x:c>
      <x:c r="C628" s="51" t="str">
        <x:v>collection</x:v>
      </x:c>
      <x:c r="D628" s="51" t="str">
        <x:v>梅州虚拟回收/检测中心</x:v>
      </x:c>
      <x:c r="E628" s="51" t="str">
        <x:v>P14</x:v>
      </x:c>
      <x:c r="F628" s="51" t="str">
        <x:v>echelon</x:v>
      </x:c>
      <x:c r="G628" s="51" t="str">
        <x:v>格林美（深圳）循环科技有限公司</x:v>
      </x:c>
      <x:c r="H628" s="52" t="n">
        <x:v>343.699494537765</x:v>
      </x:c>
      <x:c r="I628" s="52" t="n">
        <x:v>343.7588</x:v>
      </x:c>
      <x:c r="J628" s="52" t="n">
        <x:v>249.52833333333334</x:v>
      </x:c>
      <x:c r="K628" s="52" t="n">
        <x:f>IFERROR(I628/H628,"")</x:f>
        <x:v>1.0001725503330017</x:v>
      </x:c>
      <x:c r="L628" s="52" t="n">
        <x:v>300</x:v>
      </x:c>
      <x:c r="M628" s="65" t="n">
        <x:f>IF(H628&lt;=L628,1,0)</x:f>
        <x:v>0</x:v>
      </x:c>
      <x:c r="N628" s="65" t="n">
        <x:f>IF(I628&lt;=L628,1,0)</x:f>
        <x:v>0</x:v>
      </x:c>
      <x:c r="O628" s="51" t="str">
        <x:f>IF(M628=N628,"不变",IF(N628=1,"由禁变允","由允变禁"))</x:f>
        <x:v>不变</x:v>
      </x:c>
      <x:c r="P628" s="51" t="str">
        <x:v>OSRM driving/car</x:v>
      </x:c>
      <x:c r="Q628" s="51" t="str">
        <x:v>2026-08-15</x:v>
      </x:c>
      <x:c r="R628" s="51" t="str">
        <x:v>C-开放路网计算；不是货车/危运合规路线</x:v>
      </x:c>
      <x:c r="S628" s="51" t="str">
        <x:v>https://routing.openstreetmap.de/routed-car/</x:v>
      </x:c>
    </x:row>
    <x:row r="629">
      <x:c r="A629" s="51" t="str">
        <x:v>A0625</x:v>
      </x:c>
      <x:c r="B629" s="51" t="str">
        <x:v>C08</x:v>
      </x:c>
      <x:c r="C629" s="51" t="str">
        <x:v>collection</x:v>
      </x:c>
      <x:c r="D629" s="51" t="str">
        <x:v>梅州虚拟回收/检测中心</x:v>
      </x:c>
      <x:c r="E629" s="51" t="str">
        <x:v>P15</x:v>
      </x:c>
      <x:c r="F629" s="51" t="str">
        <x:v>echelon</x:v>
      </x:c>
      <x:c r="G629" s="51" t="str">
        <x:v>绿循新能源科技（佛山）有限责任公司</x:v>
      </x:c>
      <x:c r="H629" s="52" t="n">
        <x:v>403.9212901773776</x:v>
      </x:c>
      <x:c r="I629" s="52" t="n">
        <x:v>398.9045</x:v>
      </x:c>
      <x:c r="J629" s="52" t="n">
        <x:v>286.905</x:v>
      </x:c>
      <x:c r="K629" s="52" t="n">
        <x:f>IFERROR(I629/H629,"")</x:f>
        <x:v>0.98757978274635</x:v>
      </x:c>
      <x:c r="L629" s="52" t="n">
        <x:v>300</x:v>
      </x:c>
      <x:c r="M629" s="65" t="n">
        <x:f>IF(H629&lt;=L629,1,0)</x:f>
        <x:v>0</x:v>
      </x:c>
      <x:c r="N629" s="65" t="n">
        <x:f>IF(I629&lt;=L629,1,0)</x:f>
        <x:v>0</x:v>
      </x:c>
      <x:c r="O629" s="51" t="str">
        <x:f>IF(M629=N629,"不变",IF(N629=1,"由禁变允","由允变禁"))</x:f>
        <x:v>不变</x:v>
      </x:c>
      <x:c r="P629" s="51" t="str">
        <x:v>OSRM driving/car</x:v>
      </x:c>
      <x:c r="Q629" s="51" t="str">
        <x:v>2026-08-15</x:v>
      </x:c>
      <x:c r="R629" s="51" t="str">
        <x:v>C-开放路网计算；不是货车/危运合规路线</x:v>
      </x:c>
      <x:c r="S629" s="51" t="str">
        <x:v>https://routing.openstreetmap.de/routed-car/</x:v>
      </x:c>
    </x:row>
    <x:row r="630">
      <x:c r="A630" s="51" t="str">
        <x:v>A0626</x:v>
      </x:c>
      <x:c r="B630" s="51" t="str">
        <x:v>C08</x:v>
      </x:c>
      <x:c r="C630" s="51" t="str">
        <x:v>collection</x:v>
      </x:c>
      <x:c r="D630" s="51" t="str">
        <x:v>梅州虚拟回收/检测中心</x:v>
      </x:c>
      <x:c r="E630" s="51" t="str">
        <x:v>P16</x:v>
      </x:c>
      <x:c r="F630" s="51" t="str">
        <x:v>echelon</x:v>
      </x:c>
      <x:c r="G630" s="51" t="str">
        <x:v>深圳艾云动智慧科技有限公司</x:v>
      </x:c>
      <x:c r="H630" s="52" t="n">
        <x:v>343.699494537765</x:v>
      </x:c>
      <x:c r="I630" s="52" t="n">
        <x:v>343.7588</x:v>
      </x:c>
      <x:c r="J630" s="52" t="n">
        <x:v>249.52833333333334</x:v>
      </x:c>
      <x:c r="K630" s="52" t="n">
        <x:f>IFERROR(I630/H630,"")</x:f>
        <x:v>1.0001725503330017</x:v>
      </x:c>
      <x:c r="L630" s="52" t="n">
        <x:v>300</x:v>
      </x:c>
      <x:c r="M630" s="65" t="n">
        <x:f>IF(H630&lt;=L630,1,0)</x:f>
        <x:v>0</x:v>
      </x:c>
      <x:c r="N630" s="65" t="n">
        <x:f>IF(I630&lt;=L630,1,0)</x:f>
        <x:v>0</x:v>
      </x:c>
      <x:c r="O630" s="51" t="str">
        <x:f>IF(M630=N630,"不变",IF(N630=1,"由禁变允","由允变禁"))</x:f>
        <x:v>不变</x:v>
      </x:c>
      <x:c r="P630" s="51" t="str">
        <x:v>OSRM driving/car</x:v>
      </x:c>
      <x:c r="Q630" s="51" t="str">
        <x:v>2026-08-15</x:v>
      </x:c>
      <x:c r="R630" s="51" t="str">
        <x:v>C-开放路网计算；不是货车/危运合规路线</x:v>
      </x:c>
      <x:c r="S630" s="51" t="str">
        <x:v>https://routing.openstreetmap.de/routed-car/</x:v>
      </x:c>
    </x:row>
    <x:row r="631">
      <x:c r="A631" s="51" t="str">
        <x:v>A0627</x:v>
      </x:c>
      <x:c r="B631" s="51" t="str">
        <x:v>C08</x:v>
      </x:c>
      <x:c r="C631" s="51" t="str">
        <x:v>collection</x:v>
      </x:c>
      <x:c r="D631" s="51" t="str">
        <x:v>梅州虚拟回收/检测中心</x:v>
      </x:c>
      <x:c r="E631" s="51" t="str">
        <x:v>P17</x:v>
      </x:c>
      <x:c r="F631" s="51" t="str">
        <x:v>echelon</x:v>
      </x:c>
      <x:c r="G631" s="51" t="str">
        <x:v>深圳市荣高晟新能源科技有限公司</x:v>
      </x:c>
      <x:c r="H631" s="52" t="n">
        <x:v>343.699494537765</x:v>
      </x:c>
      <x:c r="I631" s="52" t="n">
        <x:v>343.7588</x:v>
      </x:c>
      <x:c r="J631" s="52" t="n">
        <x:v>249.52833333333334</x:v>
      </x:c>
      <x:c r="K631" s="52" t="n">
        <x:f>IFERROR(I631/H631,"")</x:f>
        <x:v>1.0001725503330017</x:v>
      </x:c>
      <x:c r="L631" s="52" t="n">
        <x:v>300</x:v>
      </x:c>
      <x:c r="M631" s="65" t="n">
        <x:f>IF(H631&lt;=L631,1,0)</x:f>
        <x:v>0</x:v>
      </x:c>
      <x:c r="N631" s="65" t="n">
        <x:f>IF(I631&lt;=L631,1,0)</x:f>
        <x:v>0</x:v>
      </x:c>
      <x:c r="O631" s="51" t="str">
        <x:f>IF(M631=N631,"不变",IF(N631=1,"由禁变允","由允变禁"))</x:f>
        <x:v>不变</x:v>
      </x:c>
      <x:c r="P631" s="51" t="str">
        <x:v>OSRM driving/car</x:v>
      </x:c>
      <x:c r="Q631" s="51" t="str">
        <x:v>2026-08-15</x:v>
      </x:c>
      <x:c r="R631" s="51" t="str">
        <x:v>C-开放路网计算；不是货车/危运合规路线</x:v>
      </x:c>
      <x:c r="S631" s="51" t="str">
        <x:v>https://routing.openstreetmap.de/routed-car/</x:v>
      </x:c>
    </x:row>
    <x:row r="632">
      <x:c r="A632" s="51" t="str">
        <x:v>A0628</x:v>
      </x:c>
      <x:c r="B632" s="51" t="str">
        <x:v>C08</x:v>
      </x:c>
      <x:c r="C632" s="51" t="str">
        <x:v>collection</x:v>
      </x:c>
      <x:c r="D632" s="51" t="str">
        <x:v>梅州虚拟回收/检测中心</x:v>
      </x:c>
      <x:c r="E632" s="51" t="str">
        <x:v>P18</x:v>
      </x:c>
      <x:c r="F632" s="51" t="str">
        <x:v>echelon</x:v>
      </x:c>
      <x:c r="G632" s="51" t="str">
        <x:v>中商锂新能源科技（惠州）有限公司</x:v>
      </x:c>
      <x:c r="H632" s="52" t="n">
        <x:v>261.0101487251689</x:v>
      </x:c>
      <x:c r="I632" s="52" t="n">
        <x:v>270.5127</x:v>
      </x:c>
      <x:c r="J632" s="52" t="n">
        <x:v>189.45166666666668</x:v>
      </x:c>
      <x:c r="K632" s="52" t="n">
        <x:f>IFERROR(I632/H632,"")</x:f>
        <x:v>1.0364068267890871</x:v>
      </x:c>
      <x:c r="L632" s="52" t="n">
        <x:v>300</x:v>
      </x:c>
      <x:c r="M632" s="65" t="n">
        <x:f>IF(H632&lt;=L632,1,0)</x:f>
        <x:v>1</x:v>
      </x:c>
      <x:c r="N632" s="65" t="n">
        <x:f>IF(I632&lt;=L632,1,0)</x:f>
        <x:v>1</x:v>
      </x:c>
      <x:c r="O632" s="51" t="str">
        <x:f>IF(M632=N632,"不变",IF(N632=1,"由禁变允","由允变禁"))</x:f>
        <x:v>不变</x:v>
      </x:c>
      <x:c r="P632" s="51" t="str">
        <x:v>OSRM driving/car</x:v>
      </x:c>
      <x:c r="Q632" s="51" t="str">
        <x:v>2026-08-15</x:v>
      </x:c>
      <x:c r="R632" s="51" t="str">
        <x:v>C-开放路网计算；不是货车/危运合规路线</x:v>
      </x:c>
      <x:c r="S632" s="51" t="str">
        <x:v>https://routing.openstreetmap.de/routed-car/</x:v>
      </x:c>
    </x:row>
    <x:row r="633">
      <x:c r="A633" s="51" t="str">
        <x:v>A0629</x:v>
      </x:c>
      <x:c r="B633" s="51" t="str">
        <x:v>C08</x:v>
      </x:c>
      <x:c r="C633" s="51" t="str">
        <x:v>collection</x:v>
      </x:c>
      <x:c r="D633" s="51" t="str">
        <x:v>梅州虚拟回收/检测中心</x:v>
      </x:c>
      <x:c r="E633" s="51" t="str">
        <x:v>P19</x:v>
      </x:c>
      <x:c r="F633" s="51" t="str">
        <x:v>recycling</x:v>
      </x:c>
      <x:c r="G633" s="51" t="str">
        <x:v>广东盛祥新材料科技有限公司</x:v>
      </x:c>
      <x:c r="H633" s="52" t="n">
        <x:v>288.4343025608088</x:v>
      </x:c>
      <x:c r="I633" s="52" t="n">
        <x:v>337.0402</x:v>
      </x:c>
      <x:c r="J633" s="52" t="n">
        <x:v>256.1433333333333</x:v>
      </x:c>
      <x:c r="K633" s="52" t="n">
        <x:f>IFERROR(I633/H633,"")</x:f>
        <x:v>1.1685163553975828</x:v>
      </x:c>
      <x:c r="L633" s="52" t="n">
        <x:v>400</x:v>
      </x:c>
      <x:c r="M633" s="65" t="n">
        <x:f>IF(H633&lt;=L633,1,0)</x:f>
        <x:v>1</x:v>
      </x:c>
      <x:c r="N633" s="65" t="n">
        <x:f>IF(I633&lt;=L633,1,0)</x:f>
        <x:v>1</x:v>
      </x:c>
      <x:c r="O633" s="51" t="str">
        <x:f>IF(M633=N633,"不变",IF(N633=1,"由禁变允","由允变禁"))</x:f>
        <x:v>不变</x:v>
      </x:c>
      <x:c r="P633" s="51" t="str">
        <x:v>OSRM driving/car</x:v>
      </x:c>
      <x:c r="Q633" s="51" t="str">
        <x:v>2026-08-15</x:v>
      </x:c>
      <x:c r="R633" s="51" t="str">
        <x:v>C-开放路网计算；不是货车/危运合规路线</x:v>
      </x:c>
      <x:c r="S633" s="51" t="str">
        <x:v>https://routing.openstreetmap.de/routed-car/</x:v>
      </x:c>
    </x:row>
    <x:row r="634">
      <x:c r="A634" s="51" t="str">
        <x:v>A0630</x:v>
      </x:c>
      <x:c r="B634" s="51" t="str">
        <x:v>C08</x:v>
      </x:c>
      <x:c r="C634" s="51" t="str">
        <x:v>collection</x:v>
      </x:c>
      <x:c r="D634" s="51" t="str">
        <x:v>梅州虚拟回收/检测中心</x:v>
      </x:c>
      <x:c r="E634" s="51" t="str">
        <x:v>P20E</x:v>
      </x:c>
      <x:c r="F634" s="51" t="str">
        <x:v>echelon</x:v>
      </x:c>
      <x:c r="G634" s="51" t="str">
        <x:v>广东金晟新能源股份有限公司（梯次功能）</x:v>
      </x:c>
      <x:c r="H634" s="52" t="n">
        <x:v>476.58618977707783</x:v>
      </x:c>
      <x:c r="I634" s="52" t="n">
        <x:v>476.9952</x:v>
      </x:c>
      <x:c r="J634" s="52" t="n">
        <x:v>334.8566666666667</x:v>
      </x:c>
      <x:c r="K634" s="52" t="n">
        <x:f>IFERROR(I634/H634,"")</x:f>
        <x:v>1.0008582082983006</x:v>
      </x:c>
      <x:c r="L634" s="52" t="n">
        <x:v>300</x:v>
      </x:c>
      <x:c r="M634" s="65" t="n">
        <x:f>IF(H634&lt;=L634,1,0)</x:f>
        <x:v>0</x:v>
      </x:c>
      <x:c r="N634" s="65" t="n">
        <x:f>IF(I634&lt;=L634,1,0)</x:f>
        <x:v>0</x:v>
      </x:c>
      <x:c r="O634" s="51" t="str">
        <x:f>IF(M634=N634,"不变",IF(N634=1,"由禁变允","由允变禁"))</x:f>
        <x:v>不变</x:v>
      </x:c>
      <x:c r="P634" s="51" t="str">
        <x:v>OSRM driving/car</x:v>
      </x:c>
      <x:c r="Q634" s="51" t="str">
        <x:v>2026-08-15</x:v>
      </x:c>
      <x:c r="R634" s="51" t="str">
        <x:v>C-开放路网计算；不是货车/危运合规路线</x:v>
      </x:c>
      <x:c r="S634" s="51" t="str">
        <x:v>https://routing.openstreetmap.de/routed-car/</x:v>
      </x:c>
    </x:row>
    <x:row r="635">
      <x:c r="A635" s="51" t="str">
        <x:v>A0631</x:v>
      </x:c>
      <x:c r="B635" s="51" t="str">
        <x:v>C08</x:v>
      </x:c>
      <x:c r="C635" s="51" t="str">
        <x:v>collection</x:v>
      </x:c>
      <x:c r="D635" s="51" t="str">
        <x:v>梅州虚拟回收/检测中心</x:v>
      </x:c>
      <x:c r="E635" s="51" t="str">
        <x:v>P20R</x:v>
      </x:c>
      <x:c r="F635" s="51" t="str">
        <x:v>recycling</x:v>
      </x:c>
      <x:c r="G635" s="51" t="str">
        <x:v>广东金晟新能源股份有限公司（再生功能）</x:v>
      </x:c>
      <x:c r="H635" s="52" t="n">
        <x:v>476.58618977707783</x:v>
      </x:c>
      <x:c r="I635" s="52" t="n">
        <x:v>476.9952</x:v>
      </x:c>
      <x:c r="J635" s="52" t="n">
        <x:v>334.8566666666667</x:v>
      </x:c>
      <x:c r="K635" s="52" t="n">
        <x:f>IFERROR(I635/H635,"")</x:f>
        <x:v>1.0008582082983006</x:v>
      </x:c>
      <x:c r="L635" s="52" t="n">
        <x:v>400</x:v>
      </x:c>
      <x:c r="M635" s="65" t="n">
        <x:f>IF(H635&lt;=L635,1,0)</x:f>
        <x:v>0</x:v>
      </x:c>
      <x:c r="N635" s="65" t="n">
        <x:f>IF(I635&lt;=L635,1,0)</x:f>
        <x:v>0</x:v>
      </x:c>
      <x:c r="O635" s="51" t="str">
        <x:f>IF(M635=N635,"不变",IF(N635=1,"由禁变允","由允变禁"))</x:f>
        <x:v>不变</x:v>
      </x:c>
      <x:c r="P635" s="51" t="str">
        <x:v>OSRM driving/car</x:v>
      </x:c>
      <x:c r="Q635" s="51" t="str">
        <x:v>2026-08-15</x:v>
      </x:c>
      <x:c r="R635" s="51" t="str">
        <x:v>C-开放路网计算；不是货车/危运合规路线</x:v>
      </x:c>
      <x:c r="S635" s="51" t="str">
        <x:v>https://routing.openstreetmap.de/routed-car/</x:v>
      </x:c>
    </x:row>
    <x:row r="636">
      <x:c r="A636" s="51" t="str">
        <x:v>A0632</x:v>
      </x:c>
      <x:c r="B636" s="51" t="str">
        <x:v>C08</x:v>
      </x:c>
      <x:c r="C636" s="51" t="str">
        <x:v>collection</x:v>
      </x:c>
      <x:c r="D636" s="51" t="str">
        <x:v>梅州虚拟回收/检测中心</x:v>
      </x:c>
      <x:c r="E636" s="51" t="str">
        <x:v>P21E</x:v>
      </x:c>
      <x:c r="F636" s="51" t="str">
        <x:v>echelon</x:v>
      </x:c>
      <x:c r="G636" s="51" t="str">
        <x:v>广东瑞科美电源技术有限公司（梯次功能）</x:v>
      </x:c>
      <x:c r="H636" s="52" t="n">
        <x:v>403.9212901773776</x:v>
      </x:c>
      <x:c r="I636" s="52" t="n">
        <x:v>398.9045</x:v>
      </x:c>
      <x:c r="J636" s="52" t="n">
        <x:v>286.905</x:v>
      </x:c>
      <x:c r="K636" s="52" t="n">
        <x:f>IFERROR(I636/H636,"")</x:f>
        <x:v>0.98757978274635</x:v>
      </x:c>
      <x:c r="L636" s="52" t="n">
        <x:v>300</x:v>
      </x:c>
      <x:c r="M636" s="65" t="n">
        <x:f>IF(H636&lt;=L636,1,0)</x:f>
        <x:v>0</x:v>
      </x:c>
      <x:c r="N636" s="65" t="n">
        <x:f>IF(I636&lt;=L636,1,0)</x:f>
        <x:v>0</x:v>
      </x:c>
      <x:c r="O636" s="51" t="str">
        <x:f>IF(M636=N636,"不变",IF(N636=1,"由禁变允","由允变禁"))</x:f>
        <x:v>不变</x:v>
      </x:c>
      <x:c r="P636" s="51" t="str">
        <x:v>OSRM driving/car</x:v>
      </x:c>
      <x:c r="Q636" s="51" t="str">
        <x:v>2026-08-15</x:v>
      </x:c>
      <x:c r="R636" s="51" t="str">
        <x:v>C-开放路网计算；不是货车/危运合规路线</x:v>
      </x:c>
      <x:c r="S636" s="51" t="str">
        <x:v>https://routing.openstreetmap.de/routed-car/</x:v>
      </x:c>
    </x:row>
    <x:row r="637">
      <x:c r="A637" s="51" t="str">
        <x:v>A0633</x:v>
      </x:c>
      <x:c r="B637" s="51" t="str">
        <x:v>C08</x:v>
      </x:c>
      <x:c r="C637" s="51" t="str">
        <x:v>collection</x:v>
      </x:c>
      <x:c r="D637" s="51" t="str">
        <x:v>梅州虚拟回收/检测中心</x:v>
      </x:c>
      <x:c r="E637" s="51" t="str">
        <x:v>P21R</x:v>
      </x:c>
      <x:c r="F637" s="51" t="str">
        <x:v>recycling</x:v>
      </x:c>
      <x:c r="G637" s="51" t="str">
        <x:v>广东瑞科美电源技术有限公司（再生功能）</x:v>
      </x:c>
      <x:c r="H637" s="52" t="n">
        <x:v>403.9212901773776</x:v>
      </x:c>
      <x:c r="I637" s="52" t="n">
        <x:v>398.9045</x:v>
      </x:c>
      <x:c r="J637" s="52" t="n">
        <x:v>286.905</x:v>
      </x:c>
      <x:c r="K637" s="52" t="n">
        <x:f>IFERROR(I637/H637,"")</x:f>
        <x:v>0.98757978274635</x:v>
      </x:c>
      <x:c r="L637" s="52" t="n">
        <x:v>400</x:v>
      </x:c>
      <x:c r="M637" s="65" t="n">
        <x:f>IF(H637&lt;=L637,1,0)</x:f>
        <x:v>0</x:v>
      </x:c>
      <x:c r="N637" s="65" t="n">
        <x:f>IF(I637&lt;=L637,1,0)</x:f>
        <x:v>1</x:v>
      </x:c>
      <x:c r="O637" s="51" t="str">
        <x:f>IF(M637=N637,"不变",IF(N637=1,"由禁变允","由允变禁"))</x:f>
        <x:v>由禁变允</x:v>
      </x:c>
      <x:c r="P637" s="51" t="str">
        <x:v>OSRM driving/car</x:v>
      </x:c>
      <x:c r="Q637" s="51" t="str">
        <x:v>2026-08-15</x:v>
      </x:c>
      <x:c r="R637" s="51" t="str">
        <x:v>C-开放路网计算；不是货车/危运合规路线</x:v>
      </x:c>
      <x:c r="S637" s="51" t="str">
        <x:v>https://routing.openstreetmap.de/routed-car/</x:v>
      </x:c>
    </x:row>
    <x:row r="638">
      <x:c r="A638" s="51" t="str">
        <x:v>A0634</x:v>
      </x:c>
      <x:c r="B638" s="51" t="str">
        <x:v>C09</x:v>
      </x:c>
      <x:c r="C638" s="51" t="str">
        <x:v>collection</x:v>
      </x:c>
      <x:c r="D638" s="51" t="str">
        <x:v>惠州虚拟回收/检测中心</x:v>
      </x:c>
      <x:c r="E638" s="51" t="str">
        <x:v>P01</x:v>
      </x:c>
      <x:c r="F638" s="51" t="str">
        <x:v>recycling</x:v>
      </x:c>
      <x:c r="G638" s="51" t="str">
        <x:v>汕尾比亚迪废旧动力电池回收项目</x:v>
      </x:c>
      <x:c r="H638" s="52" t="n">
        <x:v>120.74332810044686</x:v>
      </x:c>
      <x:c r="I638" s="52" t="n">
        <x:v>123.53710000000001</x:v>
      </x:c>
      <x:c r="J638" s="52" t="n">
        <x:v>94.32666666666667</x:v>
      </x:c>
      <x:c r="K638" s="52" t="n">
        <x:f>IFERROR(I638/H638,"")</x:f>
        <x:v>1.0231381057943756</x:v>
      </x:c>
      <x:c r="L638" s="52" t="n">
        <x:v>400</x:v>
      </x:c>
      <x:c r="M638" s="65" t="n">
        <x:f>IF(H638&lt;=L638,1,0)</x:f>
        <x:v>1</x:v>
      </x:c>
      <x:c r="N638" s="65" t="n">
        <x:f>IF(I638&lt;=L638,1,0)</x:f>
        <x:v>1</x:v>
      </x:c>
      <x:c r="O638" s="51" t="str">
        <x:f>IF(M638=N638,"不变",IF(N638=1,"由禁变允","由允变禁"))</x:f>
        <x:v>不变</x:v>
      </x:c>
      <x:c r="P638" s="51" t="str">
        <x:v>OSRM driving/car</x:v>
      </x:c>
      <x:c r="Q638" s="51" t="str">
        <x:v>2026-08-15</x:v>
      </x:c>
      <x:c r="R638" s="51" t="str">
        <x:v>C-开放路网计算；不是货车/危运合规路线</x:v>
      </x:c>
      <x:c r="S638" s="51" t="str">
        <x:v>https://routing.openstreetmap.de/routed-car/</x:v>
      </x:c>
    </x:row>
    <x:row r="639">
      <x:c r="A639" s="51" t="str">
        <x:v>A0635</x:v>
      </x:c>
      <x:c r="B639" s="51" t="str">
        <x:v>C09</x:v>
      </x:c>
      <x:c r="C639" s="51" t="str">
        <x:v>collection</x:v>
      </x:c>
      <x:c r="D639" s="51" t="str">
        <x:v>惠州虚拟回收/检测中心</x:v>
      </x:c>
      <x:c r="E639" s="51" t="str">
        <x:v>P02E</x:v>
      </x:c>
      <x:c r="F639" s="51" t="str">
        <x:v>echelon</x:v>
      </x:c>
      <x:c r="G639" s="51" t="str">
        <x:v>广东光华科技股份有限公司（梯次功能）</x:v>
      </x:c>
      <x:c r="H639" s="52" t="n">
        <x:v>279.59950256039025</x:v>
      </x:c>
      <x:c r="I639" s="52" t="n">
        <x:v>287.0797</x:v>
      </x:c>
      <x:c r="J639" s="52" t="n">
        <x:v>208.505</x:v>
      </x:c>
      <x:c r="K639" s="52" t="n">
        <x:f>IFERROR(I639/H639,"")</x:f>
        <x:v>1.0267532573238185</x:v>
      </x:c>
      <x:c r="L639" s="52" t="n">
        <x:v>300</x:v>
      </x:c>
      <x:c r="M639" s="65" t="n">
        <x:f>IF(H639&lt;=L639,1,0)</x:f>
        <x:v>1</x:v>
      </x:c>
      <x:c r="N639" s="65" t="n">
        <x:f>IF(I639&lt;=L639,1,0)</x:f>
        <x:v>1</x:v>
      </x:c>
      <x:c r="O639" s="51" t="str">
        <x:f>IF(M639=N639,"不变",IF(N639=1,"由禁变允","由允变禁"))</x:f>
        <x:v>不变</x:v>
      </x:c>
      <x:c r="P639" s="51" t="str">
        <x:v>OSRM driving/car</x:v>
      </x:c>
      <x:c r="Q639" s="51" t="str">
        <x:v>2026-08-15</x:v>
      </x:c>
      <x:c r="R639" s="51" t="str">
        <x:v>C-开放路网计算；不是货车/危运合规路线</x:v>
      </x:c>
      <x:c r="S639" s="51" t="str">
        <x:v>https://routing.openstreetmap.de/routed-car/</x:v>
      </x:c>
    </x:row>
    <x:row r="640">
      <x:c r="A640" s="51" t="str">
        <x:v>A0636</x:v>
      </x:c>
      <x:c r="B640" s="51" t="str">
        <x:v>C09</x:v>
      </x:c>
      <x:c r="C640" s="51" t="str">
        <x:v>collection</x:v>
      </x:c>
      <x:c r="D640" s="51" t="str">
        <x:v>惠州虚拟回收/检测中心</x:v>
      </x:c>
      <x:c r="E640" s="51" t="str">
        <x:v>P02R</x:v>
      </x:c>
      <x:c r="F640" s="51" t="str">
        <x:v>recycling</x:v>
      </x:c>
      <x:c r="G640" s="51" t="str">
        <x:v>广东光华科技股份有限公司（再生功能）</x:v>
      </x:c>
      <x:c r="H640" s="52" t="n">
        <x:v>279.59950256039025</x:v>
      </x:c>
      <x:c r="I640" s="52" t="n">
        <x:v>287.0797</x:v>
      </x:c>
      <x:c r="J640" s="52" t="n">
        <x:v>208.505</x:v>
      </x:c>
      <x:c r="K640" s="52" t="n">
        <x:f>IFERROR(I640/H640,"")</x:f>
        <x:v>1.0267532573238185</x:v>
      </x:c>
      <x:c r="L640" s="52" t="n">
        <x:v>400</x:v>
      </x:c>
      <x:c r="M640" s="65" t="n">
        <x:f>IF(H640&lt;=L640,1,0)</x:f>
        <x:v>1</x:v>
      </x:c>
      <x:c r="N640" s="65" t="n">
        <x:f>IF(I640&lt;=L640,1,0)</x:f>
        <x:v>1</x:v>
      </x:c>
      <x:c r="O640" s="51" t="str">
        <x:f>IF(M640=N640,"不变",IF(N640=1,"由禁变允","由允变禁"))</x:f>
        <x:v>不变</x:v>
      </x:c>
      <x:c r="P640" s="51" t="str">
        <x:v>OSRM driving/car</x:v>
      </x:c>
      <x:c r="Q640" s="51" t="str">
        <x:v>2026-08-15</x:v>
      </x:c>
      <x:c r="R640" s="51" t="str">
        <x:v>C-开放路网计算；不是货车/危运合规路线</x:v>
      </x:c>
      <x:c r="S640" s="51" t="str">
        <x:v>https://routing.openstreetmap.de/routed-car/</x:v>
      </x:c>
    </x:row>
    <x:row r="641">
      <x:c r="A641" s="51" t="str">
        <x:v>A0637</x:v>
      </x:c>
      <x:c r="B641" s="51" t="str">
        <x:v>C09</x:v>
      </x:c>
      <x:c r="C641" s="51" t="str">
        <x:v>collection</x:v>
      </x:c>
      <x:c r="D641" s="51" t="str">
        <x:v>惠州虚拟回收/检测中心</x:v>
      </x:c>
      <x:c r="E641" s="51" t="str">
        <x:v>P03</x:v>
      </x:c>
      <x:c r="F641" s="51" t="str">
        <x:v>echelon</x:v>
      </x:c>
      <x:c r="G641" s="51" t="str">
        <x:v>深圳深汕特别合作区乾泰技术有限公司</x:v>
      </x:c>
      <x:c r="H641" s="52" t="n">
        <x:v>135.3751705679002</x:v>
      </x:c>
      <x:c r="I641" s="52" t="n">
        <x:v>137.2199</x:v>
      </x:c>
      <x:c r="J641" s="52" t="n">
        <x:v>122.56666666666666</x:v>
      </x:c>
      <x:c r="K641" s="52" t="n">
        <x:f>IFERROR(I641/H641,"")</x:f>
        <x:v>1.0136267930401206</x:v>
      </x:c>
      <x:c r="L641" s="52" t="n">
        <x:v>300</x:v>
      </x:c>
      <x:c r="M641" s="65" t="n">
        <x:f>IF(H641&lt;=L641,1,0)</x:f>
        <x:v>1</x:v>
      </x:c>
      <x:c r="N641" s="65" t="n">
        <x:f>IF(I641&lt;=L641,1,0)</x:f>
        <x:v>1</x:v>
      </x:c>
      <x:c r="O641" s="51" t="str">
        <x:f>IF(M641=N641,"不变",IF(N641=1,"由禁变允","由允变禁"))</x:f>
        <x:v>不变</x:v>
      </x:c>
      <x:c r="P641" s="51" t="str">
        <x:v>OSRM driving/car</x:v>
      </x:c>
      <x:c r="Q641" s="51" t="str">
        <x:v>2026-08-15</x:v>
      </x:c>
      <x:c r="R641" s="51" t="str">
        <x:v>C-开放路网计算；不是货车/危运合规路线</x:v>
      </x:c>
      <x:c r="S641" s="51" t="str">
        <x:v>https://routing.openstreetmap.de/routed-car/</x:v>
      </x:c>
    </x:row>
    <x:row r="642">
      <x:c r="A642" s="51" t="str">
        <x:v>A0638</x:v>
      </x:c>
      <x:c r="B642" s="51" t="str">
        <x:v>C09</x:v>
      </x:c>
      <x:c r="C642" s="51" t="str">
        <x:v>collection</x:v>
      </x:c>
      <x:c r="D642" s="51" t="str">
        <x:v>惠州虚拟回收/检测中心</x:v>
      </x:c>
      <x:c r="E642" s="51" t="str">
        <x:v>P04</x:v>
      </x:c>
      <x:c r="F642" s="51" t="str">
        <x:v>echelon</x:v>
      </x:c>
      <x:c r="G642" s="51" t="str">
        <x:v>珠海中力新能源科技有限公司</x:v>
      </x:c>
      <x:c r="H642" s="52" t="n">
        <x:v>152.4261811714796</x:v>
      </x:c>
      <x:c r="I642" s="52" t="n">
        <x:v>183.3425</x:v>
      </x:c>
      <x:c r="J642" s="52" t="n">
        <x:v>142.355</x:v>
      </x:c>
      <x:c r="K642" s="52" t="n">
        <x:f>IFERROR(I642/H642,"")</x:f>
        <x:v>1.2028281400932002</x:v>
      </x:c>
      <x:c r="L642" s="52" t="n">
        <x:v>300</x:v>
      </x:c>
      <x:c r="M642" s="65" t="n">
        <x:f>IF(H642&lt;=L642,1,0)</x:f>
        <x:v>1</x:v>
      </x:c>
      <x:c r="N642" s="65" t="n">
        <x:f>IF(I642&lt;=L642,1,0)</x:f>
        <x:v>1</x:v>
      </x:c>
      <x:c r="O642" s="51" t="str">
        <x:f>IF(M642=N642,"不变",IF(N642=1,"由禁变允","由允变禁"))</x:f>
        <x:v>不变</x:v>
      </x:c>
      <x:c r="P642" s="51" t="str">
        <x:v>OSRM driving/car</x:v>
      </x:c>
      <x:c r="Q642" s="51" t="str">
        <x:v>2026-08-15</x:v>
      </x:c>
      <x:c r="R642" s="51" t="str">
        <x:v>C-开放路网计算；不是货车/危运合规路线</x:v>
      </x:c>
      <x:c r="S642" s="51" t="str">
        <x:v>https://routing.openstreetmap.de/routed-car/</x:v>
      </x:c>
    </x:row>
    <x:row r="643">
      <x:c r="A643" s="51" t="str">
        <x:v>A0639</x:v>
      </x:c>
      <x:c r="B643" s="51" t="str">
        <x:v>C09</x:v>
      </x:c>
      <x:c r="C643" s="51" t="str">
        <x:v>collection</x:v>
      </x:c>
      <x:c r="D643" s="51" t="str">
        <x:v>惠州虚拟回收/检测中心</x:v>
      </x:c>
      <x:c r="E643" s="51" t="str">
        <x:v>P05</x:v>
      </x:c>
      <x:c r="F643" s="51" t="str">
        <x:v>echelon</x:v>
      </x:c>
      <x:c r="G643" s="51" t="str">
        <x:v>惠州市恒创睿能环保科技有限公司</x:v>
      </x:c>
      <x:c r="H643" s="52" t="n">
        <x:v>0</x:v>
      </x:c>
      <x:c r="I643" s="52" t="n">
        <x:v>0</x:v>
      </x:c>
      <x:c r="J643" s="52" t="n">
        <x:v>0</x:v>
      </x:c>
      <x:c r="K643" s="52" t="str">
        <x:f>IFERROR(I643/H643,"")</x:f>
      </x:c>
      <x:c r="L643" s="52" t="n">
        <x:v>300</x:v>
      </x:c>
      <x:c r="M643" s="65" t="n">
        <x:f>IF(H643&lt;=L643,1,0)</x:f>
        <x:v>1</x:v>
      </x:c>
      <x:c r="N643" s="65" t="n">
        <x:f>IF(I643&lt;=L643,1,0)</x:f>
        <x:v>1</x:v>
      </x:c>
      <x:c r="O643" s="51" t="str">
        <x:f>IF(M643=N643,"不变",IF(N643=1,"由禁变允","由允变禁"))</x:f>
        <x:v>不变</x:v>
      </x:c>
      <x:c r="P643" s="51" t="str">
        <x:v>OSRM driving/car</x:v>
      </x:c>
      <x:c r="Q643" s="51" t="str">
        <x:v>2026-08-15</x:v>
      </x:c>
      <x:c r="R643" s="51" t="str">
        <x:v>C-开放路网计算；不是货车/危运合规路线</x:v>
      </x:c>
      <x:c r="S643" s="51" t="str">
        <x:v>https://routing.openstreetmap.de/routed-car/</x:v>
      </x:c>
    </x:row>
    <x:row r="644">
      <x:c r="A644" s="51" t="str">
        <x:v>A0640</x:v>
      </x:c>
      <x:c r="B644" s="51" t="str">
        <x:v>C09</x:v>
      </x:c>
      <x:c r="C644" s="51" t="str">
        <x:v>collection</x:v>
      </x:c>
      <x:c r="D644" s="51" t="str">
        <x:v>惠州虚拟回收/检测中心</x:v>
      </x:c>
      <x:c r="E644" s="51" t="str">
        <x:v>P06</x:v>
      </x:c>
      <x:c r="F644" s="51" t="str">
        <x:v>echelon</x:v>
      </x:c>
      <x:c r="G644" s="51" t="str">
        <x:v>江门市朗达锂电池有限公司</x:v>
      </x:c>
      <x:c r="H644" s="52" t="n">
        <x:v>178.96752942018048</x:v>
      </x:c>
      <x:c r="I644" s="52" t="n">
        <x:v>182.8135</x:v>
      </x:c>
      <x:c r="J644" s="52" t="n">
        <x:v>141.08333333333334</x:v>
      </x:c>
      <x:c r="K644" s="52" t="n">
        <x:f>IFERROR(I644/H644,"")</x:f>
        <x:v>1.0214897674023868</x:v>
      </x:c>
      <x:c r="L644" s="52" t="n">
        <x:v>300</x:v>
      </x:c>
      <x:c r="M644" s="65" t="n">
        <x:f>IF(H644&lt;=L644,1,0)</x:f>
        <x:v>1</x:v>
      </x:c>
      <x:c r="N644" s="65" t="n">
        <x:f>IF(I644&lt;=L644,1,0)</x:f>
        <x:v>1</x:v>
      </x:c>
      <x:c r="O644" s="51" t="str">
        <x:f>IF(M644=N644,"不变",IF(N644=1,"由禁变允","由允变禁"))</x:f>
        <x:v>不变</x:v>
      </x:c>
      <x:c r="P644" s="51" t="str">
        <x:v>OSRM driving/car</x:v>
      </x:c>
      <x:c r="Q644" s="51" t="str">
        <x:v>2026-08-15</x:v>
      </x:c>
      <x:c r="R644" s="51" t="str">
        <x:v>C-开放路网计算；不是货车/危运合规路线</x:v>
      </x:c>
      <x:c r="S644" s="51" t="str">
        <x:v>https://routing.openstreetmap.de/routed-car/</x:v>
      </x:c>
    </x:row>
    <x:row r="645">
      <x:c r="A645" s="51" t="str">
        <x:v>A0641</x:v>
      </x:c>
      <x:c r="B645" s="51" t="str">
        <x:v>C09</x:v>
      </x:c>
      <x:c r="C645" s="51" t="str">
        <x:v>collection</x:v>
      </x:c>
      <x:c r="D645" s="51" t="str">
        <x:v>惠州虚拟回收/检测中心</x:v>
      </x:c>
      <x:c r="E645" s="51" t="str">
        <x:v>P07</x:v>
      </x:c>
      <x:c r="F645" s="51" t="str">
        <x:v>echelon</x:v>
      </x:c>
      <x:c r="G645" s="51" t="str">
        <x:v>广东迪度新能源有限公司</x:v>
      </x:c>
      <x:c r="H645" s="52" t="n">
        <x:v>82.90044805737128</x:v>
      </x:c>
      <x:c r="I645" s="52" t="n">
        <x:v>94.6155</x:v>
      </x:c>
      <x:c r="J645" s="52" t="n">
        <x:v>70.79166666666667</x:v>
      </x:c>
      <x:c r="K645" s="52" t="n">
        <x:f>IFERROR(I645/H645,"")</x:f>
        <x:v>1.1413146999461488</x:v>
      </x:c>
      <x:c r="L645" s="52" t="n">
        <x:v>300</x:v>
      </x:c>
      <x:c r="M645" s="65" t="n">
        <x:f>IF(H645&lt;=L645,1,0)</x:f>
        <x:v>1</x:v>
      </x:c>
      <x:c r="N645" s="65" t="n">
        <x:f>IF(I645&lt;=L645,1,0)</x:f>
        <x:v>1</x:v>
      </x:c>
      <x:c r="O645" s="51" t="str">
        <x:f>IF(M645=N645,"不变",IF(N645=1,"由禁变允","由允变禁"))</x:f>
        <x:v>不变</x:v>
      </x:c>
      <x:c r="P645" s="51" t="str">
        <x:v>OSRM driving/car</x:v>
      </x:c>
      <x:c r="Q645" s="51" t="str">
        <x:v>2026-08-15</x:v>
      </x:c>
      <x:c r="R645" s="51" t="str">
        <x:v>C-开放路网计算；不是货车/危运合规路线</x:v>
      </x:c>
      <x:c r="S645" s="51" t="str">
        <x:v>https://routing.openstreetmap.de/routed-car/</x:v>
      </x:c>
    </x:row>
    <x:row r="646">
      <x:c r="A646" s="51" t="str">
        <x:v>A0642</x:v>
      </x:c>
      <x:c r="B646" s="51" t="str">
        <x:v>C09</x:v>
      </x:c>
      <x:c r="C646" s="51" t="str">
        <x:v>collection</x:v>
      </x:c>
      <x:c r="D646" s="51" t="str">
        <x:v>惠州虚拟回收/检测中心</x:v>
      </x:c>
      <x:c r="E646" s="51" t="str">
        <x:v>P08</x:v>
      </x:c>
      <x:c r="F646" s="51" t="str">
        <x:v>echelon</x:v>
      </x:c>
      <x:c r="G646" s="51" t="str">
        <x:v>东莞市博森新能源有限公司</x:v>
      </x:c>
      <x:c r="H646" s="52" t="n">
        <x:v>82.90044805737128</x:v>
      </x:c>
      <x:c r="I646" s="52" t="n">
        <x:v>94.6155</x:v>
      </x:c>
      <x:c r="J646" s="52" t="n">
        <x:v>70.79166666666667</x:v>
      </x:c>
      <x:c r="K646" s="52" t="n">
        <x:f>IFERROR(I646/H646,"")</x:f>
        <x:v>1.1413146999461488</x:v>
      </x:c>
      <x:c r="L646" s="52" t="n">
        <x:v>300</x:v>
      </x:c>
      <x:c r="M646" s="65" t="n">
        <x:f>IF(H646&lt;=L646,1,0)</x:f>
        <x:v>1</x:v>
      </x:c>
      <x:c r="N646" s="65" t="n">
        <x:f>IF(I646&lt;=L646,1,0)</x:f>
        <x:v>1</x:v>
      </x:c>
      <x:c r="O646" s="51" t="str">
        <x:f>IF(M646=N646,"不变",IF(N646=1,"由禁变允","由允变禁"))</x:f>
        <x:v>不变</x:v>
      </x:c>
      <x:c r="P646" s="51" t="str">
        <x:v>OSRM driving/car</x:v>
      </x:c>
      <x:c r="Q646" s="51" t="str">
        <x:v>2026-08-15</x:v>
      </x:c>
      <x:c r="R646" s="51" t="str">
        <x:v>C-开放路网计算；不是货车/危运合规路线</x:v>
      </x:c>
      <x:c r="S646" s="51" t="str">
        <x:v>https://routing.openstreetmap.de/routed-car/</x:v>
      </x:c>
    </x:row>
    <x:row r="647">
      <x:c r="A647" s="51" t="str">
        <x:v>A0643</x:v>
      </x:c>
      <x:c r="B647" s="51" t="str">
        <x:v>C09</x:v>
      </x:c>
      <x:c r="C647" s="51" t="str">
        <x:v>collection</x:v>
      </x:c>
      <x:c r="D647" s="51" t="str">
        <x:v>惠州虚拟回收/检测中心</x:v>
      </x:c>
      <x:c r="E647" s="51" t="str">
        <x:v>P09</x:v>
      </x:c>
      <x:c r="F647" s="51" t="str">
        <x:v>echelon</x:v>
      </x:c>
      <x:c r="G647" s="51" t="str">
        <x:v>广东宇阳新能源有限公司</x:v>
      </x:c>
      <x:c r="H647" s="52" t="n">
        <x:v>82.90044805737128</x:v>
      </x:c>
      <x:c r="I647" s="52" t="n">
        <x:v>94.6155</x:v>
      </x:c>
      <x:c r="J647" s="52" t="n">
        <x:v>70.79166666666667</x:v>
      </x:c>
      <x:c r="K647" s="52" t="n">
        <x:f>IFERROR(I647/H647,"")</x:f>
        <x:v>1.1413146999461488</x:v>
      </x:c>
      <x:c r="L647" s="52" t="n">
        <x:v>300</x:v>
      </x:c>
      <x:c r="M647" s="65" t="n">
        <x:f>IF(H647&lt;=L647,1,0)</x:f>
        <x:v>1</x:v>
      </x:c>
      <x:c r="N647" s="65" t="n">
        <x:f>IF(I647&lt;=L647,1,0)</x:f>
        <x:v>1</x:v>
      </x:c>
      <x:c r="O647" s="51" t="str">
        <x:f>IF(M647=N647,"不变",IF(N647=1,"由禁变允","由允变禁"))</x:f>
        <x:v>不变</x:v>
      </x:c>
      <x:c r="P647" s="51" t="str">
        <x:v>OSRM driving/car</x:v>
      </x:c>
      <x:c r="Q647" s="51" t="str">
        <x:v>2026-08-15</x:v>
      </x:c>
      <x:c r="R647" s="51" t="str">
        <x:v>C-开放路网计算；不是货车/危运合规路线</x:v>
      </x:c>
      <x:c r="S647" s="51" t="str">
        <x:v>https://routing.openstreetmap.de/routed-car/</x:v>
      </x:c>
    </x:row>
    <x:row r="648">
      <x:c r="A648" s="51" t="str">
        <x:v>A0644</x:v>
      </x:c>
      <x:c r="B648" s="51" t="str">
        <x:v>C09</x:v>
      </x:c>
      <x:c r="C648" s="51" t="str">
        <x:v>collection</x:v>
      </x:c>
      <x:c r="D648" s="51" t="str">
        <x:v>惠州虚拟回收/检测中心</x:v>
      </x:c>
      <x:c r="E648" s="51" t="str">
        <x:v>P10</x:v>
      </x:c>
      <x:c r="F648" s="51" t="str">
        <x:v>echelon</x:v>
      </x:c>
      <x:c r="G648" s="51" t="str">
        <x:v>广州广汽商贸再生资源有限公司</x:v>
      </x:c>
      <x:c r="H648" s="52" t="n">
        <x:v>141.59962050860264</x:v>
      </x:c>
      <x:c r="I648" s="52" t="n">
        <x:v>138.8645</x:v>
      </x:c>
      <x:c r="J648" s="52" t="n">
        <x:v>98.54166666666667</x:v>
      </x:c>
      <x:c r="K648" s="52" t="n">
        <x:f>IFERROR(I648/H648,"")</x:f>
        <x:v>0.9806841254321266</x:v>
      </x:c>
      <x:c r="L648" s="52" t="n">
        <x:v>300</x:v>
      </x:c>
      <x:c r="M648" s="65" t="n">
        <x:f>IF(H648&lt;=L648,1,0)</x:f>
        <x:v>1</x:v>
      </x:c>
      <x:c r="N648" s="65" t="n">
        <x:f>IF(I648&lt;=L648,1,0)</x:f>
        <x:v>1</x:v>
      </x:c>
      <x:c r="O648" s="51" t="str">
        <x:f>IF(M648=N648,"不变",IF(N648=1,"由禁变允","由允变禁"))</x:f>
        <x:v>不变</x:v>
      </x:c>
      <x:c r="P648" s="51" t="str">
        <x:v>OSRM driving/car</x:v>
      </x:c>
      <x:c r="Q648" s="51" t="str">
        <x:v>2026-08-15</x:v>
      </x:c>
      <x:c r="R648" s="51" t="str">
        <x:v>C-开放路网计算；不是货车/危运合规路线</x:v>
      </x:c>
      <x:c r="S648" s="51" t="str">
        <x:v>https://routing.openstreetmap.de/routed-car/</x:v>
      </x:c>
    </x:row>
    <x:row r="649">
      <x:c r="A649" s="51" t="str">
        <x:v>A0645</x:v>
      </x:c>
      <x:c r="B649" s="51" t="str">
        <x:v>C09</x:v>
      </x:c>
      <x:c r="C649" s="51" t="str">
        <x:v>collection</x:v>
      </x:c>
      <x:c r="D649" s="51" t="str">
        <x:v>惠州虚拟回收/检测中心</x:v>
      </x:c>
      <x:c r="E649" s="51" t="str">
        <x:v>P11</x:v>
      </x:c>
      <x:c r="F649" s="51" t="str">
        <x:v>echelon</x:v>
      </x:c>
      <x:c r="G649" s="51" t="str">
        <x:v>深圳市杰成镍钴新能源科技有限公司</x:v>
      </x:c>
      <x:c r="H649" s="52" t="n">
        <x:v>87.65338268455065</x:v>
      </x:c>
      <x:c r="I649" s="52" t="n">
        <x:v>88.7728</x:v>
      </x:c>
      <x:c r="J649" s="52" t="n">
        <x:v>71.12333333333332</x:v>
      </x:c>
      <x:c r="K649" s="52" t="n">
        <x:f>IFERROR(I649/H649,"")</x:f>
        <x:v>1.0127709539685188</x:v>
      </x:c>
      <x:c r="L649" s="52" t="n">
        <x:v>300</x:v>
      </x:c>
      <x:c r="M649" s="65" t="n">
        <x:f>IF(H649&lt;=L649,1,0)</x:f>
        <x:v>1</x:v>
      </x:c>
      <x:c r="N649" s="65" t="n">
        <x:f>IF(I649&lt;=L649,1,0)</x:f>
        <x:v>1</x:v>
      </x:c>
      <x:c r="O649" s="51" t="str">
        <x:f>IF(M649=N649,"不变",IF(N649=1,"由禁变允","由允变禁"))</x:f>
        <x:v>不变</x:v>
      </x:c>
      <x:c r="P649" s="51" t="str">
        <x:v>OSRM driving/car</x:v>
      </x:c>
      <x:c r="Q649" s="51" t="str">
        <x:v>2026-08-15</x:v>
      </x:c>
      <x:c r="R649" s="51" t="str">
        <x:v>C-开放路网计算；不是货车/危运合规路线</x:v>
      </x:c>
      <x:c r="S649" s="51" t="str">
        <x:v>https://routing.openstreetmap.de/routed-car/</x:v>
      </x:c>
    </x:row>
    <x:row r="650">
      <x:c r="A650" s="51" t="str">
        <x:v>A0646</x:v>
      </x:c>
      <x:c r="B650" s="51" t="str">
        <x:v>C09</x:v>
      </x:c>
      <x:c r="C650" s="51" t="str">
        <x:v>collection</x:v>
      </x:c>
      <x:c r="D650" s="51" t="str">
        <x:v>惠州虚拟回收/检测中心</x:v>
      </x:c>
      <x:c r="E650" s="51" t="str">
        <x:v>P12</x:v>
      </x:c>
      <x:c r="F650" s="51" t="str">
        <x:v>recycling</x:v>
      </x:c>
      <x:c r="G650" s="51" t="str">
        <x:v>江门市恒创睿能环保科技有限公司</x:v>
      </x:c>
      <x:c r="H650" s="52" t="n">
        <x:v>178.96752942018048</x:v>
      </x:c>
      <x:c r="I650" s="52" t="n">
        <x:v>182.8135</x:v>
      </x:c>
      <x:c r="J650" s="52" t="n">
        <x:v>141.08333333333334</x:v>
      </x:c>
      <x:c r="K650" s="52" t="n">
        <x:f>IFERROR(I650/H650,"")</x:f>
        <x:v>1.0214897674023868</x:v>
      </x:c>
      <x:c r="L650" s="52" t="n">
        <x:v>400</x:v>
      </x:c>
      <x:c r="M650" s="65" t="n">
        <x:f>IF(H650&lt;=L650,1,0)</x:f>
        <x:v>1</x:v>
      </x:c>
      <x:c r="N650" s="65" t="n">
        <x:f>IF(I650&lt;=L650,1,0)</x:f>
        <x:v>1</x:v>
      </x:c>
      <x:c r="O650" s="51" t="str">
        <x:f>IF(M650=N650,"不变",IF(N650=1,"由禁变允","由允变禁"))</x:f>
        <x:v>不变</x:v>
      </x:c>
      <x:c r="P650" s="51" t="str">
        <x:v>OSRM driving/car</x:v>
      </x:c>
      <x:c r="Q650" s="51" t="str">
        <x:v>2026-08-15</x:v>
      </x:c>
      <x:c r="R650" s="51" t="str">
        <x:v>C-开放路网计算；不是货车/危运合规路线</x:v>
      </x:c>
      <x:c r="S650" s="51" t="str">
        <x:v>https://routing.openstreetmap.de/routed-car/</x:v>
      </x:c>
    </x:row>
    <x:row r="651">
      <x:c r="A651" s="51" t="str">
        <x:v>A0647</x:v>
      </x:c>
      <x:c r="B651" s="51" t="str">
        <x:v>C09</x:v>
      </x:c>
      <x:c r="C651" s="51" t="str">
        <x:v>collection</x:v>
      </x:c>
      <x:c r="D651" s="51" t="str">
        <x:v>惠州虚拟回收/检测中心</x:v>
      </x:c>
      <x:c r="E651" s="51" t="str">
        <x:v>P13</x:v>
      </x:c>
      <x:c r="F651" s="51" t="str">
        <x:v>recycling</x:v>
      </x:c>
      <x:c r="G651" s="51" t="str">
        <x:v>广东佳纳能源科技有限公司</x:v>
      </x:c>
      <x:c r="H651" s="52" t="n">
        <x:v>183.368389563571</x:v>
      </x:c>
      <x:c r="I651" s="52" t="n">
        <x:v>183.9218</x:v>
      </x:c>
      <x:c r="J651" s="52" t="n">
        <x:v>134.955</x:v>
      </x:c>
      <x:c r="K651" s="52" t="n">
        <x:f>IFERROR(I651/H651,"")</x:f>
        <x:v>1.0030180252863983</x:v>
      </x:c>
      <x:c r="L651" s="52" t="n">
        <x:v>400</x:v>
      </x:c>
      <x:c r="M651" s="65" t="n">
        <x:f>IF(H651&lt;=L651,1,0)</x:f>
        <x:v>1</x:v>
      </x:c>
      <x:c r="N651" s="65" t="n">
        <x:f>IF(I651&lt;=L651,1,0)</x:f>
        <x:v>1</x:v>
      </x:c>
      <x:c r="O651" s="51" t="str">
        <x:f>IF(M651=N651,"不变",IF(N651=1,"由禁变允","由允变禁"))</x:f>
        <x:v>不变</x:v>
      </x:c>
      <x:c r="P651" s="51" t="str">
        <x:v>OSRM driving/car</x:v>
      </x:c>
      <x:c r="Q651" s="51" t="str">
        <x:v>2026-08-15</x:v>
      </x:c>
      <x:c r="R651" s="51" t="str">
        <x:v>C-开放路网计算；不是货车/危运合规路线</x:v>
      </x:c>
      <x:c r="S651" s="51" t="str">
        <x:v>https://routing.openstreetmap.de/routed-car/</x:v>
      </x:c>
    </x:row>
    <x:row r="652">
      <x:c r="A652" s="51" t="str">
        <x:v>A0648</x:v>
      </x:c>
      <x:c r="B652" s="51" t="str">
        <x:v>C09</x:v>
      </x:c>
      <x:c r="C652" s="51" t="str">
        <x:v>collection</x:v>
      </x:c>
      <x:c r="D652" s="51" t="str">
        <x:v>惠州虚拟回收/检测中心</x:v>
      </x:c>
      <x:c r="E652" s="51" t="str">
        <x:v>P14</x:v>
      </x:c>
      <x:c r="F652" s="51" t="str">
        <x:v>echelon</x:v>
      </x:c>
      <x:c r="G652" s="51" t="str">
        <x:v>格林美（深圳）循环科技有限公司</x:v>
      </x:c>
      <x:c r="H652" s="52" t="n">
        <x:v>87.65338268455065</x:v>
      </x:c>
      <x:c r="I652" s="52" t="n">
        <x:v>88.7728</x:v>
      </x:c>
      <x:c r="J652" s="52" t="n">
        <x:v>71.12333333333332</x:v>
      </x:c>
      <x:c r="K652" s="52" t="n">
        <x:f>IFERROR(I652/H652,"")</x:f>
        <x:v>1.0127709539685188</x:v>
      </x:c>
      <x:c r="L652" s="52" t="n">
        <x:v>300</x:v>
      </x:c>
      <x:c r="M652" s="65" t="n">
        <x:f>IF(H652&lt;=L652,1,0)</x:f>
        <x:v>1</x:v>
      </x:c>
      <x:c r="N652" s="65" t="n">
        <x:f>IF(I652&lt;=L652,1,0)</x:f>
        <x:v>1</x:v>
      </x:c>
      <x:c r="O652" s="51" t="str">
        <x:f>IF(M652=N652,"不变",IF(N652=1,"由禁变允","由允变禁"))</x:f>
        <x:v>不变</x:v>
      </x:c>
      <x:c r="P652" s="51" t="str">
        <x:v>OSRM driving/car</x:v>
      </x:c>
      <x:c r="Q652" s="51" t="str">
        <x:v>2026-08-15</x:v>
      </x:c>
      <x:c r="R652" s="51" t="str">
        <x:v>C-开放路网计算；不是货车/危运合规路线</x:v>
      </x:c>
      <x:c r="S652" s="51" t="str">
        <x:v>https://routing.openstreetmap.de/routed-car/</x:v>
      </x:c>
    </x:row>
    <x:row r="653">
      <x:c r="A653" s="51" t="str">
        <x:v>A0649</x:v>
      </x:c>
      <x:c r="B653" s="51" t="str">
        <x:v>C09</x:v>
      </x:c>
      <x:c r="C653" s="51" t="str">
        <x:v>collection</x:v>
      </x:c>
      <x:c r="D653" s="51" t="str">
        <x:v>惠州虚拟回收/检测中心</x:v>
      </x:c>
      <x:c r="E653" s="51" t="str">
        <x:v>P15</x:v>
      </x:c>
      <x:c r="F653" s="51" t="str">
        <x:v>echelon</x:v>
      </x:c>
      <x:c r="G653" s="51" t="str">
        <x:v>绿循新能源科技（佛山）有限责任公司</x:v>
      </x:c>
      <x:c r="H653" s="52" t="n">
        <x:v>159.63127925962104</x:v>
      </x:c>
      <x:c r="I653" s="52" t="n">
        <x:v>158.107</x:v>
      </x:c>
      <x:c r="J653" s="52" t="n">
        <x:v>118.03833333333334</x:v>
      </x:c>
      <x:c r="K653" s="52" t="n">
        <x:f>IFERROR(I653/H653,"")</x:f>
        <x:v>0.9904512494876272</x:v>
      </x:c>
      <x:c r="L653" s="52" t="n">
        <x:v>300</x:v>
      </x:c>
      <x:c r="M653" s="65" t="n">
        <x:f>IF(H653&lt;=L653,1,0)</x:f>
        <x:v>1</x:v>
      </x:c>
      <x:c r="N653" s="65" t="n">
        <x:f>IF(I653&lt;=L653,1,0)</x:f>
        <x:v>1</x:v>
      </x:c>
      <x:c r="O653" s="51" t="str">
        <x:f>IF(M653=N653,"不变",IF(N653=1,"由禁变允","由允变禁"))</x:f>
        <x:v>不变</x:v>
      </x:c>
      <x:c r="P653" s="51" t="str">
        <x:v>OSRM driving/car</x:v>
      </x:c>
      <x:c r="Q653" s="51" t="str">
        <x:v>2026-08-15</x:v>
      </x:c>
      <x:c r="R653" s="51" t="str">
        <x:v>C-开放路网计算；不是货车/危运合规路线</x:v>
      </x:c>
      <x:c r="S653" s="51" t="str">
        <x:v>https://routing.openstreetmap.de/routed-car/</x:v>
      </x:c>
    </x:row>
    <x:row r="654">
      <x:c r="A654" s="51" t="str">
        <x:v>A0650</x:v>
      </x:c>
      <x:c r="B654" s="51" t="str">
        <x:v>C09</x:v>
      </x:c>
      <x:c r="C654" s="51" t="str">
        <x:v>collection</x:v>
      </x:c>
      <x:c r="D654" s="51" t="str">
        <x:v>惠州虚拟回收/检测中心</x:v>
      </x:c>
      <x:c r="E654" s="51" t="str">
        <x:v>P16</x:v>
      </x:c>
      <x:c r="F654" s="51" t="str">
        <x:v>echelon</x:v>
      </x:c>
      <x:c r="G654" s="51" t="str">
        <x:v>深圳艾云动智慧科技有限公司</x:v>
      </x:c>
      <x:c r="H654" s="52" t="n">
        <x:v>87.65338268455065</x:v>
      </x:c>
      <x:c r="I654" s="52" t="n">
        <x:v>88.7728</x:v>
      </x:c>
      <x:c r="J654" s="52" t="n">
        <x:v>71.12333333333332</x:v>
      </x:c>
      <x:c r="K654" s="52" t="n">
        <x:f>IFERROR(I654/H654,"")</x:f>
        <x:v>1.0127709539685188</x:v>
      </x:c>
      <x:c r="L654" s="52" t="n">
        <x:v>300</x:v>
      </x:c>
      <x:c r="M654" s="65" t="n">
        <x:f>IF(H654&lt;=L654,1,0)</x:f>
        <x:v>1</x:v>
      </x:c>
      <x:c r="N654" s="65" t="n">
        <x:f>IF(I654&lt;=L654,1,0)</x:f>
        <x:v>1</x:v>
      </x:c>
      <x:c r="O654" s="51" t="str">
        <x:f>IF(M654=N654,"不变",IF(N654=1,"由禁变允","由允变禁"))</x:f>
        <x:v>不变</x:v>
      </x:c>
      <x:c r="P654" s="51" t="str">
        <x:v>OSRM driving/car</x:v>
      </x:c>
      <x:c r="Q654" s="51" t="str">
        <x:v>2026-08-15</x:v>
      </x:c>
      <x:c r="R654" s="51" t="str">
        <x:v>C-开放路网计算；不是货车/危运合规路线</x:v>
      </x:c>
      <x:c r="S654" s="51" t="str">
        <x:v>https://routing.openstreetmap.de/routed-car/</x:v>
      </x:c>
    </x:row>
    <x:row r="655">
      <x:c r="A655" s="51" t="str">
        <x:v>A0651</x:v>
      </x:c>
      <x:c r="B655" s="51" t="str">
        <x:v>C09</x:v>
      </x:c>
      <x:c r="C655" s="51" t="str">
        <x:v>collection</x:v>
      </x:c>
      <x:c r="D655" s="51" t="str">
        <x:v>惠州虚拟回收/检测中心</x:v>
      </x:c>
      <x:c r="E655" s="51" t="str">
        <x:v>P17</x:v>
      </x:c>
      <x:c r="F655" s="51" t="str">
        <x:v>echelon</x:v>
      </x:c>
      <x:c r="G655" s="51" t="str">
        <x:v>深圳市荣高晟新能源科技有限公司</x:v>
      </x:c>
      <x:c r="H655" s="52" t="n">
        <x:v>87.65338268455065</x:v>
      </x:c>
      <x:c r="I655" s="52" t="n">
        <x:v>88.7728</x:v>
      </x:c>
      <x:c r="J655" s="52" t="n">
        <x:v>71.12333333333332</x:v>
      </x:c>
      <x:c r="K655" s="52" t="n">
        <x:f>IFERROR(I655/H655,"")</x:f>
        <x:v>1.0127709539685188</x:v>
      </x:c>
      <x:c r="L655" s="52" t="n">
        <x:v>300</x:v>
      </x:c>
      <x:c r="M655" s="65" t="n">
        <x:f>IF(H655&lt;=L655,1,0)</x:f>
        <x:v>1</x:v>
      </x:c>
      <x:c r="N655" s="65" t="n">
        <x:f>IF(I655&lt;=L655,1,0)</x:f>
        <x:v>1</x:v>
      </x:c>
      <x:c r="O655" s="51" t="str">
        <x:f>IF(M655=N655,"不变",IF(N655=1,"由禁变允","由允变禁"))</x:f>
        <x:v>不变</x:v>
      </x:c>
      <x:c r="P655" s="51" t="str">
        <x:v>OSRM driving/car</x:v>
      </x:c>
      <x:c r="Q655" s="51" t="str">
        <x:v>2026-08-15</x:v>
      </x:c>
      <x:c r="R655" s="51" t="str">
        <x:v>C-开放路网计算；不是货车/危运合规路线</x:v>
      </x:c>
      <x:c r="S655" s="51" t="str">
        <x:v>https://routing.openstreetmap.de/routed-car/</x:v>
      </x:c>
    </x:row>
    <x:row r="656">
      <x:c r="A656" s="51" t="str">
        <x:v>A0652</x:v>
      </x:c>
      <x:c r="B656" s="51" t="str">
        <x:v>C09</x:v>
      </x:c>
      <x:c r="C656" s="51" t="str">
        <x:v>collection</x:v>
      </x:c>
      <x:c r="D656" s="51" t="str">
        <x:v>惠州虚拟回收/检测中心</x:v>
      </x:c>
      <x:c r="E656" s="51" t="str">
        <x:v>P18</x:v>
      </x:c>
      <x:c r="F656" s="51" t="str">
        <x:v>echelon</x:v>
      </x:c>
      <x:c r="G656" s="51" t="str">
        <x:v>中商锂新能源科技（惠州）有限公司</x:v>
      </x:c>
      <x:c r="H656" s="52" t="n">
        <x:v>0</x:v>
      </x:c>
      <x:c r="I656" s="52" t="n">
        <x:v>0</x:v>
      </x:c>
      <x:c r="J656" s="52" t="n">
        <x:v>0</x:v>
      </x:c>
      <x:c r="K656" s="52" t="str">
        <x:f>IFERROR(I656/H656,"")</x:f>
      </x:c>
      <x:c r="L656" s="52" t="n">
        <x:v>300</x:v>
      </x:c>
      <x:c r="M656" s="65" t="n">
        <x:f>IF(H656&lt;=L656,1,0)</x:f>
        <x:v>1</x:v>
      </x:c>
      <x:c r="N656" s="65" t="n">
        <x:f>IF(I656&lt;=L656,1,0)</x:f>
        <x:v>1</x:v>
      </x:c>
      <x:c r="O656" s="51" t="str">
        <x:f>IF(M656=N656,"不变",IF(N656=1,"由禁变允","由允变禁"))</x:f>
        <x:v>不变</x:v>
      </x:c>
      <x:c r="P656" s="51" t="str">
        <x:v>OSRM driving/car</x:v>
      </x:c>
      <x:c r="Q656" s="51" t="str">
        <x:v>2026-08-15</x:v>
      </x:c>
      <x:c r="R656" s="51" t="str">
        <x:v>C-开放路网计算；不是货车/危运合规路线</x:v>
      </x:c>
      <x:c r="S656" s="51" t="str">
        <x:v>https://routing.openstreetmap.de/routed-car/</x:v>
      </x:c>
    </x:row>
    <x:row r="657">
      <x:c r="A657" s="51" t="str">
        <x:v>A0653</x:v>
      </x:c>
      <x:c r="B657" s="51" t="str">
        <x:v>C09</x:v>
      </x:c>
      <x:c r="C657" s="51" t="str">
        <x:v>collection</x:v>
      </x:c>
      <x:c r="D657" s="51" t="str">
        <x:v>惠州虚拟回收/检测中心</x:v>
      </x:c>
      <x:c r="E657" s="51" t="str">
        <x:v>P19</x:v>
      </x:c>
      <x:c r="F657" s="51" t="str">
        <x:v>recycling</x:v>
      </x:c>
      <x:c r="G657" s="51" t="str">
        <x:v>广东盛祥新材料科技有限公司</x:v>
      </x:c>
      <x:c r="H657" s="52" t="n">
        <x:v>240.57838750981594</x:v>
      </x:c>
      <x:c r="I657" s="52" t="n">
        <x:v>258.7829</x:v>
      </x:c>
      <x:c r="J657" s="52" t="n">
        <x:v>191.28833333333333</x:v>
      </x:c>
      <x:c r="K657" s="52" t="n">
        <x:f>IFERROR(I657/H657,"")</x:f>
        <x:v>1.075669775155681</x:v>
      </x:c>
      <x:c r="L657" s="52" t="n">
        <x:v>400</x:v>
      </x:c>
      <x:c r="M657" s="65" t="n">
        <x:f>IF(H657&lt;=L657,1,0)</x:f>
        <x:v>1</x:v>
      </x:c>
      <x:c r="N657" s="65" t="n">
        <x:f>IF(I657&lt;=L657,1,0)</x:f>
        <x:v>1</x:v>
      </x:c>
      <x:c r="O657" s="51" t="str">
        <x:f>IF(M657=N657,"不变",IF(N657=1,"由禁变允","由允变禁"))</x:f>
        <x:v>不变</x:v>
      </x:c>
      <x:c r="P657" s="51" t="str">
        <x:v>OSRM driving/car</x:v>
      </x:c>
      <x:c r="Q657" s="51" t="str">
        <x:v>2026-08-15</x:v>
      </x:c>
      <x:c r="R657" s="51" t="str">
        <x:v>C-开放路网计算；不是货车/危运合规路线</x:v>
      </x:c>
      <x:c r="S657" s="51" t="str">
        <x:v>https://routing.openstreetmap.de/routed-car/</x:v>
      </x:c>
    </x:row>
    <x:row r="658">
      <x:c r="A658" s="51" t="str">
        <x:v>A0654</x:v>
      </x:c>
      <x:c r="B658" s="51" t="str">
        <x:v>C09</x:v>
      </x:c>
      <x:c r="C658" s="51" t="str">
        <x:v>collection</x:v>
      </x:c>
      <x:c r="D658" s="51" t="str">
        <x:v>惠州虚拟回收/检测中心</x:v>
      </x:c>
      <x:c r="E658" s="51" t="str">
        <x:v>P20E</x:v>
      </x:c>
      <x:c r="F658" s="51" t="str">
        <x:v>echelon</x:v>
      </x:c>
      <x:c r="G658" s="51" t="str">
        <x:v>广东金晟新能源股份有限公司（梯次功能）</x:v>
      </x:c>
      <x:c r="H658" s="52" t="n">
        <x:v>239.7967570099756</x:v>
      </x:c>
      <x:c r="I658" s="52" t="n">
        <x:v>239.95479999999998</x:v>
      </x:c>
      <x:c r="J658" s="52" t="n">
        <x:v>171.13333333333333</x:v>
      </x:c>
      <x:c r="K658" s="52" t="n">
        <x:f>IFERROR(I658/H658,"")</x:f>
        <x:v>1.0006590705895901</x:v>
      </x:c>
      <x:c r="L658" s="52" t="n">
        <x:v>300</x:v>
      </x:c>
      <x:c r="M658" s="65" t="n">
        <x:f>IF(H658&lt;=L658,1,0)</x:f>
        <x:v>1</x:v>
      </x:c>
      <x:c r="N658" s="65" t="n">
        <x:f>IF(I658&lt;=L658,1,0)</x:f>
        <x:v>1</x:v>
      </x:c>
      <x:c r="O658" s="51" t="str">
        <x:f>IF(M658=N658,"不变",IF(N658=1,"由禁变允","由允变禁"))</x:f>
        <x:v>不变</x:v>
      </x:c>
      <x:c r="P658" s="51" t="str">
        <x:v>OSRM driving/car</x:v>
      </x:c>
      <x:c r="Q658" s="51" t="str">
        <x:v>2026-08-15</x:v>
      </x:c>
      <x:c r="R658" s="51" t="str">
        <x:v>C-开放路网计算；不是货车/危运合规路线</x:v>
      </x:c>
      <x:c r="S658" s="51" t="str">
        <x:v>https://routing.openstreetmap.de/routed-car/</x:v>
      </x:c>
    </x:row>
    <x:row r="659">
      <x:c r="A659" s="51" t="str">
        <x:v>A0655</x:v>
      </x:c>
      <x:c r="B659" s="51" t="str">
        <x:v>C09</x:v>
      </x:c>
      <x:c r="C659" s="51" t="str">
        <x:v>collection</x:v>
      </x:c>
      <x:c r="D659" s="51" t="str">
        <x:v>惠州虚拟回收/检测中心</x:v>
      </x:c>
      <x:c r="E659" s="51" t="str">
        <x:v>P20R</x:v>
      </x:c>
      <x:c r="F659" s="51" t="str">
        <x:v>recycling</x:v>
      </x:c>
      <x:c r="G659" s="51" t="str">
        <x:v>广东金晟新能源股份有限公司（再生功能）</x:v>
      </x:c>
      <x:c r="H659" s="52" t="n">
        <x:v>239.7967570099756</x:v>
      </x:c>
      <x:c r="I659" s="52" t="n">
        <x:v>239.95479999999998</x:v>
      </x:c>
      <x:c r="J659" s="52" t="n">
        <x:v>171.13333333333333</x:v>
      </x:c>
      <x:c r="K659" s="52" t="n">
        <x:f>IFERROR(I659/H659,"")</x:f>
        <x:v>1.0006590705895901</x:v>
      </x:c>
      <x:c r="L659" s="52" t="n">
        <x:v>400</x:v>
      </x:c>
      <x:c r="M659" s="65" t="n">
        <x:f>IF(H659&lt;=L659,1,0)</x:f>
        <x:v>1</x:v>
      </x:c>
      <x:c r="N659" s="65" t="n">
        <x:f>IF(I659&lt;=L659,1,0)</x:f>
        <x:v>1</x:v>
      </x:c>
      <x:c r="O659" s="51" t="str">
        <x:f>IF(M659=N659,"不变",IF(N659=1,"由禁变允","由允变禁"))</x:f>
        <x:v>不变</x:v>
      </x:c>
      <x:c r="P659" s="51" t="str">
        <x:v>OSRM driving/car</x:v>
      </x:c>
      <x:c r="Q659" s="51" t="str">
        <x:v>2026-08-15</x:v>
      </x:c>
      <x:c r="R659" s="51" t="str">
        <x:v>C-开放路网计算；不是货车/危运合规路线</x:v>
      </x:c>
      <x:c r="S659" s="51" t="str">
        <x:v>https://routing.openstreetmap.de/routed-car/</x:v>
      </x:c>
    </x:row>
    <x:row r="660">
      <x:c r="A660" s="51" t="str">
        <x:v>A0656</x:v>
      </x:c>
      <x:c r="B660" s="51" t="str">
        <x:v>C09</x:v>
      </x:c>
      <x:c r="C660" s="51" t="str">
        <x:v>collection</x:v>
      </x:c>
      <x:c r="D660" s="51" t="str">
        <x:v>惠州虚拟回收/检测中心</x:v>
      </x:c>
      <x:c r="E660" s="51" t="str">
        <x:v>P21E</x:v>
      </x:c>
      <x:c r="F660" s="51" t="str">
        <x:v>echelon</x:v>
      </x:c>
      <x:c r="G660" s="51" t="str">
        <x:v>广东瑞科美电源技术有限公司（梯次功能）</x:v>
      </x:c>
      <x:c r="H660" s="52" t="n">
        <x:v>159.63127925962104</x:v>
      </x:c>
      <x:c r="I660" s="52" t="n">
        <x:v>158.107</x:v>
      </x:c>
      <x:c r="J660" s="52" t="n">
        <x:v>118.03833333333334</x:v>
      </x:c>
      <x:c r="K660" s="52" t="n">
        <x:f>IFERROR(I660/H660,"")</x:f>
        <x:v>0.9904512494876272</x:v>
      </x:c>
      <x:c r="L660" s="52" t="n">
        <x:v>300</x:v>
      </x:c>
      <x:c r="M660" s="65" t="n">
        <x:f>IF(H660&lt;=L660,1,0)</x:f>
        <x:v>1</x:v>
      </x:c>
      <x:c r="N660" s="65" t="n">
        <x:f>IF(I660&lt;=L660,1,0)</x:f>
        <x:v>1</x:v>
      </x:c>
      <x:c r="O660" s="51" t="str">
        <x:f>IF(M660=N660,"不变",IF(N660=1,"由禁变允","由允变禁"))</x:f>
        <x:v>不变</x:v>
      </x:c>
      <x:c r="P660" s="51" t="str">
        <x:v>OSRM driving/car</x:v>
      </x:c>
      <x:c r="Q660" s="51" t="str">
        <x:v>2026-08-15</x:v>
      </x:c>
      <x:c r="R660" s="51" t="str">
        <x:v>C-开放路网计算；不是货车/危运合规路线</x:v>
      </x:c>
      <x:c r="S660" s="51" t="str">
        <x:v>https://routing.openstreetmap.de/routed-car/</x:v>
      </x:c>
    </x:row>
    <x:row r="661">
      <x:c r="A661" s="51" t="str">
        <x:v>A0657</x:v>
      </x:c>
      <x:c r="B661" s="51" t="str">
        <x:v>C09</x:v>
      </x:c>
      <x:c r="C661" s="51" t="str">
        <x:v>collection</x:v>
      </x:c>
      <x:c r="D661" s="51" t="str">
        <x:v>惠州虚拟回收/检测中心</x:v>
      </x:c>
      <x:c r="E661" s="51" t="str">
        <x:v>P21R</x:v>
      </x:c>
      <x:c r="F661" s="51" t="str">
        <x:v>recycling</x:v>
      </x:c>
      <x:c r="G661" s="51" t="str">
        <x:v>广东瑞科美电源技术有限公司（再生功能）</x:v>
      </x:c>
      <x:c r="H661" s="52" t="n">
        <x:v>159.63127925962104</x:v>
      </x:c>
      <x:c r="I661" s="52" t="n">
        <x:v>158.107</x:v>
      </x:c>
      <x:c r="J661" s="52" t="n">
        <x:v>118.03833333333334</x:v>
      </x:c>
      <x:c r="K661" s="52" t="n">
        <x:f>IFERROR(I661/H661,"")</x:f>
        <x:v>0.9904512494876272</x:v>
      </x:c>
      <x:c r="L661" s="52" t="n">
        <x:v>400</x:v>
      </x:c>
      <x:c r="M661" s="65" t="n">
        <x:f>IF(H661&lt;=L661,1,0)</x:f>
        <x:v>1</x:v>
      </x:c>
      <x:c r="N661" s="65" t="n">
        <x:f>IF(I661&lt;=L661,1,0)</x:f>
        <x:v>1</x:v>
      </x:c>
      <x:c r="O661" s="51" t="str">
        <x:f>IF(M661=N661,"不变",IF(N661=1,"由禁变允","由允变禁"))</x:f>
        <x:v>不变</x:v>
      </x:c>
      <x:c r="P661" s="51" t="str">
        <x:v>OSRM driving/car</x:v>
      </x:c>
      <x:c r="Q661" s="51" t="str">
        <x:v>2026-08-15</x:v>
      </x:c>
      <x:c r="R661" s="51" t="str">
        <x:v>C-开放路网计算；不是货车/危运合规路线</x:v>
      </x:c>
      <x:c r="S661" s="51" t="str">
        <x:v>https://routing.openstreetmap.de/routed-car/</x:v>
      </x:c>
    </x:row>
    <x:row r="662">
      <x:c r="A662" s="51" t="str">
        <x:v>A0658</x:v>
      </x:c>
      <x:c r="B662" s="51" t="str">
        <x:v>C10</x:v>
      </x:c>
      <x:c r="C662" s="51" t="str">
        <x:v>collection</x:v>
      </x:c>
      <x:c r="D662" s="51" t="str">
        <x:v>汕尾虚拟回收/检测中心</x:v>
      </x:c>
      <x:c r="E662" s="51" t="str">
        <x:v>P01</x:v>
      </x:c>
      <x:c r="F662" s="51" t="str">
        <x:v>recycling</x:v>
      </x:c>
      <x:c r="G662" s="51" t="str">
        <x:v>汕尾比亚迪废旧动力电池回收项目</x:v>
      </x:c>
      <x:c r="H662" s="52" t="n">
        <x:v>30.513355132027478</x:v>
      </x:c>
      <x:c r="I662" s="52" t="n">
        <x:v>42.6796</x:v>
      </x:c>
      <x:c r="J662" s="52" t="n">
        <x:v>39.75833333333333</x:v>
      </x:c>
      <x:c r="K662" s="52" t="n">
        <x:f>IFERROR(I662/H662,"")</x:f>
        <x:v>1.3987186861402392</x:v>
      </x:c>
      <x:c r="L662" s="52" t="n">
        <x:v>400</x:v>
      </x:c>
      <x:c r="M662" s="65" t="n">
        <x:f>IF(H662&lt;=L662,1,0)</x:f>
        <x:v>1</x:v>
      </x:c>
      <x:c r="N662" s="65" t="n">
        <x:f>IF(I662&lt;=L662,1,0)</x:f>
        <x:v>1</x:v>
      </x:c>
      <x:c r="O662" s="51" t="str">
        <x:f>IF(M662=N662,"不变",IF(N662=1,"由禁变允","由允变禁"))</x:f>
        <x:v>不变</x:v>
      </x:c>
      <x:c r="P662" s="51" t="str">
        <x:v>OSRM driving/car</x:v>
      </x:c>
      <x:c r="Q662" s="51" t="str">
        <x:v>2026-08-15</x:v>
      </x:c>
      <x:c r="R662" s="51" t="str">
        <x:v>C-开放路网计算；不是货车/危运合规路线</x:v>
      </x:c>
      <x:c r="S662" s="51" t="str">
        <x:v>https://routing.openstreetmap.de/routed-car/</x:v>
      </x:c>
    </x:row>
    <x:row r="663">
      <x:c r="A663" s="51" t="str">
        <x:v>A0659</x:v>
      </x:c>
      <x:c r="B663" s="51" t="str">
        <x:v>C10</x:v>
      </x:c>
      <x:c r="C663" s="51" t="str">
        <x:v>collection</x:v>
      </x:c>
      <x:c r="D663" s="51" t="str">
        <x:v>汕尾虚拟回收/检测中心</x:v>
      </x:c>
      <x:c r="E663" s="51" t="str">
        <x:v>P02E</x:v>
      </x:c>
      <x:c r="F663" s="51" t="str">
        <x:v>echelon</x:v>
      </x:c>
      <x:c r="G663" s="51" t="str">
        <x:v>广东光华科技股份有限公司（梯次功能）</x:v>
      </x:c>
      <x:c r="H663" s="52" t="n">
        <x:v>150.39117711768017</x:v>
      </x:c>
      <x:c r="I663" s="52" t="n">
        <x:v>165.9512</x:v>
      </x:c>
      <x:c r="J663" s="52" t="n">
        <x:v>128.4</x:v>
      </x:c>
      <x:c r="K663" s="52" t="n">
        <x:f>IFERROR(I663/H663,"")</x:f>
        <x:v>1.103463668418156</x:v>
      </x:c>
      <x:c r="L663" s="52" t="n">
        <x:v>300</x:v>
      </x:c>
      <x:c r="M663" s="65" t="n">
        <x:f>IF(H663&lt;=L663,1,0)</x:f>
        <x:v>1</x:v>
      </x:c>
      <x:c r="N663" s="65" t="n">
        <x:f>IF(I663&lt;=L663,1,0)</x:f>
        <x:v>1</x:v>
      </x:c>
      <x:c r="O663" s="51" t="str">
        <x:f>IF(M663=N663,"不变",IF(N663=1,"由禁变允","由允变禁"))</x:f>
        <x:v>不变</x:v>
      </x:c>
      <x:c r="P663" s="51" t="str">
        <x:v>OSRM driving/car</x:v>
      </x:c>
      <x:c r="Q663" s="51" t="str">
        <x:v>2026-08-15</x:v>
      </x:c>
      <x:c r="R663" s="51" t="str">
        <x:v>C-开放路网计算；不是货车/危运合规路线</x:v>
      </x:c>
      <x:c r="S663" s="51" t="str">
        <x:v>https://routing.openstreetmap.de/routed-car/</x:v>
      </x:c>
    </x:row>
    <x:row r="664">
      <x:c r="A664" s="51" t="str">
        <x:v>A0660</x:v>
      </x:c>
      <x:c r="B664" s="51" t="str">
        <x:v>C10</x:v>
      </x:c>
      <x:c r="C664" s="51" t="str">
        <x:v>collection</x:v>
      </x:c>
      <x:c r="D664" s="51" t="str">
        <x:v>汕尾虚拟回收/检测中心</x:v>
      </x:c>
      <x:c r="E664" s="51" t="str">
        <x:v>P02R</x:v>
      </x:c>
      <x:c r="F664" s="51" t="str">
        <x:v>recycling</x:v>
      </x:c>
      <x:c r="G664" s="51" t="str">
        <x:v>广东光华科技股份有限公司（再生功能）</x:v>
      </x:c>
      <x:c r="H664" s="52" t="n">
        <x:v>150.39117711768017</x:v>
      </x:c>
      <x:c r="I664" s="52" t="n">
        <x:v>165.9512</x:v>
      </x:c>
      <x:c r="J664" s="52" t="n">
        <x:v>128.4</x:v>
      </x:c>
      <x:c r="K664" s="52" t="n">
        <x:f>IFERROR(I664/H664,"")</x:f>
        <x:v>1.103463668418156</x:v>
      </x:c>
      <x:c r="L664" s="52" t="n">
        <x:v>400</x:v>
      </x:c>
      <x:c r="M664" s="65" t="n">
        <x:f>IF(H664&lt;=L664,1,0)</x:f>
        <x:v>1</x:v>
      </x:c>
      <x:c r="N664" s="65" t="n">
        <x:f>IF(I664&lt;=L664,1,0)</x:f>
        <x:v>1</x:v>
      </x:c>
      <x:c r="O664" s="51" t="str">
        <x:f>IF(M664=N664,"不变",IF(N664=1,"由禁变允","由允变禁"))</x:f>
        <x:v>不变</x:v>
      </x:c>
      <x:c r="P664" s="51" t="str">
        <x:v>OSRM driving/car</x:v>
      </x:c>
      <x:c r="Q664" s="51" t="str">
        <x:v>2026-08-15</x:v>
      </x:c>
      <x:c r="R664" s="51" t="str">
        <x:v>C-开放路网计算；不是货车/危运合规路线</x:v>
      </x:c>
      <x:c r="S664" s="51" t="str">
        <x:v>https://routing.openstreetmap.de/routed-car/</x:v>
      </x:c>
    </x:row>
    <x:row r="665">
      <x:c r="A665" s="51" t="str">
        <x:v>A0661</x:v>
      </x:c>
      <x:c r="B665" s="51" t="str">
        <x:v>C10</x:v>
      </x:c>
      <x:c r="C665" s="51" t="str">
        <x:v>collection</x:v>
      </x:c>
      <x:c r="D665" s="51" t="str">
        <x:v>汕尾虚拟回收/检测中心</x:v>
      </x:c>
      <x:c r="E665" s="51" t="str">
        <x:v>P03</x:v>
      </x:c>
      <x:c r="F665" s="51" t="str">
        <x:v>echelon</x:v>
      </x:c>
      <x:c r="G665" s="51" t="str">
        <x:v>深圳深汕特别合作区乾泰技术有限公司</x:v>
      </x:c>
      <x:c r="H665" s="52" t="n">
        <x:v>0</x:v>
      </x:c>
      <x:c r="I665" s="52" t="n">
        <x:v>0</x:v>
      </x:c>
      <x:c r="J665" s="52" t="n">
        <x:v>0</x:v>
      </x:c>
      <x:c r="K665" s="52" t="str">
        <x:f>IFERROR(I665/H665,"")</x:f>
      </x:c>
      <x:c r="L665" s="52" t="n">
        <x:v>300</x:v>
      </x:c>
      <x:c r="M665" s="65" t="n">
        <x:f>IF(H665&lt;=L665,1,0)</x:f>
        <x:v>1</x:v>
      </x:c>
      <x:c r="N665" s="65" t="n">
        <x:f>IF(I665&lt;=L665,1,0)</x:f>
        <x:v>1</x:v>
      </x:c>
      <x:c r="O665" s="51" t="str">
        <x:f>IF(M665=N665,"不变",IF(N665=1,"由禁变允","由允变禁"))</x:f>
        <x:v>不变</x:v>
      </x:c>
      <x:c r="P665" s="51" t="str">
        <x:v>OSRM driving/car</x:v>
      </x:c>
      <x:c r="Q665" s="51" t="str">
        <x:v>2026-08-15</x:v>
      </x:c>
      <x:c r="R665" s="51" t="str">
        <x:v>C-开放路网计算；不是货车/危运合规路线</x:v>
      </x:c>
      <x:c r="S665" s="51" t="str">
        <x:v>https://routing.openstreetmap.de/routed-car/</x:v>
      </x:c>
    </x:row>
    <x:row r="666">
      <x:c r="A666" s="51" t="str">
        <x:v>A0662</x:v>
      </x:c>
      <x:c r="B666" s="51" t="str">
        <x:v>C10</x:v>
      </x:c>
      <x:c r="C666" s="51" t="str">
        <x:v>collection</x:v>
      </x:c>
      <x:c r="D666" s="51" t="str">
        <x:v>汕尾虚拟回收/检测中心</x:v>
      </x:c>
      <x:c r="E666" s="51" t="str">
        <x:v>P04</x:v>
      </x:c>
      <x:c r="F666" s="51" t="str">
        <x:v>echelon</x:v>
      </x:c>
      <x:c r="G666" s="51" t="str">
        <x:v>珠海中力新能源科技有限公司</x:v>
      </x:c>
      <x:c r="H666" s="52" t="n">
        <x:v>258.19268317474746</x:v>
      </x:c>
      <x:c r="I666" s="52" t="n">
        <x:v>299.0451</x:v>
      </x:c>
      <x:c r="J666" s="52" t="n">
        <x:v>221.31</x:v>
      </x:c>
      <x:c r="K666" s="52" t="n">
        <x:f>IFERROR(I666/H666,"")</x:f>
        <x:v>1.158224533410202</x:v>
      </x:c>
      <x:c r="L666" s="52" t="n">
        <x:v>300</x:v>
      </x:c>
      <x:c r="M666" s="65" t="n">
        <x:f>IF(H666&lt;=L666,1,0)</x:f>
        <x:v>1</x:v>
      </x:c>
      <x:c r="N666" s="65" t="n">
        <x:f>IF(I666&lt;=L666,1,0)</x:f>
        <x:v>1</x:v>
      </x:c>
      <x:c r="O666" s="51" t="str">
        <x:f>IF(M666=N666,"不变",IF(N666=1,"由禁变允","由允变禁"))</x:f>
        <x:v>不变</x:v>
      </x:c>
      <x:c r="P666" s="51" t="str">
        <x:v>OSRM driving/car</x:v>
      </x:c>
      <x:c r="Q666" s="51" t="str">
        <x:v>2026-08-15</x:v>
      </x:c>
      <x:c r="R666" s="51" t="str">
        <x:v>C-开放路网计算；不是货车/危运合规路线</x:v>
      </x:c>
      <x:c r="S666" s="51" t="str">
        <x:v>https://routing.openstreetmap.de/routed-car/</x:v>
      </x:c>
    </x:row>
    <x:row r="667">
      <x:c r="A667" s="51" t="str">
        <x:v>A0663</x:v>
      </x:c>
      <x:c r="B667" s="51" t="str">
        <x:v>C10</x:v>
      </x:c>
      <x:c r="C667" s="51" t="str">
        <x:v>collection</x:v>
      </x:c>
      <x:c r="D667" s="51" t="str">
        <x:v>汕尾虚拟回收/检测中心</x:v>
      </x:c>
      <x:c r="E667" s="51" t="str">
        <x:v>P05</x:v>
      </x:c>
      <x:c r="F667" s="51" t="str">
        <x:v>echelon</x:v>
      </x:c>
      <x:c r="G667" s="51" t="str">
        <x:v>惠州市恒创睿能环保科技有限公司</x:v>
      </x:c>
      <x:c r="H667" s="52" t="n">
        <x:v>135.3751705679002</x:v>
      </x:c>
      <x:c r="I667" s="52" t="n">
        <x:v>131.9282</x:v>
      </x:c>
      <x:c r="J667" s="52" t="n">
        <x:v>107.83166666666666</x:v>
      </x:c>
      <x:c r="K667" s="52" t="n">
        <x:f>IFERROR(I667/H667,"")</x:f>
        <x:v>0.9745376456152179</x:v>
      </x:c>
      <x:c r="L667" s="52" t="n">
        <x:v>300</x:v>
      </x:c>
      <x:c r="M667" s="65" t="n">
        <x:f>IF(H667&lt;=L667,1,0)</x:f>
        <x:v>1</x:v>
      </x:c>
      <x:c r="N667" s="65" t="n">
        <x:f>IF(I667&lt;=L667,1,0)</x:f>
        <x:v>1</x:v>
      </x:c>
      <x:c r="O667" s="51" t="str">
        <x:f>IF(M667=N667,"不变",IF(N667=1,"由禁变允","由允变禁"))</x:f>
        <x:v>不变</x:v>
      </x:c>
      <x:c r="P667" s="51" t="str">
        <x:v>OSRM driving/car</x:v>
      </x:c>
      <x:c r="Q667" s="51" t="str">
        <x:v>2026-08-15</x:v>
      </x:c>
      <x:c r="R667" s="51" t="str">
        <x:v>C-开放路网计算；不是货车/危运合规路线</x:v>
      </x:c>
      <x:c r="S667" s="51" t="str">
        <x:v>https://routing.openstreetmap.de/routed-car/</x:v>
      </x:c>
    </x:row>
    <x:row r="668">
      <x:c r="A668" s="51" t="str">
        <x:v>A0664</x:v>
      </x:c>
      <x:c r="B668" s="51" t="str">
        <x:v>C10</x:v>
      </x:c>
      <x:c r="C668" s="51" t="str">
        <x:v>collection</x:v>
      </x:c>
      <x:c r="D668" s="51" t="str">
        <x:v>汕尾虚拟回收/检测中心</x:v>
      </x:c>
      <x:c r="E668" s="51" t="str">
        <x:v>P06</x:v>
      </x:c>
      <x:c r="F668" s="51" t="str">
        <x:v>echelon</x:v>
      </x:c>
      <x:c r="G668" s="51" t="str">
        <x:v>江门市朗达锂电池有限公司</x:v>
      </x:c>
      <x:c r="H668" s="52" t="n">
        <x:v>304.8551803783433</x:v>
      </x:c>
      <x:c r="I668" s="52" t="n">
        <x:v>298.5161</x:v>
      </x:c>
      <x:c r="J668" s="52" t="n">
        <x:v>220.03833333333333</x:v>
      </x:c>
      <x:c r="K668" s="52" t="n">
        <x:f>IFERROR(I668/H668,"")</x:f>
        <x:v>0.9792062566544675</x:v>
      </x:c>
      <x:c r="L668" s="52" t="n">
        <x:v>300</x:v>
      </x:c>
      <x:c r="M668" s="65" t="n">
        <x:f>IF(H668&lt;=L668,1,0)</x:f>
        <x:v>0</x:v>
      </x:c>
      <x:c r="N668" s="65" t="n">
        <x:f>IF(I668&lt;=L668,1,0)</x:f>
        <x:v>1</x:v>
      </x:c>
      <x:c r="O668" s="51" t="str">
        <x:f>IF(M668=N668,"不变",IF(N668=1,"由禁变允","由允变禁"))</x:f>
        <x:v>由禁变允</x:v>
      </x:c>
      <x:c r="P668" s="51" t="str">
        <x:v>OSRM driving/car</x:v>
      </x:c>
      <x:c r="Q668" s="51" t="str">
        <x:v>2026-08-15</x:v>
      </x:c>
      <x:c r="R668" s="51" t="str">
        <x:v>C-开放路网计算；不是货车/危运合规路线</x:v>
      </x:c>
      <x:c r="S668" s="51" t="str">
        <x:v>https://routing.openstreetmap.de/routed-car/</x:v>
      </x:c>
    </x:row>
    <x:row r="669">
      <x:c r="A669" s="51" t="str">
        <x:v>A0665</x:v>
      </x:c>
      <x:c r="B669" s="51" t="str">
        <x:v>C10</x:v>
      </x:c>
      <x:c r="C669" s="51" t="str">
        <x:v>collection</x:v>
      </x:c>
      <x:c r="D669" s="51" t="str">
        <x:v>汕尾虚拟回收/检测中心</x:v>
      </x:c>
      <x:c r="E669" s="51" t="str">
        <x:v>P07</x:v>
      </x:c>
      <x:c r="F669" s="51" t="str">
        <x:v>echelon</x:v>
      </x:c>
      <x:c r="G669" s="51" t="str">
        <x:v>广东迪度新能源有限公司</x:v>
      </x:c>
      <x:c r="H669" s="52" t="n">
        <x:v>216.7349587353549</x:v>
      </x:c>
      <x:c r="I669" s="52" t="n">
        <x:v>207.5934</x:v>
      </x:c>
      <x:c r="J669" s="52" t="n">
        <x:v>150.48833333333332</x:v>
      </x:c>
      <x:c r="K669" s="52" t="n">
        <x:f>IFERROR(I669/H669,"")</x:f>
        <x:v>0.9578214848739873</x:v>
      </x:c>
      <x:c r="L669" s="52" t="n">
        <x:v>300</x:v>
      </x:c>
      <x:c r="M669" s="65" t="n">
        <x:f>IF(H669&lt;=L669,1,0)</x:f>
        <x:v>1</x:v>
      </x:c>
      <x:c r="N669" s="65" t="n">
        <x:f>IF(I669&lt;=L669,1,0)</x:f>
        <x:v>1</x:v>
      </x:c>
      <x:c r="O669" s="51" t="str">
        <x:f>IF(M669=N669,"不变",IF(N669=1,"由禁变允","由允变禁"))</x:f>
        <x:v>不变</x:v>
      </x:c>
      <x:c r="P669" s="51" t="str">
        <x:v>OSRM driving/car</x:v>
      </x:c>
      <x:c r="Q669" s="51" t="str">
        <x:v>2026-08-15</x:v>
      </x:c>
      <x:c r="R669" s="51" t="str">
        <x:v>C-开放路网计算；不是货车/危运合规路线</x:v>
      </x:c>
      <x:c r="S669" s="51" t="str">
        <x:v>https://routing.openstreetmap.de/routed-car/</x:v>
      </x:c>
    </x:row>
    <x:row r="670">
      <x:c r="A670" s="51" t="str">
        <x:v>A0666</x:v>
      </x:c>
      <x:c r="B670" s="51" t="str">
        <x:v>C10</x:v>
      </x:c>
      <x:c r="C670" s="51" t="str">
        <x:v>collection</x:v>
      </x:c>
      <x:c r="D670" s="51" t="str">
        <x:v>汕尾虚拟回收/检测中心</x:v>
      </x:c>
      <x:c r="E670" s="51" t="str">
        <x:v>P08</x:v>
      </x:c>
      <x:c r="F670" s="51" t="str">
        <x:v>echelon</x:v>
      </x:c>
      <x:c r="G670" s="51" t="str">
        <x:v>东莞市博森新能源有限公司</x:v>
      </x:c>
      <x:c r="H670" s="52" t="n">
        <x:v>216.7349587353549</x:v>
      </x:c>
      <x:c r="I670" s="52" t="n">
        <x:v>207.5934</x:v>
      </x:c>
      <x:c r="J670" s="52" t="n">
        <x:v>150.48833333333332</x:v>
      </x:c>
      <x:c r="K670" s="52" t="n">
        <x:f>IFERROR(I670/H670,"")</x:f>
        <x:v>0.9578214848739873</x:v>
      </x:c>
      <x:c r="L670" s="52" t="n">
        <x:v>300</x:v>
      </x:c>
      <x:c r="M670" s="65" t="n">
        <x:f>IF(H670&lt;=L670,1,0)</x:f>
        <x:v>1</x:v>
      </x:c>
      <x:c r="N670" s="65" t="n">
        <x:f>IF(I670&lt;=L670,1,0)</x:f>
        <x:v>1</x:v>
      </x:c>
      <x:c r="O670" s="51" t="str">
        <x:f>IF(M670=N670,"不变",IF(N670=1,"由禁变允","由允变禁"))</x:f>
        <x:v>不变</x:v>
      </x:c>
      <x:c r="P670" s="51" t="str">
        <x:v>OSRM driving/car</x:v>
      </x:c>
      <x:c r="Q670" s="51" t="str">
        <x:v>2026-08-15</x:v>
      </x:c>
      <x:c r="R670" s="51" t="str">
        <x:v>C-开放路网计算；不是货车/危运合规路线</x:v>
      </x:c>
      <x:c r="S670" s="51" t="str">
        <x:v>https://routing.openstreetmap.de/routed-car/</x:v>
      </x:c>
    </x:row>
    <x:row r="671">
      <x:c r="A671" s="51" t="str">
        <x:v>A0667</x:v>
      </x:c>
      <x:c r="B671" s="51" t="str">
        <x:v>C10</x:v>
      </x:c>
      <x:c r="C671" s="51" t="str">
        <x:v>collection</x:v>
      </x:c>
      <x:c r="D671" s="51" t="str">
        <x:v>汕尾虚拟回收/检测中心</x:v>
      </x:c>
      <x:c r="E671" s="51" t="str">
        <x:v>P09</x:v>
      </x:c>
      <x:c r="F671" s="51" t="str">
        <x:v>echelon</x:v>
      </x:c>
      <x:c r="G671" s="51" t="str">
        <x:v>广东宇阳新能源有限公司</x:v>
      </x:c>
      <x:c r="H671" s="52" t="n">
        <x:v>216.7349587353549</x:v>
      </x:c>
      <x:c r="I671" s="52" t="n">
        <x:v>207.5934</x:v>
      </x:c>
      <x:c r="J671" s="52" t="n">
        <x:v>150.48833333333332</x:v>
      </x:c>
      <x:c r="K671" s="52" t="n">
        <x:f>IFERROR(I671/H671,"")</x:f>
        <x:v>0.9578214848739873</x:v>
      </x:c>
      <x:c r="L671" s="52" t="n">
        <x:v>300</x:v>
      </x:c>
      <x:c r="M671" s="65" t="n">
        <x:f>IF(H671&lt;=L671,1,0)</x:f>
        <x:v>1</x:v>
      </x:c>
      <x:c r="N671" s="65" t="n">
        <x:f>IF(I671&lt;=L671,1,0)</x:f>
        <x:v>1</x:v>
      </x:c>
      <x:c r="O671" s="51" t="str">
        <x:f>IF(M671=N671,"不变",IF(N671=1,"由禁变允","由允变禁"))</x:f>
        <x:v>不变</x:v>
      </x:c>
      <x:c r="P671" s="51" t="str">
        <x:v>OSRM driving/car</x:v>
      </x:c>
      <x:c r="Q671" s="51" t="str">
        <x:v>2026-08-15</x:v>
      </x:c>
      <x:c r="R671" s="51" t="str">
        <x:v>C-开放路网计算；不是货车/危运合规路线</x:v>
      </x:c>
      <x:c r="S671" s="51" t="str">
        <x:v>https://routing.openstreetmap.de/routed-car/</x:v>
      </x:c>
    </x:row>
    <x:row r="672">
      <x:c r="A672" s="51" t="str">
        <x:v>A0668</x:v>
      </x:c>
      <x:c r="B672" s="51" t="str">
        <x:v>C10</x:v>
      </x:c>
      <x:c r="C672" s="51" t="str">
        <x:v>collection</x:v>
      </x:c>
      <x:c r="D672" s="51" t="str">
        <x:v>汕尾虚拟回收/检测中心</x:v>
      </x:c>
      <x:c r="E672" s="51" t="str">
        <x:v>P10</x:v>
      </x:c>
      <x:c r="F672" s="51" t="str">
        <x:v>echelon</x:v>
      </x:c>
      <x:c r="G672" s="51" t="str">
        <x:v>广州广汽商贸再生资源有限公司</x:v>
      </x:c>
      <x:c r="H672" s="52" t="n">
        <x:v>276.7760629013141</x:v>
      </x:c>
      <x:c r="I672" s="52" t="n">
        <x:v>269.1208</x:v>
      </x:c>
      <x:c r="J672" s="52" t="n">
        <x:v>192.77833333333334</x:v>
      </x:c>
      <x:c r="K672" s="52" t="n">
        <x:f>IFERROR(I672/H672,"")</x:f>
        <x:v>0.9723413115243147</x:v>
      </x:c>
      <x:c r="L672" s="52" t="n">
        <x:v>300</x:v>
      </x:c>
      <x:c r="M672" s="65" t="n">
        <x:f>IF(H672&lt;=L672,1,0)</x:f>
        <x:v>1</x:v>
      </x:c>
      <x:c r="N672" s="65" t="n">
        <x:f>IF(I672&lt;=L672,1,0)</x:f>
        <x:v>1</x:v>
      </x:c>
      <x:c r="O672" s="51" t="str">
        <x:f>IF(M672=N672,"不变",IF(N672=1,"由禁变允","由允变禁"))</x:f>
        <x:v>不变</x:v>
      </x:c>
      <x:c r="P672" s="51" t="str">
        <x:v>OSRM driving/car</x:v>
      </x:c>
      <x:c r="Q672" s="51" t="str">
        <x:v>2026-08-15</x:v>
      </x:c>
      <x:c r="R672" s="51" t="str">
        <x:v>C-开放路网计算；不是货车/危运合规路线</x:v>
      </x:c>
      <x:c r="S672" s="51" t="str">
        <x:v>https://routing.openstreetmap.de/routed-car/</x:v>
      </x:c>
    </x:row>
    <x:row r="673">
      <x:c r="A673" s="51" t="str">
        <x:v>A0669</x:v>
      </x:c>
      <x:c r="B673" s="51" t="str">
        <x:v>C10</x:v>
      </x:c>
      <x:c r="C673" s="51" t="str">
        <x:v>collection</x:v>
      </x:c>
      <x:c r="D673" s="51" t="str">
        <x:v>汕尾虚拟回收/检测中心</x:v>
      </x:c>
      <x:c r="E673" s="51" t="str">
        <x:v>P11</x:v>
      </x:c>
      <x:c r="F673" s="51" t="str">
        <x:v>echelon</x:v>
      </x:c>
      <x:c r="G673" s="51" t="str">
        <x:v>深圳市杰成镍钴新能源科技有限公司</x:v>
      </x:c>
      <x:c r="H673" s="52" t="n">
        <x:v>189.62625214547197</x:v>
      </x:c>
      <x:c r="I673" s="52" t="n">
        <x:v>188.0076</x:v>
      </x:c>
      <x:c r="J673" s="52" t="n">
        <x:v>143.29833333333332</x:v>
      </x:c>
      <x:c r="K673" s="52" t="n">
        <x:f>IFERROR(I673/H673,"")</x:f>
        <x:v>0.9914639870420989</x:v>
      </x:c>
      <x:c r="L673" s="52" t="n">
        <x:v>300</x:v>
      </x:c>
      <x:c r="M673" s="65" t="n">
        <x:f>IF(H673&lt;=L673,1,0)</x:f>
        <x:v>1</x:v>
      </x:c>
      <x:c r="N673" s="65" t="n">
        <x:f>IF(I673&lt;=L673,1,0)</x:f>
        <x:v>1</x:v>
      </x:c>
      <x:c r="O673" s="51" t="str">
        <x:f>IF(M673=N673,"不变",IF(N673=1,"由禁变允","由允变禁"))</x:f>
        <x:v>不变</x:v>
      </x:c>
      <x:c r="P673" s="51" t="str">
        <x:v>OSRM driving/car</x:v>
      </x:c>
      <x:c r="Q673" s="51" t="str">
        <x:v>2026-08-15</x:v>
      </x:c>
      <x:c r="R673" s="51" t="str">
        <x:v>C-开放路网计算；不是货车/危运合规路线</x:v>
      </x:c>
      <x:c r="S673" s="51" t="str">
        <x:v>https://routing.openstreetmap.de/routed-car/</x:v>
      </x:c>
    </x:row>
    <x:row r="674">
      <x:c r="A674" s="51" t="str">
        <x:v>A0670</x:v>
      </x:c>
      <x:c r="B674" s="51" t="str">
        <x:v>C10</x:v>
      </x:c>
      <x:c r="C674" s="51" t="str">
        <x:v>collection</x:v>
      </x:c>
      <x:c r="D674" s="51" t="str">
        <x:v>汕尾虚拟回收/检测中心</x:v>
      </x:c>
      <x:c r="E674" s="51" t="str">
        <x:v>P12</x:v>
      </x:c>
      <x:c r="F674" s="51" t="str">
        <x:v>recycling</x:v>
      </x:c>
      <x:c r="G674" s="51" t="str">
        <x:v>江门市恒创睿能环保科技有限公司</x:v>
      </x:c>
      <x:c r="H674" s="52" t="n">
        <x:v>304.8551803783433</x:v>
      </x:c>
      <x:c r="I674" s="52" t="n">
        <x:v>298.5161</x:v>
      </x:c>
      <x:c r="J674" s="52" t="n">
        <x:v>220.03833333333333</x:v>
      </x:c>
      <x:c r="K674" s="52" t="n">
        <x:f>IFERROR(I674/H674,"")</x:f>
        <x:v>0.9792062566544675</x:v>
      </x:c>
      <x:c r="L674" s="52" t="n">
        <x:v>400</x:v>
      </x:c>
      <x:c r="M674" s="65" t="n">
        <x:f>IF(H674&lt;=L674,1,0)</x:f>
        <x:v>1</x:v>
      </x:c>
      <x:c r="N674" s="65" t="n">
        <x:f>IF(I674&lt;=L674,1,0)</x:f>
        <x:v>1</x:v>
      </x:c>
      <x:c r="O674" s="51" t="str">
        <x:f>IF(M674=N674,"不变",IF(N674=1,"由禁变允","由允变禁"))</x:f>
        <x:v>不变</x:v>
      </x:c>
      <x:c r="P674" s="51" t="str">
        <x:v>OSRM driving/car</x:v>
      </x:c>
      <x:c r="Q674" s="51" t="str">
        <x:v>2026-08-15</x:v>
      </x:c>
      <x:c r="R674" s="51" t="str">
        <x:v>C-开放路网计算；不是货车/危运合规路线</x:v>
      </x:c>
      <x:c r="S674" s="51" t="str">
        <x:v>https://routing.openstreetmap.de/routed-car/</x:v>
      </x:c>
    </x:row>
    <x:row r="675">
      <x:c r="A675" s="51" t="str">
        <x:v>A0671</x:v>
      </x:c>
      <x:c r="B675" s="51" t="str">
        <x:v>C10</x:v>
      </x:c>
      <x:c r="C675" s="51" t="str">
        <x:v>collection</x:v>
      </x:c>
      <x:c r="D675" s="51" t="str">
        <x:v>汕尾虚拟回收/检测中心</x:v>
      </x:c>
      <x:c r="E675" s="51" t="str">
        <x:v>P13</x:v>
      </x:c>
      <x:c r="F675" s="51" t="str">
        <x:v>recycling</x:v>
      </x:c>
      <x:c r="G675" s="51" t="str">
        <x:v>广东佳纳能源科技有限公司</x:v>
      </x:c>
      <x:c r="H675" s="52" t="n">
        <x:v>314.3082033676746</x:v>
      </x:c>
      <x:c r="I675" s="52" t="n">
        <x:v>314.1781</x:v>
      </x:c>
      <x:c r="J675" s="52" t="n">
        <x:v>229.19166666666666</x:v>
      </x:c>
      <x:c r="K675" s="52" t="n">
        <x:f>IFERROR(I675/H675,"")</x:f>
        <x:v>0.9995860643588662</x:v>
      </x:c>
      <x:c r="L675" s="52" t="n">
        <x:v>400</x:v>
      </x:c>
      <x:c r="M675" s="65" t="n">
        <x:f>IF(H675&lt;=L675,1,0)</x:f>
        <x:v>1</x:v>
      </x:c>
      <x:c r="N675" s="65" t="n">
        <x:f>IF(I675&lt;=L675,1,0)</x:f>
        <x:v>1</x:v>
      </x:c>
      <x:c r="O675" s="51" t="str">
        <x:f>IF(M675=N675,"不变",IF(N675=1,"由禁变允","由允变禁"))</x:f>
        <x:v>不变</x:v>
      </x:c>
      <x:c r="P675" s="51" t="str">
        <x:v>OSRM driving/car</x:v>
      </x:c>
      <x:c r="Q675" s="51" t="str">
        <x:v>2026-08-15</x:v>
      </x:c>
      <x:c r="R675" s="51" t="str">
        <x:v>C-开放路网计算；不是货车/危运合规路线</x:v>
      </x:c>
      <x:c r="S675" s="51" t="str">
        <x:v>https://routing.openstreetmap.de/routed-car/</x:v>
      </x:c>
    </x:row>
    <x:row r="676">
      <x:c r="A676" s="51" t="str">
        <x:v>A0672</x:v>
      </x:c>
      <x:c r="B676" s="51" t="str">
        <x:v>C10</x:v>
      </x:c>
      <x:c r="C676" s="51" t="str">
        <x:v>collection</x:v>
      </x:c>
      <x:c r="D676" s="51" t="str">
        <x:v>汕尾虚拟回收/检测中心</x:v>
      </x:c>
      <x:c r="E676" s="51" t="str">
        <x:v>P14</x:v>
      </x:c>
      <x:c r="F676" s="51" t="str">
        <x:v>echelon</x:v>
      </x:c>
      <x:c r="G676" s="51" t="str">
        <x:v>格林美（深圳）循环科技有限公司</x:v>
      </x:c>
      <x:c r="H676" s="52" t="n">
        <x:v>189.62625214547197</x:v>
      </x:c>
      <x:c r="I676" s="52" t="n">
        <x:v>188.0076</x:v>
      </x:c>
      <x:c r="J676" s="52" t="n">
        <x:v>143.29833333333332</x:v>
      </x:c>
      <x:c r="K676" s="52" t="n">
        <x:f>IFERROR(I676/H676,"")</x:f>
        <x:v>0.9914639870420989</x:v>
      </x:c>
      <x:c r="L676" s="52" t="n">
        <x:v>300</x:v>
      </x:c>
      <x:c r="M676" s="65" t="n">
        <x:f>IF(H676&lt;=L676,1,0)</x:f>
        <x:v>1</x:v>
      </x:c>
      <x:c r="N676" s="65" t="n">
        <x:f>IF(I676&lt;=L676,1,0)</x:f>
        <x:v>1</x:v>
      </x:c>
      <x:c r="O676" s="51" t="str">
        <x:f>IF(M676=N676,"不变",IF(N676=1,"由禁变允","由允变禁"))</x:f>
        <x:v>不变</x:v>
      </x:c>
      <x:c r="P676" s="51" t="str">
        <x:v>OSRM driving/car</x:v>
      </x:c>
      <x:c r="Q676" s="51" t="str">
        <x:v>2026-08-15</x:v>
      </x:c>
      <x:c r="R676" s="51" t="str">
        <x:v>C-开放路网计算；不是货车/危运合规路线</x:v>
      </x:c>
      <x:c r="S676" s="51" t="str">
        <x:v>https://routing.openstreetmap.de/routed-car/</x:v>
      </x:c>
    </x:row>
    <x:row r="677">
      <x:c r="A677" s="51" t="str">
        <x:v>A0673</x:v>
      </x:c>
      <x:c r="B677" s="51" t="str">
        <x:v>C10</x:v>
      </x:c>
      <x:c r="C677" s="51" t="str">
        <x:v>collection</x:v>
      </x:c>
      <x:c r="D677" s="51" t="str">
        <x:v>汕尾虚拟回收/检测中心</x:v>
      </x:c>
      <x:c r="E677" s="51" t="str">
        <x:v>P15</x:v>
      </x:c>
      <x:c r="F677" s="51" t="str">
        <x:v>echelon</x:v>
      </x:c>
      <x:c r="G677" s="51" t="str">
        <x:v>绿循新能源科技（佛山）有限责任公司</x:v>
      </x:c>
      <x:c r="H677" s="52" t="n">
        <x:v>294.0126610717624</x:v>
      </x:c>
      <x:c r="I677" s="52" t="n">
        <x:v>285.35409999999996</x:v>
      </x:c>
      <x:c r="J677" s="52" t="n">
        <x:v>206.15333333333334</x:v>
      </x:c>
      <x:c r="K677" s="52" t="n">
        <x:f>IFERROR(I677/H677,"")</x:f>
        <x:v>0.9705503802448525</x:v>
      </x:c>
      <x:c r="L677" s="52" t="n">
        <x:v>300</x:v>
      </x:c>
      <x:c r="M677" s="65" t="n">
        <x:f>IF(H677&lt;=L677,1,0)</x:f>
        <x:v>1</x:v>
      </x:c>
      <x:c r="N677" s="65" t="n">
        <x:f>IF(I677&lt;=L677,1,0)</x:f>
        <x:v>1</x:v>
      </x:c>
      <x:c r="O677" s="51" t="str">
        <x:f>IF(M677=N677,"不变",IF(N677=1,"由禁变允","由允变禁"))</x:f>
        <x:v>不变</x:v>
      </x:c>
      <x:c r="P677" s="51" t="str">
        <x:v>OSRM driving/car</x:v>
      </x:c>
      <x:c r="Q677" s="51" t="str">
        <x:v>2026-08-15</x:v>
      </x:c>
      <x:c r="R677" s="51" t="str">
        <x:v>C-开放路网计算；不是货车/危运合规路线</x:v>
      </x:c>
      <x:c r="S677" s="51" t="str">
        <x:v>https://routing.openstreetmap.de/routed-car/</x:v>
      </x:c>
    </x:row>
    <x:row r="678">
      <x:c r="A678" s="51" t="str">
        <x:v>A0674</x:v>
      </x:c>
      <x:c r="B678" s="51" t="str">
        <x:v>C10</x:v>
      </x:c>
      <x:c r="C678" s="51" t="str">
        <x:v>collection</x:v>
      </x:c>
      <x:c r="D678" s="51" t="str">
        <x:v>汕尾虚拟回收/检测中心</x:v>
      </x:c>
      <x:c r="E678" s="51" t="str">
        <x:v>P16</x:v>
      </x:c>
      <x:c r="F678" s="51" t="str">
        <x:v>echelon</x:v>
      </x:c>
      <x:c r="G678" s="51" t="str">
        <x:v>深圳艾云动智慧科技有限公司</x:v>
      </x:c>
      <x:c r="H678" s="52" t="n">
        <x:v>189.62625214547197</x:v>
      </x:c>
      <x:c r="I678" s="52" t="n">
        <x:v>188.0076</x:v>
      </x:c>
      <x:c r="J678" s="52" t="n">
        <x:v>143.29833333333332</x:v>
      </x:c>
      <x:c r="K678" s="52" t="n">
        <x:f>IFERROR(I678/H678,"")</x:f>
        <x:v>0.9914639870420989</x:v>
      </x:c>
      <x:c r="L678" s="52" t="n">
        <x:v>300</x:v>
      </x:c>
      <x:c r="M678" s="65" t="n">
        <x:f>IF(H678&lt;=L678,1,0)</x:f>
        <x:v>1</x:v>
      </x:c>
      <x:c r="N678" s="65" t="n">
        <x:f>IF(I678&lt;=L678,1,0)</x:f>
        <x:v>1</x:v>
      </x:c>
      <x:c r="O678" s="51" t="str">
        <x:f>IF(M678=N678,"不变",IF(N678=1,"由禁变允","由允变禁"))</x:f>
        <x:v>不变</x:v>
      </x:c>
      <x:c r="P678" s="51" t="str">
        <x:v>OSRM driving/car</x:v>
      </x:c>
      <x:c r="Q678" s="51" t="str">
        <x:v>2026-08-15</x:v>
      </x:c>
      <x:c r="R678" s="51" t="str">
        <x:v>C-开放路网计算；不是货车/危运合规路线</x:v>
      </x:c>
      <x:c r="S678" s="51" t="str">
        <x:v>https://routing.openstreetmap.de/routed-car/</x:v>
      </x:c>
    </x:row>
    <x:row r="679">
      <x:c r="A679" s="51" t="str">
        <x:v>A0675</x:v>
      </x:c>
      <x:c r="B679" s="51" t="str">
        <x:v>C10</x:v>
      </x:c>
      <x:c r="C679" s="51" t="str">
        <x:v>collection</x:v>
      </x:c>
      <x:c r="D679" s="51" t="str">
        <x:v>汕尾虚拟回收/检测中心</x:v>
      </x:c>
      <x:c r="E679" s="51" t="str">
        <x:v>P17</x:v>
      </x:c>
      <x:c r="F679" s="51" t="str">
        <x:v>echelon</x:v>
      </x:c>
      <x:c r="G679" s="51" t="str">
        <x:v>深圳市荣高晟新能源科技有限公司</x:v>
      </x:c>
      <x:c r="H679" s="52" t="n">
        <x:v>189.62625214547197</x:v>
      </x:c>
      <x:c r="I679" s="52" t="n">
        <x:v>188.0076</x:v>
      </x:c>
      <x:c r="J679" s="52" t="n">
        <x:v>143.29833333333332</x:v>
      </x:c>
      <x:c r="K679" s="52" t="n">
        <x:f>IFERROR(I679/H679,"")</x:f>
        <x:v>0.9914639870420989</x:v>
      </x:c>
      <x:c r="L679" s="52" t="n">
        <x:v>300</x:v>
      </x:c>
      <x:c r="M679" s="65" t="n">
        <x:f>IF(H679&lt;=L679,1,0)</x:f>
        <x:v>1</x:v>
      </x:c>
      <x:c r="N679" s="65" t="n">
        <x:f>IF(I679&lt;=L679,1,0)</x:f>
        <x:v>1</x:v>
      </x:c>
      <x:c r="O679" s="51" t="str">
        <x:f>IF(M679=N679,"不变",IF(N679=1,"由禁变允","由允变禁"))</x:f>
        <x:v>不变</x:v>
      </x:c>
      <x:c r="P679" s="51" t="str">
        <x:v>OSRM driving/car</x:v>
      </x:c>
      <x:c r="Q679" s="51" t="str">
        <x:v>2026-08-15</x:v>
      </x:c>
      <x:c r="R679" s="51" t="str">
        <x:v>C-开放路网计算；不是货车/危运合规路线</x:v>
      </x:c>
      <x:c r="S679" s="51" t="str">
        <x:v>https://routing.openstreetmap.de/routed-car/</x:v>
      </x:c>
    </x:row>
    <x:row r="680">
      <x:c r="A680" s="51" t="str">
        <x:v>A0676</x:v>
      </x:c>
      <x:c r="B680" s="51" t="str">
        <x:v>C10</x:v>
      </x:c>
      <x:c r="C680" s="51" t="str">
        <x:v>collection</x:v>
      </x:c>
      <x:c r="D680" s="51" t="str">
        <x:v>汕尾虚拟回收/检测中心</x:v>
      </x:c>
      <x:c r="E680" s="51" t="str">
        <x:v>P18</x:v>
      </x:c>
      <x:c r="F680" s="51" t="str">
        <x:v>echelon</x:v>
      </x:c>
      <x:c r="G680" s="51" t="str">
        <x:v>中商锂新能源科技（惠州）有限公司</x:v>
      </x:c>
      <x:c r="H680" s="52" t="n">
        <x:v>135.3751705679002</x:v>
      </x:c>
      <x:c r="I680" s="52" t="n">
        <x:v>131.9282</x:v>
      </x:c>
      <x:c r="J680" s="52" t="n">
        <x:v>107.83166666666666</x:v>
      </x:c>
      <x:c r="K680" s="52" t="n">
        <x:f>IFERROR(I680/H680,"")</x:f>
        <x:v>0.9745376456152179</x:v>
      </x:c>
      <x:c r="L680" s="52" t="n">
        <x:v>300</x:v>
      </x:c>
      <x:c r="M680" s="65" t="n">
        <x:f>IF(H680&lt;=L680,1,0)</x:f>
        <x:v>1</x:v>
      </x:c>
      <x:c r="N680" s="65" t="n">
        <x:f>IF(I680&lt;=L680,1,0)</x:f>
        <x:v>1</x:v>
      </x:c>
      <x:c r="O680" s="51" t="str">
        <x:f>IF(M680=N680,"不变",IF(N680=1,"由禁变允","由允变禁"))</x:f>
        <x:v>不变</x:v>
      </x:c>
      <x:c r="P680" s="51" t="str">
        <x:v>OSRM driving/car</x:v>
      </x:c>
      <x:c r="Q680" s="51" t="str">
        <x:v>2026-08-15</x:v>
      </x:c>
      <x:c r="R680" s="51" t="str">
        <x:v>C-开放路网计算；不是货车/危运合规路线</x:v>
      </x:c>
      <x:c r="S680" s="51" t="str">
        <x:v>https://routing.openstreetmap.de/routed-car/</x:v>
      </x:c>
    </x:row>
    <x:row r="681">
      <x:c r="A681" s="51" t="str">
        <x:v>A0677</x:v>
      </x:c>
      <x:c r="B681" s="51" t="str">
        <x:v>C10</x:v>
      </x:c>
      <x:c r="C681" s="51" t="str">
        <x:v>collection</x:v>
      </x:c>
      <x:c r="D681" s="51" t="str">
        <x:v>汕尾虚拟回收/检测中心</x:v>
      </x:c>
      <x:c r="E681" s="51" t="str">
        <x:v>P19</x:v>
      </x:c>
      <x:c r="F681" s="51" t="str">
        <x:v>recycling</x:v>
      </x:c>
      <x:c r="G681" s="51" t="str">
        <x:v>广东盛祥新材料科技有限公司</x:v>
      </x:c>
      <x:c r="H681" s="52" t="n">
        <x:v>318.73774688823676</x:v>
      </x:c>
      <x:c r="I681" s="52" t="n">
        <x:v>377.7248</x:v>
      </x:c>
      <x:c r="J681" s="52" t="n">
        <x:v>278.22833333333335</x:v>
      </x:c>
      <x:c r="K681" s="52" t="n">
        <x:f>IFERROR(I681/H681,"")</x:f>
        <x:v>1.1850645356178873</x:v>
      </x:c>
      <x:c r="L681" s="52" t="n">
        <x:v>400</x:v>
      </x:c>
      <x:c r="M681" s="65" t="n">
        <x:f>IF(H681&lt;=L681,1,0)</x:f>
        <x:v>1</x:v>
      </x:c>
      <x:c r="N681" s="65" t="n">
        <x:f>IF(I681&lt;=L681,1,0)</x:f>
        <x:v>1</x:v>
      </x:c>
      <x:c r="O681" s="51" t="str">
        <x:f>IF(M681=N681,"不变",IF(N681=1,"由禁变允","由允变禁"))</x:f>
        <x:v>不变</x:v>
      </x:c>
      <x:c r="P681" s="51" t="str">
        <x:v>OSRM driving/car</x:v>
      </x:c>
      <x:c r="Q681" s="51" t="str">
        <x:v>2026-08-15</x:v>
      </x:c>
      <x:c r="R681" s="51" t="str">
        <x:v>C-开放路网计算；不是货车/危运合规路线</x:v>
      </x:c>
      <x:c r="S681" s="51" t="str">
        <x:v>https://routing.openstreetmap.de/routed-car/</x:v>
      </x:c>
    </x:row>
    <x:row r="682">
      <x:c r="A682" s="51" t="str">
        <x:v>A0678</x:v>
      </x:c>
      <x:c r="B682" s="51" t="str">
        <x:v>C10</x:v>
      </x:c>
      <x:c r="C682" s="51" t="str">
        <x:v>collection</x:v>
      </x:c>
      <x:c r="D682" s="51" t="str">
        <x:v>汕尾虚拟回收/检测中心</x:v>
      </x:c>
      <x:c r="E682" s="51" t="str">
        <x:v>P20E</x:v>
      </x:c>
      <x:c r="F682" s="51" t="str">
        <x:v>echelon</x:v>
      </x:c>
      <x:c r="G682" s="51" t="str">
        <x:v>广东金晟新能源股份有限公司（梯次功能）</x:v>
      </x:c>
      <x:c r="H682" s="52" t="n">
        <x:v>374.5160449794057</x:v>
      </x:c>
      <x:c r="I682" s="52" t="n">
        <x:v>369.4217</x:v>
      </x:c>
      <x:c r="J682" s="52" t="n">
        <x:v>265.345</x:v>
      </x:c>
      <x:c r="K682" s="52" t="n">
        <x:f>IFERROR(I682/H682,"")</x:f>
        <x:v>0.986397525425951</x:v>
      </x:c>
      <x:c r="L682" s="52" t="n">
        <x:v>300</x:v>
      </x:c>
      <x:c r="M682" s="65" t="n">
        <x:f>IF(H682&lt;=L682,1,0)</x:f>
        <x:v>0</x:v>
      </x:c>
      <x:c r="N682" s="65" t="n">
        <x:f>IF(I682&lt;=L682,1,0)</x:f>
        <x:v>0</x:v>
      </x:c>
      <x:c r="O682" s="51" t="str">
        <x:f>IF(M682=N682,"不变",IF(N682=1,"由禁变允","由允变禁"))</x:f>
        <x:v>不变</x:v>
      </x:c>
      <x:c r="P682" s="51" t="str">
        <x:v>OSRM driving/car</x:v>
      </x:c>
      <x:c r="Q682" s="51" t="str">
        <x:v>2026-08-15</x:v>
      </x:c>
      <x:c r="R682" s="51" t="str">
        <x:v>C-开放路网计算；不是货车/危运合规路线</x:v>
      </x:c>
      <x:c r="S682" s="51" t="str">
        <x:v>https://routing.openstreetmap.de/routed-car/</x:v>
      </x:c>
    </x:row>
    <x:row r="683">
      <x:c r="A683" s="51" t="str">
        <x:v>A0679</x:v>
      </x:c>
      <x:c r="B683" s="51" t="str">
        <x:v>C10</x:v>
      </x:c>
      <x:c r="C683" s="51" t="str">
        <x:v>collection</x:v>
      </x:c>
      <x:c r="D683" s="51" t="str">
        <x:v>汕尾虚拟回收/检测中心</x:v>
      </x:c>
      <x:c r="E683" s="51" t="str">
        <x:v>P20R</x:v>
      </x:c>
      <x:c r="F683" s="51" t="str">
        <x:v>recycling</x:v>
      </x:c>
      <x:c r="G683" s="51" t="str">
        <x:v>广东金晟新能源股份有限公司（再生功能）</x:v>
      </x:c>
      <x:c r="H683" s="52" t="n">
        <x:v>374.5160449794057</x:v>
      </x:c>
      <x:c r="I683" s="52" t="n">
        <x:v>369.4217</x:v>
      </x:c>
      <x:c r="J683" s="52" t="n">
        <x:v>265.345</x:v>
      </x:c>
      <x:c r="K683" s="52" t="n">
        <x:f>IFERROR(I683/H683,"")</x:f>
        <x:v>0.986397525425951</x:v>
      </x:c>
      <x:c r="L683" s="52" t="n">
        <x:v>400</x:v>
      </x:c>
      <x:c r="M683" s="65" t="n">
        <x:f>IF(H683&lt;=L683,1,0)</x:f>
        <x:v>1</x:v>
      </x:c>
      <x:c r="N683" s="65" t="n">
        <x:f>IF(I683&lt;=L683,1,0)</x:f>
        <x:v>1</x:v>
      </x:c>
      <x:c r="O683" s="51" t="str">
        <x:f>IF(M683=N683,"不变",IF(N683=1,"由禁变允","由允变禁"))</x:f>
        <x:v>不变</x:v>
      </x:c>
      <x:c r="P683" s="51" t="str">
        <x:v>OSRM driving/car</x:v>
      </x:c>
      <x:c r="Q683" s="51" t="str">
        <x:v>2026-08-15</x:v>
      </x:c>
      <x:c r="R683" s="51" t="str">
        <x:v>C-开放路网计算；不是货车/危运合规路线</x:v>
      </x:c>
      <x:c r="S683" s="51" t="str">
        <x:v>https://routing.openstreetmap.de/routed-car/</x:v>
      </x:c>
    </x:row>
    <x:row r="684">
      <x:c r="A684" s="51" t="str">
        <x:v>A0680</x:v>
      </x:c>
      <x:c r="B684" s="51" t="str">
        <x:v>C10</x:v>
      </x:c>
      <x:c r="C684" s="51" t="str">
        <x:v>collection</x:v>
      </x:c>
      <x:c r="D684" s="51" t="str">
        <x:v>汕尾虚拟回收/检测中心</x:v>
      </x:c>
      <x:c r="E684" s="51" t="str">
        <x:v>P21E</x:v>
      </x:c>
      <x:c r="F684" s="51" t="str">
        <x:v>echelon</x:v>
      </x:c>
      <x:c r="G684" s="51" t="str">
        <x:v>广东瑞科美电源技术有限公司（梯次功能）</x:v>
      </x:c>
      <x:c r="H684" s="52" t="n">
        <x:v>294.0126610717624</x:v>
      </x:c>
      <x:c r="I684" s="52" t="n">
        <x:v>285.35409999999996</x:v>
      </x:c>
      <x:c r="J684" s="52" t="n">
        <x:v>206.15333333333334</x:v>
      </x:c>
      <x:c r="K684" s="52" t="n">
        <x:f>IFERROR(I684/H684,"")</x:f>
        <x:v>0.9705503802448525</x:v>
      </x:c>
      <x:c r="L684" s="52" t="n">
        <x:v>300</x:v>
      </x:c>
      <x:c r="M684" s="65" t="n">
        <x:f>IF(H684&lt;=L684,1,0)</x:f>
        <x:v>1</x:v>
      </x:c>
      <x:c r="N684" s="65" t="n">
        <x:f>IF(I684&lt;=L684,1,0)</x:f>
        <x:v>1</x:v>
      </x:c>
      <x:c r="O684" s="51" t="str">
        <x:f>IF(M684=N684,"不变",IF(N684=1,"由禁变允","由允变禁"))</x:f>
        <x:v>不变</x:v>
      </x:c>
      <x:c r="P684" s="51" t="str">
        <x:v>OSRM driving/car</x:v>
      </x:c>
      <x:c r="Q684" s="51" t="str">
        <x:v>2026-08-15</x:v>
      </x:c>
      <x:c r="R684" s="51" t="str">
        <x:v>C-开放路网计算；不是货车/危运合规路线</x:v>
      </x:c>
      <x:c r="S684" s="51" t="str">
        <x:v>https://routing.openstreetmap.de/routed-car/</x:v>
      </x:c>
    </x:row>
    <x:row r="685">
      <x:c r="A685" s="51" t="str">
        <x:v>A0681</x:v>
      </x:c>
      <x:c r="B685" s="51" t="str">
        <x:v>C10</x:v>
      </x:c>
      <x:c r="C685" s="51" t="str">
        <x:v>collection</x:v>
      </x:c>
      <x:c r="D685" s="51" t="str">
        <x:v>汕尾虚拟回收/检测中心</x:v>
      </x:c>
      <x:c r="E685" s="51" t="str">
        <x:v>P21R</x:v>
      </x:c>
      <x:c r="F685" s="51" t="str">
        <x:v>recycling</x:v>
      </x:c>
      <x:c r="G685" s="51" t="str">
        <x:v>广东瑞科美电源技术有限公司（再生功能）</x:v>
      </x:c>
      <x:c r="H685" s="52" t="n">
        <x:v>294.0126610717624</x:v>
      </x:c>
      <x:c r="I685" s="52" t="n">
        <x:v>285.35409999999996</x:v>
      </x:c>
      <x:c r="J685" s="52" t="n">
        <x:v>206.15333333333334</x:v>
      </x:c>
      <x:c r="K685" s="52" t="n">
        <x:f>IFERROR(I685/H685,"")</x:f>
        <x:v>0.9705503802448525</x:v>
      </x:c>
      <x:c r="L685" s="52" t="n">
        <x:v>400</x:v>
      </x:c>
      <x:c r="M685" s="65" t="n">
        <x:f>IF(H685&lt;=L685,1,0)</x:f>
        <x:v>1</x:v>
      </x:c>
      <x:c r="N685" s="65" t="n">
        <x:f>IF(I685&lt;=L685,1,0)</x:f>
        <x:v>1</x:v>
      </x:c>
      <x:c r="O685" s="51" t="str">
        <x:f>IF(M685=N685,"不变",IF(N685=1,"由禁变允","由允变禁"))</x:f>
        <x:v>不变</x:v>
      </x:c>
      <x:c r="P685" s="51" t="str">
        <x:v>OSRM driving/car</x:v>
      </x:c>
      <x:c r="Q685" s="51" t="str">
        <x:v>2026-08-15</x:v>
      </x:c>
      <x:c r="R685" s="51" t="str">
        <x:v>C-开放路网计算；不是货车/危运合规路线</x:v>
      </x:c>
      <x:c r="S685" s="51" t="str">
        <x:v>https://routing.openstreetmap.de/routed-car/</x:v>
      </x:c>
    </x:row>
    <x:row r="686">
      <x:c r="A686" s="51" t="str">
        <x:v>A0682</x:v>
      </x:c>
      <x:c r="B686" s="51" t="str">
        <x:v>C11</x:v>
      </x:c>
      <x:c r="C686" s="51" t="str">
        <x:v>collection</x:v>
      </x:c>
      <x:c r="D686" s="51" t="str">
        <x:v>东莞虚拟回收/检测中心</x:v>
      </x:c>
      <x:c r="E686" s="51" t="str">
        <x:v>P01</x:v>
      </x:c>
      <x:c r="F686" s="51" t="str">
        <x:v>recycling</x:v>
      </x:c>
      <x:c r="G686" s="51" t="str">
        <x:v>汕尾比亚迪废旧动力电池回收项目</x:v>
      </x:c>
      <x:c r="H686" s="52" t="n">
        <x:v>198.5840172941455</x:v>
      </x:c>
      <x:c r="I686" s="52" t="n">
        <x:v>199.2956</x:v>
      </x:c>
      <x:c r="J686" s="52" t="n">
        <x:v>139.10833333333332</x:v>
      </x:c>
      <x:c r="K686" s="52" t="n">
        <x:f>IFERROR(I686/H686,"")</x:f>
        <x:v>1.003583282862087</x:v>
      </x:c>
      <x:c r="L686" s="52" t="n">
        <x:v>400</x:v>
      </x:c>
      <x:c r="M686" s="65" t="n">
        <x:f>IF(H686&lt;=L686,1,0)</x:f>
        <x:v>1</x:v>
      </x:c>
      <x:c r="N686" s="65" t="n">
        <x:f>IF(I686&lt;=L686,1,0)</x:f>
        <x:v>1</x:v>
      </x:c>
      <x:c r="O686" s="51" t="str">
        <x:f>IF(M686=N686,"不变",IF(N686=1,"由禁变允","由允变禁"))</x:f>
        <x:v>不变</x:v>
      </x:c>
      <x:c r="P686" s="51" t="str">
        <x:v>OSRM driving/car</x:v>
      </x:c>
      <x:c r="Q686" s="51" t="str">
        <x:v>2026-08-15</x:v>
      </x:c>
      <x:c r="R686" s="51" t="str">
        <x:v>C-开放路网计算；不是货车/危运合规路线</x:v>
      </x:c>
      <x:c r="S686" s="51" t="str">
        <x:v>https://routing.openstreetmap.de/routed-car/</x:v>
      </x:c>
    </x:row>
    <x:row r="687">
      <x:c r="A687" s="51" t="str">
        <x:v>A0683</x:v>
      </x:c>
      <x:c r="B687" s="51" t="str">
        <x:v>C11</x:v>
      </x:c>
      <x:c r="C687" s="51" t="str">
        <x:v>collection</x:v>
      </x:c>
      <x:c r="D687" s="51" t="str">
        <x:v>东莞虚拟回收/检测中心</x:v>
      </x:c>
      <x:c r="E687" s="51" t="str">
        <x:v>P02E</x:v>
      </x:c>
      <x:c r="F687" s="51" t="str">
        <x:v>echelon</x:v>
      </x:c>
      <x:c r="G687" s="51" t="str">
        <x:v>广东光华科技股份有限公司（梯次功能）</x:v>
      </x:c>
      <x:c r="H687" s="52" t="n">
        <x:v>362.4792813676039</x:v>
      </x:c>
      <x:c r="I687" s="52" t="n">
        <x:v>362.6879</x:v>
      </x:c>
      <x:c r="J687" s="52" t="n">
        <x:v>251.52166666666665</x:v>
      </x:c>
      <x:c r="K687" s="52" t="n">
        <x:f>IFERROR(I687/H687,"")</x:f>
        <x:v>1.000575532570052</x:v>
      </x:c>
      <x:c r="L687" s="52" t="n">
        <x:v>300</x:v>
      </x:c>
      <x:c r="M687" s="65" t="n">
        <x:f>IF(H687&lt;=L687,1,0)</x:f>
        <x:v>0</x:v>
      </x:c>
      <x:c r="N687" s="65" t="n">
        <x:f>IF(I687&lt;=L687,1,0)</x:f>
        <x:v>0</x:v>
      </x:c>
      <x:c r="O687" s="51" t="str">
        <x:f>IF(M687=N687,"不变",IF(N687=1,"由禁变允","由允变禁"))</x:f>
        <x:v>不变</x:v>
      </x:c>
      <x:c r="P687" s="51" t="str">
        <x:v>OSRM driving/car</x:v>
      </x:c>
      <x:c r="Q687" s="51" t="str">
        <x:v>2026-08-15</x:v>
      </x:c>
      <x:c r="R687" s="51" t="str">
        <x:v>C-开放路网计算；不是货车/危运合规路线</x:v>
      </x:c>
      <x:c r="S687" s="51" t="str">
        <x:v>https://routing.openstreetmap.de/routed-car/</x:v>
      </x:c>
    </x:row>
    <x:row r="688">
      <x:c r="A688" s="51" t="str">
        <x:v>A0684</x:v>
      </x:c>
      <x:c r="B688" s="51" t="str">
        <x:v>C11</x:v>
      </x:c>
      <x:c r="C688" s="51" t="str">
        <x:v>collection</x:v>
      </x:c>
      <x:c r="D688" s="51" t="str">
        <x:v>东莞虚拟回收/检测中心</x:v>
      </x:c>
      <x:c r="E688" s="51" t="str">
        <x:v>P02R</x:v>
      </x:c>
      <x:c r="F688" s="51" t="str">
        <x:v>recycling</x:v>
      </x:c>
      <x:c r="G688" s="51" t="str">
        <x:v>广东光华科技股份有限公司（再生功能）</x:v>
      </x:c>
      <x:c r="H688" s="52" t="n">
        <x:v>362.4792813676039</x:v>
      </x:c>
      <x:c r="I688" s="52" t="n">
        <x:v>362.6879</x:v>
      </x:c>
      <x:c r="J688" s="52" t="n">
        <x:v>251.52166666666665</x:v>
      </x:c>
      <x:c r="K688" s="52" t="n">
        <x:f>IFERROR(I688/H688,"")</x:f>
        <x:v>1.000575532570052</x:v>
      </x:c>
      <x:c r="L688" s="52" t="n">
        <x:v>400</x:v>
      </x:c>
      <x:c r="M688" s="65" t="n">
        <x:f>IF(H688&lt;=L688,1,0)</x:f>
        <x:v>1</x:v>
      </x:c>
      <x:c r="N688" s="65" t="n">
        <x:f>IF(I688&lt;=L688,1,0)</x:f>
        <x:v>1</x:v>
      </x:c>
      <x:c r="O688" s="51" t="str">
        <x:f>IF(M688=N688,"不变",IF(N688=1,"由禁变允","由允变禁"))</x:f>
        <x:v>不变</x:v>
      </x:c>
      <x:c r="P688" s="51" t="str">
        <x:v>OSRM driving/car</x:v>
      </x:c>
      <x:c r="Q688" s="51" t="str">
        <x:v>2026-08-15</x:v>
      </x:c>
      <x:c r="R688" s="51" t="str">
        <x:v>C-开放路网计算；不是货车/危运合规路线</x:v>
      </x:c>
      <x:c r="S688" s="51" t="str">
        <x:v>https://routing.openstreetmap.de/routed-car/</x:v>
      </x:c>
    </x:row>
    <x:row r="689">
      <x:c r="A689" s="51" t="str">
        <x:v>A0685</x:v>
      </x:c>
      <x:c r="B689" s="51" t="str">
        <x:v>C11</x:v>
      </x:c>
      <x:c r="C689" s="51" t="str">
        <x:v>collection</x:v>
      </x:c>
      <x:c r="D689" s="51" t="str">
        <x:v>东莞虚拟回收/检测中心</x:v>
      </x:c>
      <x:c r="E689" s="51" t="str">
        <x:v>P03</x:v>
      </x:c>
      <x:c r="F689" s="51" t="str">
        <x:v>echelon</x:v>
      </x:c>
      <x:c r="G689" s="51" t="str">
        <x:v>深圳深汕特别合作区乾泰技术有限公司</x:v>
      </x:c>
      <x:c r="H689" s="52" t="n">
        <x:v>216.7349587353549</x:v>
      </x:c>
      <x:c r="I689" s="52" t="n">
        <x:v>212.8281</x:v>
      </x:c>
      <x:c r="J689" s="52" t="n">
        <x:v>165.58333333333334</x:v>
      </x:c>
      <x:c r="K689" s="52" t="n">
        <x:f>IFERROR(I689/H689,"")</x:f>
        <x:v>0.9819740259801587</x:v>
      </x:c>
      <x:c r="L689" s="52" t="n">
        <x:v>300</x:v>
      </x:c>
      <x:c r="M689" s="65" t="n">
        <x:f>IF(H689&lt;=L689,1,0)</x:f>
        <x:v>1</x:v>
      </x:c>
      <x:c r="N689" s="65" t="n">
        <x:f>IF(I689&lt;=L689,1,0)</x:f>
        <x:v>1</x:v>
      </x:c>
      <x:c r="O689" s="51" t="str">
        <x:f>IF(M689=N689,"不变",IF(N689=1,"由禁变允","由允变禁"))</x:f>
        <x:v>不变</x:v>
      </x:c>
      <x:c r="P689" s="51" t="str">
        <x:v>OSRM driving/car</x:v>
      </x:c>
      <x:c r="Q689" s="51" t="str">
        <x:v>2026-08-15</x:v>
      </x:c>
      <x:c r="R689" s="51" t="str">
        <x:v>C-开放路网计算；不是货车/危运合规路线</x:v>
      </x:c>
      <x:c r="S689" s="51" t="str">
        <x:v>https://routing.openstreetmap.de/routed-car/</x:v>
      </x:c>
    </x:row>
    <x:row r="690">
      <x:c r="A690" s="51" t="str">
        <x:v>A0686</x:v>
      </x:c>
      <x:c r="B690" s="51" t="str">
        <x:v>C11</x:v>
      </x:c>
      <x:c r="C690" s="51" t="str">
        <x:v>collection</x:v>
      </x:c>
      <x:c r="D690" s="51" t="str">
        <x:v>东莞虚拟回收/检测中心</x:v>
      </x:c>
      <x:c r="E690" s="51" t="str">
        <x:v>P04</x:v>
      </x:c>
      <x:c r="F690" s="51" t="str">
        <x:v>echelon</x:v>
      </x:c>
      <x:c r="G690" s="51" t="str">
        <x:v>珠海中力新能源科技有限公司</x:v>
      </x:c>
      <x:c r="H690" s="52" t="n">
        <x:v>101.6188477233397</x:v>
      </x:c>
      <x:c r="I690" s="52" t="n">
        <x:v>114.3817</x:v>
      </x:c>
      <x:c r="J690" s="52" t="n">
        <x:v>91.71166666666666</x:v>
      </x:c>
      <x:c r="K690" s="52" t="n">
        <x:f>IFERROR(I690/H690,"")</x:f>
        <x:v>1.125595325695953</x:v>
      </x:c>
      <x:c r="L690" s="52" t="n">
        <x:v>300</x:v>
      </x:c>
      <x:c r="M690" s="65" t="n">
        <x:f>IF(H690&lt;=L690,1,0)</x:f>
        <x:v>1</x:v>
      </x:c>
      <x:c r="N690" s="65" t="n">
        <x:f>IF(I690&lt;=L690,1,0)</x:f>
        <x:v>1</x:v>
      </x:c>
      <x:c r="O690" s="51" t="str">
        <x:f>IF(M690=N690,"不变",IF(N690=1,"由禁变允","由允变禁"))</x:f>
        <x:v>不变</x:v>
      </x:c>
      <x:c r="P690" s="51" t="str">
        <x:v>OSRM driving/car</x:v>
      </x:c>
      <x:c r="Q690" s="51" t="str">
        <x:v>2026-08-15</x:v>
      </x:c>
      <x:c r="R690" s="51" t="str">
        <x:v>C-开放路网计算；不是货车/危运合规路线</x:v>
      </x:c>
      <x:c r="S690" s="51" t="str">
        <x:v>https://routing.openstreetmap.de/routed-car/</x:v>
      </x:c>
    </x:row>
    <x:row r="691">
      <x:c r="A691" s="51" t="str">
        <x:v>A0687</x:v>
      </x:c>
      <x:c r="B691" s="51" t="str">
        <x:v>C11</x:v>
      </x:c>
      <x:c r="C691" s="51" t="str">
        <x:v>collection</x:v>
      </x:c>
      <x:c r="D691" s="51" t="str">
        <x:v>东莞虚拟回收/检测中心</x:v>
      </x:c>
      <x:c r="E691" s="51" t="str">
        <x:v>P05</x:v>
      </x:c>
      <x:c r="F691" s="51" t="str">
        <x:v>echelon</x:v>
      </x:c>
      <x:c r="G691" s="51" t="str">
        <x:v>惠州市恒创睿能环保科技有限公司</x:v>
      </x:c>
      <x:c r="H691" s="52" t="n">
        <x:v>82.90044805737128</x:v>
      </x:c>
      <x:c r="I691" s="52" t="n">
        <x:v>95.089</x:v>
      </x:c>
      <x:c r="J691" s="52" t="n">
        <x:v>71.56333333333333</x:v>
      </x:c>
      <x:c r="K691" s="52" t="n">
        <x:f>IFERROR(I691/H691,"")</x:f>
        <x:v>1.1470263699201435</x:v>
      </x:c>
      <x:c r="L691" s="52" t="n">
        <x:v>300</x:v>
      </x:c>
      <x:c r="M691" s="65" t="n">
        <x:f>IF(H691&lt;=L691,1,0)</x:f>
        <x:v>1</x:v>
      </x:c>
      <x:c r="N691" s="65" t="n">
        <x:f>IF(I691&lt;=L691,1,0)</x:f>
        <x:v>1</x:v>
      </x:c>
      <x:c r="O691" s="51" t="str">
        <x:f>IF(M691=N691,"不变",IF(N691=1,"由禁变允","由允变禁"))</x:f>
        <x:v>不变</x:v>
      </x:c>
      <x:c r="P691" s="51" t="str">
        <x:v>OSRM driving/car</x:v>
      </x:c>
      <x:c r="Q691" s="51" t="str">
        <x:v>2026-08-15</x:v>
      </x:c>
      <x:c r="R691" s="51" t="str">
        <x:v>C-开放路网计算；不是货车/危运合规路线</x:v>
      </x:c>
      <x:c r="S691" s="51" t="str">
        <x:v>https://routing.openstreetmap.de/routed-car/</x:v>
      </x:c>
    </x:row>
    <x:row r="692">
      <x:c r="A692" s="51" t="str">
        <x:v>A0688</x:v>
      </x:c>
      <x:c r="B692" s="51" t="str">
        <x:v>C11</x:v>
      </x:c>
      <x:c r="C692" s="51" t="str">
        <x:v>collection</x:v>
      </x:c>
      <x:c r="D692" s="51" t="str">
        <x:v>东莞虚拟回收/检测中心</x:v>
      </x:c>
      <x:c r="E692" s="51" t="str">
        <x:v>P06</x:v>
      </x:c>
      <x:c r="F692" s="51" t="str">
        <x:v>echelon</x:v>
      </x:c>
      <x:c r="G692" s="51" t="str">
        <x:v>江门市朗达锂电池有限公司</x:v>
      </x:c>
      <x:c r="H692" s="52" t="n">
        <x:v>100.84581605844396</x:v>
      </x:c>
      <x:c r="I692" s="52" t="n">
        <x:v>112.4987</x:v>
      </x:c>
      <x:c r="J692" s="52" t="n">
        <x:v>84.56333333333333</x:v>
      </x:c>
      <x:c r="K692" s="52" t="n">
        <x:f>IFERROR(I692/H692,"")</x:f>
        <x:v>1.1155514863879208</x:v>
      </x:c>
      <x:c r="L692" s="52" t="n">
        <x:v>300</x:v>
      </x:c>
      <x:c r="M692" s="65" t="n">
        <x:f>IF(H692&lt;=L692,1,0)</x:f>
        <x:v>1</x:v>
      </x:c>
      <x:c r="N692" s="65" t="n">
        <x:f>IF(I692&lt;=L692,1,0)</x:f>
        <x:v>1</x:v>
      </x:c>
      <x:c r="O692" s="51" t="str">
        <x:f>IF(M692=N692,"不变",IF(N692=1,"由禁变允","由允变禁"))</x:f>
        <x:v>不变</x:v>
      </x:c>
      <x:c r="P692" s="51" t="str">
        <x:v>OSRM driving/car</x:v>
      </x:c>
      <x:c r="Q692" s="51" t="str">
        <x:v>2026-08-15</x:v>
      </x:c>
      <x:c r="R692" s="51" t="str">
        <x:v>C-开放路网计算；不是货车/危运合规路线</x:v>
      </x:c>
      <x:c r="S692" s="51" t="str">
        <x:v>https://routing.openstreetmap.de/routed-car/</x:v>
      </x:c>
    </x:row>
    <x:row r="693">
      <x:c r="A693" s="51" t="str">
        <x:v>A0689</x:v>
      </x:c>
      <x:c r="B693" s="51" t="str">
        <x:v>C11</x:v>
      </x:c>
      <x:c r="C693" s="51" t="str">
        <x:v>collection</x:v>
      </x:c>
      <x:c r="D693" s="51" t="str">
        <x:v>东莞虚拟回收/检测中心</x:v>
      </x:c>
      <x:c r="E693" s="51" t="str">
        <x:v>P07</x:v>
      </x:c>
      <x:c r="F693" s="51" t="str">
        <x:v>echelon</x:v>
      </x:c>
      <x:c r="G693" s="51" t="str">
        <x:v>广东迪度新能源有限公司</x:v>
      </x:c>
      <x:c r="H693" s="52" t="n">
        <x:v>0</x:v>
      </x:c>
      <x:c r="I693" s="52" t="n">
        <x:v>0</x:v>
      </x:c>
      <x:c r="J693" s="52" t="n">
        <x:v>0</x:v>
      </x:c>
      <x:c r="K693" s="52" t="str">
        <x:f>IFERROR(I693/H693,"")</x:f>
      </x:c>
      <x:c r="L693" s="52" t="n">
        <x:v>300</x:v>
      </x:c>
      <x:c r="M693" s="65" t="n">
        <x:f>IF(H693&lt;=L693,1,0)</x:f>
        <x:v>1</x:v>
      </x:c>
      <x:c r="N693" s="65" t="n">
        <x:f>IF(I693&lt;=L693,1,0)</x:f>
        <x:v>1</x:v>
      </x:c>
      <x:c r="O693" s="51" t="str">
        <x:f>IF(M693=N693,"不变",IF(N693=1,"由禁变允","由允变禁"))</x:f>
        <x:v>不变</x:v>
      </x:c>
      <x:c r="P693" s="51" t="str">
        <x:v>OSRM driving/car</x:v>
      </x:c>
      <x:c r="Q693" s="51" t="str">
        <x:v>2026-08-15</x:v>
      </x:c>
      <x:c r="R693" s="51" t="str">
        <x:v>C-开放路网计算；不是货车/危运合规路线</x:v>
      </x:c>
      <x:c r="S693" s="51" t="str">
        <x:v>https://routing.openstreetmap.de/routed-car/</x:v>
      </x:c>
    </x:row>
    <x:row r="694">
      <x:c r="A694" s="51" t="str">
        <x:v>A0690</x:v>
      </x:c>
      <x:c r="B694" s="51" t="str">
        <x:v>C11</x:v>
      </x:c>
      <x:c r="C694" s="51" t="str">
        <x:v>collection</x:v>
      </x:c>
      <x:c r="D694" s="51" t="str">
        <x:v>东莞虚拟回收/检测中心</x:v>
      </x:c>
      <x:c r="E694" s="51" t="str">
        <x:v>P08</x:v>
      </x:c>
      <x:c r="F694" s="51" t="str">
        <x:v>echelon</x:v>
      </x:c>
      <x:c r="G694" s="51" t="str">
        <x:v>东莞市博森新能源有限公司</x:v>
      </x:c>
      <x:c r="H694" s="52" t="n">
        <x:v>0</x:v>
      </x:c>
      <x:c r="I694" s="52" t="n">
        <x:v>0</x:v>
      </x:c>
      <x:c r="J694" s="52" t="n">
        <x:v>0</x:v>
      </x:c>
      <x:c r="K694" s="52" t="str">
        <x:f>IFERROR(I694/H694,"")</x:f>
      </x:c>
      <x:c r="L694" s="52" t="n">
        <x:v>300</x:v>
      </x:c>
      <x:c r="M694" s="65" t="n">
        <x:f>IF(H694&lt;=L694,1,0)</x:f>
        <x:v>1</x:v>
      </x:c>
      <x:c r="N694" s="65" t="n">
        <x:f>IF(I694&lt;=L694,1,0)</x:f>
        <x:v>1</x:v>
      </x:c>
      <x:c r="O694" s="51" t="str">
        <x:f>IF(M694=N694,"不变",IF(N694=1,"由禁变允","由允变禁"))</x:f>
        <x:v>不变</x:v>
      </x:c>
      <x:c r="P694" s="51" t="str">
        <x:v>OSRM driving/car</x:v>
      </x:c>
      <x:c r="Q694" s="51" t="str">
        <x:v>2026-08-15</x:v>
      </x:c>
      <x:c r="R694" s="51" t="str">
        <x:v>C-开放路网计算；不是货车/危运合规路线</x:v>
      </x:c>
      <x:c r="S694" s="51" t="str">
        <x:v>https://routing.openstreetmap.de/routed-car/</x:v>
      </x:c>
    </x:row>
    <x:row r="695">
      <x:c r="A695" s="51" t="str">
        <x:v>A0691</x:v>
      </x:c>
      <x:c r="B695" s="51" t="str">
        <x:v>C11</x:v>
      </x:c>
      <x:c r="C695" s="51" t="str">
        <x:v>collection</x:v>
      </x:c>
      <x:c r="D695" s="51" t="str">
        <x:v>东莞虚拟回收/检测中心</x:v>
      </x:c>
      <x:c r="E695" s="51" t="str">
        <x:v>P09</x:v>
      </x:c>
      <x:c r="F695" s="51" t="str">
        <x:v>echelon</x:v>
      </x:c>
      <x:c r="G695" s="51" t="str">
        <x:v>广东宇阳新能源有限公司</x:v>
      </x:c>
      <x:c r="H695" s="52" t="n">
        <x:v>0</x:v>
      </x:c>
      <x:c r="I695" s="52" t="n">
        <x:v>0</x:v>
      </x:c>
      <x:c r="J695" s="52" t="n">
        <x:v>0</x:v>
      </x:c>
      <x:c r="K695" s="52" t="str">
        <x:f>IFERROR(I695/H695,"")</x:f>
      </x:c>
      <x:c r="L695" s="52" t="n">
        <x:v>300</x:v>
      </x:c>
      <x:c r="M695" s="65" t="n">
        <x:f>IF(H695&lt;=L695,1,0)</x:f>
        <x:v>1</x:v>
      </x:c>
      <x:c r="N695" s="65" t="n">
        <x:f>IF(I695&lt;=L695,1,0)</x:f>
        <x:v>1</x:v>
      </x:c>
      <x:c r="O695" s="51" t="str">
        <x:f>IF(M695=N695,"不变",IF(N695=1,"由禁变允","由允变禁"))</x:f>
        <x:v>不变</x:v>
      </x:c>
      <x:c r="P695" s="51" t="str">
        <x:v>OSRM driving/car</x:v>
      </x:c>
      <x:c r="Q695" s="51" t="str">
        <x:v>2026-08-15</x:v>
      </x:c>
      <x:c r="R695" s="51" t="str">
        <x:v>C-开放路网计算；不是货车/危运合规路线</x:v>
      </x:c>
      <x:c r="S695" s="51" t="str">
        <x:v>https://routing.openstreetmap.de/routed-car/</x:v>
      </x:c>
    </x:row>
    <x:row r="696">
      <x:c r="A696" s="51" t="str">
        <x:v>A0692</x:v>
      </x:c>
      <x:c r="B696" s="51" t="str">
        <x:v>C11</x:v>
      </x:c>
      <x:c r="C696" s="51" t="str">
        <x:v>collection</x:v>
      </x:c>
      <x:c r="D696" s="51" t="str">
        <x:v>东莞虚拟回收/检测中心</x:v>
      </x:c>
      <x:c r="E696" s="51" t="str">
        <x:v>P10</x:v>
      </x:c>
      <x:c r="F696" s="51" t="str">
        <x:v>echelon</x:v>
      </x:c>
      <x:c r="G696" s="51" t="str">
        <x:v>广州广汽商贸再生资源有限公司</x:v>
      </x:c>
      <x:c r="H696" s="52" t="n">
        <x:v>61.48835744881942</x:v>
      </x:c>
      <x:c r="I696" s="52" t="n">
        <x:v>63.0212</x:v>
      </x:c>
      <x:c r="J696" s="52" t="n">
        <x:v>47.281666666666666</x:v>
      </x:c>
      <x:c r="K696" s="52" t="n">
        <x:f>IFERROR(I696/H696,"")</x:f>
        <x:v>1.0249289884260848</x:v>
      </x:c>
      <x:c r="L696" s="52" t="n">
        <x:v>300</x:v>
      </x:c>
      <x:c r="M696" s="65" t="n">
        <x:f>IF(H696&lt;=L696,1,0)</x:f>
        <x:v>1</x:v>
      </x:c>
      <x:c r="N696" s="65" t="n">
        <x:f>IF(I696&lt;=L696,1,0)</x:f>
        <x:v>1</x:v>
      </x:c>
      <x:c r="O696" s="51" t="str">
        <x:f>IF(M696=N696,"不变",IF(N696=1,"由禁变允","由允变禁"))</x:f>
        <x:v>不变</x:v>
      </x:c>
      <x:c r="P696" s="51" t="str">
        <x:v>OSRM driving/car</x:v>
      </x:c>
      <x:c r="Q696" s="51" t="str">
        <x:v>2026-08-15</x:v>
      </x:c>
      <x:c r="R696" s="51" t="str">
        <x:v>C-开放路网计算；不是货车/危运合规路线</x:v>
      </x:c>
      <x:c r="S696" s="51" t="str">
        <x:v>https://routing.openstreetmap.de/routed-car/</x:v>
      </x:c>
    </x:row>
    <x:row r="697">
      <x:c r="A697" s="51" t="str">
        <x:v>A0693</x:v>
      </x:c>
      <x:c r="B697" s="51" t="str">
        <x:v>C11</x:v>
      </x:c>
      <x:c r="C697" s="51" t="str">
        <x:v>collection</x:v>
      </x:c>
      <x:c r="D697" s="51" t="str">
        <x:v>东莞虚拟回收/检测中心</x:v>
      </x:c>
      <x:c r="E697" s="51" t="str">
        <x:v>P11</x:v>
      </x:c>
      <x:c r="F697" s="51" t="str">
        <x:v>echelon</x:v>
      </x:c>
      <x:c r="G697" s="51" t="str">
        <x:v>深圳市杰成镍钴新能源科技有限公司</x:v>
      </x:c>
      <x:c r="H697" s="52" t="n">
        <x:v>73.7874966555125</x:v>
      </x:c>
      <x:c r="I697" s="52" t="n">
        <x:v>74.33330000000001</x:v>
      </x:c>
      <x:c r="J697" s="52" t="n">
        <x:v>55.55333333333333</x:v>
      </x:c>
      <x:c r="K697" s="52" t="n">
        <x:f>IFERROR(I697/H697,"")</x:f>
        <x:v>1.0073969624831653</x:v>
      </x:c>
      <x:c r="L697" s="52" t="n">
        <x:v>300</x:v>
      </x:c>
      <x:c r="M697" s="65" t="n">
        <x:f>IF(H697&lt;=L697,1,0)</x:f>
        <x:v>1</x:v>
      </x:c>
      <x:c r="N697" s="65" t="n">
        <x:f>IF(I697&lt;=L697,1,0)</x:f>
        <x:v>1</x:v>
      </x:c>
      <x:c r="O697" s="51" t="str">
        <x:f>IF(M697=N697,"不变",IF(N697=1,"由禁变允","由允变禁"))</x:f>
        <x:v>不变</x:v>
      </x:c>
      <x:c r="P697" s="51" t="str">
        <x:v>OSRM driving/car</x:v>
      </x:c>
      <x:c r="Q697" s="51" t="str">
        <x:v>2026-08-15</x:v>
      </x:c>
      <x:c r="R697" s="51" t="str">
        <x:v>C-开放路网计算；不是货车/危运合规路线</x:v>
      </x:c>
      <x:c r="S697" s="51" t="str">
        <x:v>https://routing.openstreetmap.de/routed-car/</x:v>
      </x:c>
    </x:row>
    <x:row r="698">
      <x:c r="A698" s="51" t="str">
        <x:v>A0694</x:v>
      </x:c>
      <x:c r="B698" s="51" t="str">
        <x:v>C11</x:v>
      </x:c>
      <x:c r="C698" s="51" t="str">
        <x:v>collection</x:v>
      </x:c>
      <x:c r="D698" s="51" t="str">
        <x:v>东莞虚拟回收/检测中心</x:v>
      </x:c>
      <x:c r="E698" s="51" t="str">
        <x:v>P12</x:v>
      </x:c>
      <x:c r="F698" s="51" t="str">
        <x:v>recycling</x:v>
      </x:c>
      <x:c r="G698" s="51" t="str">
        <x:v>江门市恒创睿能环保科技有限公司</x:v>
      </x:c>
      <x:c r="H698" s="52" t="n">
        <x:v>100.84581605844396</x:v>
      </x:c>
      <x:c r="I698" s="52" t="n">
        <x:v>112.4987</x:v>
      </x:c>
      <x:c r="J698" s="52" t="n">
        <x:v>84.56333333333333</x:v>
      </x:c>
      <x:c r="K698" s="52" t="n">
        <x:f>IFERROR(I698/H698,"")</x:f>
        <x:v>1.1155514863879208</x:v>
      </x:c>
      <x:c r="L698" s="52" t="n">
        <x:v>400</x:v>
      </x:c>
      <x:c r="M698" s="65" t="n">
        <x:f>IF(H698&lt;=L698,1,0)</x:f>
        <x:v>1</x:v>
      </x:c>
      <x:c r="N698" s="65" t="n">
        <x:f>IF(I698&lt;=L698,1,0)</x:f>
        <x:v>1</x:v>
      </x:c>
      <x:c r="O698" s="51" t="str">
        <x:f>IF(M698=N698,"不变",IF(N698=1,"由禁变允","由允变禁"))</x:f>
        <x:v>不变</x:v>
      </x:c>
      <x:c r="P698" s="51" t="str">
        <x:v>OSRM driving/car</x:v>
      </x:c>
      <x:c r="Q698" s="51" t="str">
        <x:v>2026-08-15</x:v>
      </x:c>
      <x:c r="R698" s="51" t="str">
        <x:v>C-开放路网计算；不是货车/危运合规路线</x:v>
      </x:c>
      <x:c r="S698" s="51" t="str">
        <x:v>https://routing.openstreetmap.de/routed-car/</x:v>
      </x:c>
    </x:row>
    <x:row r="699">
      <x:c r="A699" s="51" t="str">
        <x:v>A0695</x:v>
      </x:c>
      <x:c r="B699" s="51" t="str">
        <x:v>C11</x:v>
      </x:c>
      <x:c r="C699" s="51" t="str">
        <x:v>collection</x:v>
      </x:c>
      <x:c r="D699" s="51" t="str">
        <x:v>东莞虚拟回收/检测中心</x:v>
      </x:c>
      <x:c r="E699" s="51" t="str">
        <x:v>P13</x:v>
      </x:c>
      <x:c r="F699" s="51" t="str">
        <x:v>recycling</x:v>
      </x:c>
      <x:c r="G699" s="51" t="str">
        <x:v>广东佳纳能源科技有限公司</x:v>
      </x:c>
      <x:c r="H699" s="52" t="n">
        <x:v>122.93685817460485</x:v>
      </x:c>
      <x:c r="I699" s="52" t="n">
        <x:v>129.1921</x:v>
      </x:c>
      <x:c r="J699" s="52" t="n">
        <x:v>98.33500000000001</x:v>
      </x:c>
      <x:c r="K699" s="52" t="n">
        <x:f>IFERROR(I699/H699,"")</x:f>
        <x:v>1.0508817446474106</x:v>
      </x:c>
      <x:c r="L699" s="52" t="n">
        <x:v>400</x:v>
      </x:c>
      <x:c r="M699" s="65" t="n">
        <x:f>IF(H699&lt;=L699,1,0)</x:f>
        <x:v>1</x:v>
      </x:c>
      <x:c r="N699" s="65" t="n">
        <x:f>IF(I699&lt;=L699,1,0)</x:f>
        <x:v>1</x:v>
      </x:c>
      <x:c r="O699" s="51" t="str">
        <x:f>IF(M699=N699,"不变",IF(N699=1,"由禁变允","由允变禁"))</x:f>
        <x:v>不变</x:v>
      </x:c>
      <x:c r="P699" s="51" t="str">
        <x:v>OSRM driving/car</x:v>
      </x:c>
      <x:c r="Q699" s="51" t="str">
        <x:v>2026-08-15</x:v>
      </x:c>
      <x:c r="R699" s="51" t="str">
        <x:v>C-开放路网计算；不是货车/危运合规路线</x:v>
      </x:c>
      <x:c r="S699" s="51" t="str">
        <x:v>https://routing.openstreetmap.de/routed-car/</x:v>
      </x:c>
    </x:row>
    <x:row r="700">
      <x:c r="A700" s="51" t="str">
        <x:v>A0696</x:v>
      </x:c>
      <x:c r="B700" s="51" t="str">
        <x:v>C11</x:v>
      </x:c>
      <x:c r="C700" s="51" t="str">
        <x:v>collection</x:v>
      </x:c>
      <x:c r="D700" s="51" t="str">
        <x:v>东莞虚拟回收/检测中心</x:v>
      </x:c>
      <x:c r="E700" s="51" t="str">
        <x:v>P14</x:v>
      </x:c>
      <x:c r="F700" s="51" t="str">
        <x:v>echelon</x:v>
      </x:c>
      <x:c r="G700" s="51" t="str">
        <x:v>格林美（深圳）循环科技有限公司</x:v>
      </x:c>
      <x:c r="H700" s="52" t="n">
        <x:v>73.7874966555125</x:v>
      </x:c>
      <x:c r="I700" s="52" t="n">
        <x:v>74.33330000000001</x:v>
      </x:c>
      <x:c r="J700" s="52" t="n">
        <x:v>55.55333333333333</x:v>
      </x:c>
      <x:c r="K700" s="52" t="n">
        <x:f>IFERROR(I700/H700,"")</x:f>
        <x:v>1.0073969624831653</x:v>
      </x:c>
      <x:c r="L700" s="52" t="n">
        <x:v>300</x:v>
      </x:c>
      <x:c r="M700" s="65" t="n">
        <x:f>IF(H700&lt;=L700,1,0)</x:f>
        <x:v>1</x:v>
      </x:c>
      <x:c r="N700" s="65" t="n">
        <x:f>IF(I700&lt;=L700,1,0)</x:f>
        <x:v>1</x:v>
      </x:c>
      <x:c r="O700" s="51" t="str">
        <x:f>IF(M700=N700,"不变",IF(N700=1,"由禁变允","由允变禁"))</x:f>
        <x:v>不变</x:v>
      </x:c>
      <x:c r="P700" s="51" t="str">
        <x:v>OSRM driving/car</x:v>
      </x:c>
      <x:c r="Q700" s="51" t="str">
        <x:v>2026-08-15</x:v>
      </x:c>
      <x:c r="R700" s="51" t="str">
        <x:v>C-开放路网计算；不是货车/危运合规路线</x:v>
      </x:c>
      <x:c r="S700" s="51" t="str">
        <x:v>https://routing.openstreetmap.de/routed-car/</x:v>
      </x:c>
    </x:row>
    <x:row r="701">
      <x:c r="A701" s="51" t="str">
        <x:v>A0697</x:v>
      </x:c>
      <x:c r="B701" s="51" t="str">
        <x:v>C11</x:v>
      </x:c>
      <x:c r="C701" s="51" t="str">
        <x:v>collection</x:v>
      </x:c>
      <x:c r="D701" s="51" t="str">
        <x:v>东莞虚拟回收/检测中心</x:v>
      </x:c>
      <x:c r="E701" s="51" t="str">
        <x:v>P15</x:v>
      </x:c>
      <x:c r="F701" s="51" t="str">
        <x:v>echelon</x:v>
      </x:c>
      <x:c r="G701" s="51" t="str">
        <x:v>绿循新能源科技（佛山）有限责任公司</x:v>
      </x:c>
      <x:c r="H701" s="52" t="n">
        <x:v>77.28343572424338</x:v>
      </x:c>
      <x:c r="I701" s="52" t="n">
        <x:v>82.4602</x:v>
      </x:c>
      <x:c r="J701" s="52" t="n">
        <x:v>64.61666666666666</x:v>
      </x:c>
      <x:c r="K701" s="52" t="n">
        <x:f>IFERROR(I701/H701,"")</x:f>
        <x:v>1.0669841373800713</x:v>
      </x:c>
      <x:c r="L701" s="52" t="n">
        <x:v>300</x:v>
      </x:c>
      <x:c r="M701" s="65" t="n">
        <x:f>IF(H701&lt;=L701,1,0)</x:f>
        <x:v>1</x:v>
      </x:c>
      <x:c r="N701" s="65" t="n">
        <x:f>IF(I701&lt;=L701,1,0)</x:f>
        <x:v>1</x:v>
      </x:c>
      <x:c r="O701" s="51" t="str">
        <x:f>IF(M701=N701,"不变",IF(N701=1,"由禁变允","由允变禁"))</x:f>
        <x:v>不变</x:v>
      </x:c>
      <x:c r="P701" s="51" t="str">
        <x:v>OSRM driving/car</x:v>
      </x:c>
      <x:c r="Q701" s="51" t="str">
        <x:v>2026-08-15</x:v>
      </x:c>
      <x:c r="R701" s="51" t="str">
        <x:v>C-开放路网计算；不是货车/危运合规路线</x:v>
      </x:c>
      <x:c r="S701" s="51" t="str">
        <x:v>https://routing.openstreetmap.de/routed-car/</x:v>
      </x:c>
    </x:row>
    <x:row r="702">
      <x:c r="A702" s="51" t="str">
        <x:v>A0698</x:v>
      </x:c>
      <x:c r="B702" s="51" t="str">
        <x:v>C11</x:v>
      </x:c>
      <x:c r="C702" s="51" t="str">
        <x:v>collection</x:v>
      </x:c>
      <x:c r="D702" s="51" t="str">
        <x:v>东莞虚拟回收/检测中心</x:v>
      </x:c>
      <x:c r="E702" s="51" t="str">
        <x:v>P16</x:v>
      </x:c>
      <x:c r="F702" s="51" t="str">
        <x:v>echelon</x:v>
      </x:c>
      <x:c r="G702" s="51" t="str">
        <x:v>深圳艾云动智慧科技有限公司</x:v>
      </x:c>
      <x:c r="H702" s="52" t="n">
        <x:v>73.7874966555125</x:v>
      </x:c>
      <x:c r="I702" s="52" t="n">
        <x:v>74.33330000000001</x:v>
      </x:c>
      <x:c r="J702" s="52" t="n">
        <x:v>55.55333333333333</x:v>
      </x:c>
      <x:c r="K702" s="52" t="n">
        <x:f>IFERROR(I702/H702,"")</x:f>
        <x:v>1.0073969624831653</x:v>
      </x:c>
      <x:c r="L702" s="52" t="n">
        <x:v>300</x:v>
      </x:c>
      <x:c r="M702" s="65" t="n">
        <x:f>IF(H702&lt;=L702,1,0)</x:f>
        <x:v>1</x:v>
      </x:c>
      <x:c r="N702" s="65" t="n">
        <x:f>IF(I702&lt;=L702,1,0)</x:f>
        <x:v>1</x:v>
      </x:c>
      <x:c r="O702" s="51" t="str">
        <x:f>IF(M702=N702,"不变",IF(N702=1,"由禁变允","由允变禁"))</x:f>
        <x:v>不变</x:v>
      </x:c>
      <x:c r="P702" s="51" t="str">
        <x:v>OSRM driving/car</x:v>
      </x:c>
      <x:c r="Q702" s="51" t="str">
        <x:v>2026-08-15</x:v>
      </x:c>
      <x:c r="R702" s="51" t="str">
        <x:v>C-开放路网计算；不是货车/危运合规路线</x:v>
      </x:c>
      <x:c r="S702" s="51" t="str">
        <x:v>https://routing.openstreetmap.de/routed-car/</x:v>
      </x:c>
    </x:row>
    <x:row r="703">
      <x:c r="A703" s="51" t="str">
        <x:v>A0699</x:v>
      </x:c>
      <x:c r="B703" s="51" t="str">
        <x:v>C11</x:v>
      </x:c>
      <x:c r="C703" s="51" t="str">
        <x:v>collection</x:v>
      </x:c>
      <x:c r="D703" s="51" t="str">
        <x:v>东莞虚拟回收/检测中心</x:v>
      </x:c>
      <x:c r="E703" s="51" t="str">
        <x:v>P17</x:v>
      </x:c>
      <x:c r="F703" s="51" t="str">
        <x:v>echelon</x:v>
      </x:c>
      <x:c r="G703" s="51" t="str">
        <x:v>深圳市荣高晟新能源科技有限公司</x:v>
      </x:c>
      <x:c r="H703" s="52" t="n">
        <x:v>73.7874966555125</x:v>
      </x:c>
      <x:c r="I703" s="52" t="n">
        <x:v>74.33330000000001</x:v>
      </x:c>
      <x:c r="J703" s="52" t="n">
        <x:v>55.55333333333333</x:v>
      </x:c>
      <x:c r="K703" s="52" t="n">
        <x:f>IFERROR(I703/H703,"")</x:f>
        <x:v>1.0073969624831653</x:v>
      </x:c>
      <x:c r="L703" s="52" t="n">
        <x:v>300</x:v>
      </x:c>
      <x:c r="M703" s="65" t="n">
        <x:f>IF(H703&lt;=L703,1,0)</x:f>
        <x:v>1</x:v>
      </x:c>
      <x:c r="N703" s="65" t="n">
        <x:f>IF(I703&lt;=L703,1,0)</x:f>
        <x:v>1</x:v>
      </x:c>
      <x:c r="O703" s="51" t="str">
        <x:f>IF(M703=N703,"不变",IF(N703=1,"由禁变允","由允变禁"))</x:f>
        <x:v>不变</x:v>
      </x:c>
      <x:c r="P703" s="51" t="str">
        <x:v>OSRM driving/car</x:v>
      </x:c>
      <x:c r="Q703" s="51" t="str">
        <x:v>2026-08-15</x:v>
      </x:c>
      <x:c r="R703" s="51" t="str">
        <x:v>C-开放路网计算；不是货车/危运合规路线</x:v>
      </x:c>
      <x:c r="S703" s="51" t="str">
        <x:v>https://routing.openstreetmap.de/routed-car/</x:v>
      </x:c>
    </x:row>
    <x:row r="704">
      <x:c r="A704" s="51" t="str">
        <x:v>A0700</x:v>
      </x:c>
      <x:c r="B704" s="51" t="str">
        <x:v>C11</x:v>
      </x:c>
      <x:c r="C704" s="51" t="str">
        <x:v>collection</x:v>
      </x:c>
      <x:c r="D704" s="51" t="str">
        <x:v>东莞虚拟回收/检测中心</x:v>
      </x:c>
      <x:c r="E704" s="51" t="str">
        <x:v>P18</x:v>
      </x:c>
      <x:c r="F704" s="51" t="str">
        <x:v>echelon</x:v>
      </x:c>
      <x:c r="G704" s="51" t="str">
        <x:v>中商锂新能源科技（惠州）有限公司</x:v>
      </x:c>
      <x:c r="H704" s="52" t="n">
        <x:v>82.90044805737128</x:v>
      </x:c>
      <x:c r="I704" s="52" t="n">
        <x:v>95.089</x:v>
      </x:c>
      <x:c r="J704" s="52" t="n">
        <x:v>71.56333333333333</x:v>
      </x:c>
      <x:c r="K704" s="52" t="n">
        <x:f>IFERROR(I704/H704,"")</x:f>
        <x:v>1.1470263699201435</x:v>
      </x:c>
      <x:c r="L704" s="52" t="n">
        <x:v>300</x:v>
      </x:c>
      <x:c r="M704" s="65" t="n">
        <x:f>IF(H704&lt;=L704,1,0)</x:f>
        <x:v>1</x:v>
      </x:c>
      <x:c r="N704" s="65" t="n">
        <x:f>IF(I704&lt;=L704,1,0)</x:f>
        <x:v>1</x:v>
      </x:c>
      <x:c r="O704" s="51" t="str">
        <x:f>IF(M704=N704,"不变",IF(N704=1,"由禁变允","由允变禁"))</x:f>
        <x:v>不变</x:v>
      </x:c>
      <x:c r="P704" s="51" t="str">
        <x:v>OSRM driving/car</x:v>
      </x:c>
      <x:c r="Q704" s="51" t="str">
        <x:v>2026-08-15</x:v>
      </x:c>
      <x:c r="R704" s="51" t="str">
        <x:v>C-开放路网计算；不是货车/危运合规路线</x:v>
      </x:c>
      <x:c r="S704" s="51" t="str">
        <x:v>https://routing.openstreetmap.de/routed-car/</x:v>
      </x:c>
    </x:row>
    <x:row r="705">
      <x:c r="A705" s="51" t="str">
        <x:v>A0701</x:v>
      </x:c>
      <x:c r="B705" s="51" t="str">
        <x:v>C11</x:v>
      </x:c>
      <x:c r="C705" s="51" t="str">
        <x:v>collection</x:v>
      </x:c>
      <x:c r="D705" s="51" t="str">
        <x:v>东莞虚拟回收/检测中心</x:v>
      </x:c>
      <x:c r="E705" s="51" t="str">
        <x:v>P19</x:v>
      </x:c>
      <x:c r="F705" s="51" t="str">
        <x:v>recycling</x:v>
      </x:c>
      <x:c r="G705" s="51" t="str">
        <x:v>广东盛祥新材料科技有限公司</x:v>
      </x:c>
      <x:c r="H705" s="52" t="n">
        <x:v>242.01314694033505</x:v>
      </x:c>
      <x:c r="I705" s="52" t="n">
        <x:v>274.1771</x:v>
      </x:c>
      <x:c r="J705" s="52" t="n">
        <x:v>194.16666666666666</x:v>
      </x:c>
      <x:c r="K705" s="52" t="n">
        <x:f>IFERROR(I705/H705,"")</x:f>
        <x:v>1.1329016768977205</x:v>
      </x:c>
      <x:c r="L705" s="52" t="n">
        <x:v>400</x:v>
      </x:c>
      <x:c r="M705" s="65" t="n">
        <x:f>IF(H705&lt;=L705,1,0)</x:f>
        <x:v>1</x:v>
      </x:c>
      <x:c r="N705" s="65" t="n">
        <x:f>IF(I705&lt;=L705,1,0)</x:f>
        <x:v>1</x:v>
      </x:c>
      <x:c r="O705" s="51" t="str">
        <x:f>IF(M705=N705,"不变",IF(N705=1,"由禁变允","由允变禁"))</x:f>
        <x:v>不变</x:v>
      </x:c>
      <x:c r="P705" s="51" t="str">
        <x:v>OSRM driving/car</x:v>
      </x:c>
      <x:c r="Q705" s="51" t="str">
        <x:v>2026-08-15</x:v>
      </x:c>
      <x:c r="R705" s="51" t="str">
        <x:v>C-开放路网计算；不是货车/危运合规路线</x:v>
      </x:c>
      <x:c r="S705" s="51" t="str">
        <x:v>https://routing.openstreetmap.de/routed-car/</x:v>
      </x:c>
    </x:row>
    <x:row r="706">
      <x:c r="A706" s="51" t="str">
        <x:v>A0702</x:v>
      </x:c>
      <x:c r="B706" s="51" t="str">
        <x:v>C11</x:v>
      </x:c>
      <x:c r="C706" s="51" t="str">
        <x:v>collection</x:v>
      </x:c>
      <x:c r="D706" s="51" t="str">
        <x:v>东莞虚拟回收/检测中心</x:v>
      </x:c>
      <x:c r="E706" s="51" t="str">
        <x:v>P20E</x:v>
      </x:c>
      <x:c r="F706" s="51" t="str">
        <x:v>echelon</x:v>
      </x:c>
      <x:c r="G706" s="51" t="str">
        <x:v>广东金晟新能源股份有限公司（梯次功能）</x:v>
      </x:c>
      <x:c r="H706" s="52" t="n">
        <x:v>157.83268942296343</x:v>
      </x:c>
      <x:c r="I706" s="52" t="n">
        <x:v>154.5592</x:v>
      </x:c>
      <x:c r="J706" s="52" t="n">
        <x:v>118.72666666666667</x:v>
      </x:c>
      <x:c r="K706" s="52" t="n">
        <x:f>IFERROR(I706/H706,"")</x:f>
        <x:v>0.9792597500876954</x:v>
      </x:c>
      <x:c r="L706" s="52" t="n">
        <x:v>300</x:v>
      </x:c>
      <x:c r="M706" s="65" t="n">
        <x:f>IF(H706&lt;=L706,1,0)</x:f>
        <x:v>1</x:v>
      </x:c>
      <x:c r="N706" s="65" t="n">
        <x:f>IF(I706&lt;=L706,1,0)</x:f>
        <x:v>1</x:v>
      </x:c>
      <x:c r="O706" s="51" t="str">
        <x:f>IF(M706=N706,"不变",IF(N706=1,"由禁变允","由允变禁"))</x:f>
        <x:v>不变</x:v>
      </x:c>
      <x:c r="P706" s="51" t="str">
        <x:v>OSRM driving/car</x:v>
      </x:c>
      <x:c r="Q706" s="51" t="str">
        <x:v>2026-08-15</x:v>
      </x:c>
      <x:c r="R706" s="51" t="str">
        <x:v>C-开放路网计算；不是货车/危运合规路线</x:v>
      </x:c>
      <x:c r="S706" s="51" t="str">
        <x:v>https://routing.openstreetmap.de/routed-car/</x:v>
      </x:c>
    </x:row>
    <x:row r="707">
      <x:c r="A707" s="51" t="str">
        <x:v>A0703</x:v>
      </x:c>
      <x:c r="B707" s="51" t="str">
        <x:v>C11</x:v>
      </x:c>
      <x:c r="C707" s="51" t="str">
        <x:v>collection</x:v>
      </x:c>
      <x:c r="D707" s="51" t="str">
        <x:v>东莞虚拟回收/检测中心</x:v>
      </x:c>
      <x:c r="E707" s="51" t="str">
        <x:v>P20R</x:v>
      </x:c>
      <x:c r="F707" s="51" t="str">
        <x:v>recycling</x:v>
      </x:c>
      <x:c r="G707" s="51" t="str">
        <x:v>广东金晟新能源股份有限公司（再生功能）</x:v>
      </x:c>
      <x:c r="H707" s="52" t="n">
        <x:v>157.83268942296343</x:v>
      </x:c>
      <x:c r="I707" s="52" t="n">
        <x:v>154.5592</x:v>
      </x:c>
      <x:c r="J707" s="52" t="n">
        <x:v>118.72666666666667</x:v>
      </x:c>
      <x:c r="K707" s="52" t="n">
        <x:f>IFERROR(I707/H707,"")</x:f>
        <x:v>0.9792597500876954</x:v>
      </x:c>
      <x:c r="L707" s="52" t="n">
        <x:v>400</x:v>
      </x:c>
      <x:c r="M707" s="65" t="n">
        <x:f>IF(H707&lt;=L707,1,0)</x:f>
        <x:v>1</x:v>
      </x:c>
      <x:c r="N707" s="65" t="n">
        <x:f>IF(I707&lt;=L707,1,0)</x:f>
        <x:v>1</x:v>
      </x:c>
      <x:c r="O707" s="51" t="str">
        <x:f>IF(M707=N707,"不变",IF(N707=1,"由禁变允","由允变禁"))</x:f>
        <x:v>不变</x:v>
      </x:c>
      <x:c r="P707" s="51" t="str">
        <x:v>OSRM driving/car</x:v>
      </x:c>
      <x:c r="Q707" s="51" t="str">
        <x:v>2026-08-15</x:v>
      </x:c>
      <x:c r="R707" s="51" t="str">
        <x:v>C-开放路网计算；不是货车/危运合规路线</x:v>
      </x:c>
      <x:c r="S707" s="51" t="str">
        <x:v>https://routing.openstreetmap.de/routed-car/</x:v>
      </x:c>
    </x:row>
    <x:row r="708">
      <x:c r="A708" s="51" t="str">
        <x:v>A0704</x:v>
      </x:c>
      <x:c r="B708" s="51" t="str">
        <x:v>C11</x:v>
      </x:c>
      <x:c r="C708" s="51" t="str">
        <x:v>collection</x:v>
      </x:c>
      <x:c r="D708" s="51" t="str">
        <x:v>东莞虚拟回收/检测中心</x:v>
      </x:c>
      <x:c r="E708" s="51" t="str">
        <x:v>P21E</x:v>
      </x:c>
      <x:c r="F708" s="51" t="str">
        <x:v>echelon</x:v>
      </x:c>
      <x:c r="G708" s="51" t="str">
        <x:v>广东瑞科美电源技术有限公司（梯次功能）</x:v>
      </x:c>
      <x:c r="H708" s="52" t="n">
        <x:v>77.28343572424338</x:v>
      </x:c>
      <x:c r="I708" s="52" t="n">
        <x:v>82.4602</x:v>
      </x:c>
      <x:c r="J708" s="52" t="n">
        <x:v>64.61666666666666</x:v>
      </x:c>
      <x:c r="K708" s="52" t="n">
        <x:f>IFERROR(I708/H708,"")</x:f>
        <x:v>1.0669841373800713</x:v>
      </x:c>
      <x:c r="L708" s="52" t="n">
        <x:v>300</x:v>
      </x:c>
      <x:c r="M708" s="65" t="n">
        <x:f>IF(H708&lt;=L708,1,0)</x:f>
        <x:v>1</x:v>
      </x:c>
      <x:c r="N708" s="65" t="n">
        <x:f>IF(I708&lt;=L708,1,0)</x:f>
        <x:v>1</x:v>
      </x:c>
      <x:c r="O708" s="51" t="str">
        <x:f>IF(M708=N708,"不变",IF(N708=1,"由禁变允","由允变禁"))</x:f>
        <x:v>不变</x:v>
      </x:c>
      <x:c r="P708" s="51" t="str">
        <x:v>OSRM driving/car</x:v>
      </x:c>
      <x:c r="Q708" s="51" t="str">
        <x:v>2026-08-15</x:v>
      </x:c>
      <x:c r="R708" s="51" t="str">
        <x:v>C-开放路网计算；不是货车/危运合规路线</x:v>
      </x:c>
      <x:c r="S708" s="51" t="str">
        <x:v>https://routing.openstreetmap.de/routed-car/</x:v>
      </x:c>
    </x:row>
    <x:row r="709">
      <x:c r="A709" s="51" t="str">
        <x:v>A0705</x:v>
      </x:c>
      <x:c r="B709" s="51" t="str">
        <x:v>C11</x:v>
      </x:c>
      <x:c r="C709" s="51" t="str">
        <x:v>collection</x:v>
      </x:c>
      <x:c r="D709" s="51" t="str">
        <x:v>东莞虚拟回收/检测中心</x:v>
      </x:c>
      <x:c r="E709" s="51" t="str">
        <x:v>P21R</x:v>
      </x:c>
      <x:c r="F709" s="51" t="str">
        <x:v>recycling</x:v>
      </x:c>
      <x:c r="G709" s="51" t="str">
        <x:v>广东瑞科美电源技术有限公司（再生功能）</x:v>
      </x:c>
      <x:c r="H709" s="52" t="n">
        <x:v>77.28343572424338</x:v>
      </x:c>
      <x:c r="I709" s="52" t="n">
        <x:v>82.4602</x:v>
      </x:c>
      <x:c r="J709" s="52" t="n">
        <x:v>64.61666666666666</x:v>
      </x:c>
      <x:c r="K709" s="52" t="n">
        <x:f>IFERROR(I709/H709,"")</x:f>
        <x:v>1.0669841373800713</x:v>
      </x:c>
      <x:c r="L709" s="52" t="n">
        <x:v>400</x:v>
      </x:c>
      <x:c r="M709" s="65" t="n">
        <x:f>IF(H709&lt;=L709,1,0)</x:f>
        <x:v>1</x:v>
      </x:c>
      <x:c r="N709" s="65" t="n">
        <x:f>IF(I709&lt;=L709,1,0)</x:f>
        <x:v>1</x:v>
      </x:c>
      <x:c r="O709" s="51" t="str">
        <x:f>IF(M709=N709,"不变",IF(N709=1,"由禁变允","由允变禁"))</x:f>
        <x:v>不变</x:v>
      </x:c>
      <x:c r="P709" s="51" t="str">
        <x:v>OSRM driving/car</x:v>
      </x:c>
      <x:c r="Q709" s="51" t="str">
        <x:v>2026-08-15</x:v>
      </x:c>
      <x:c r="R709" s="51" t="str">
        <x:v>C-开放路网计算；不是货车/危运合规路线</x:v>
      </x:c>
      <x:c r="S709" s="51" t="str">
        <x:v>https://routing.openstreetmap.de/routed-car/</x:v>
      </x:c>
    </x:row>
    <x:row r="710">
      <x:c r="A710" s="51" t="str">
        <x:v>A0706</x:v>
      </x:c>
      <x:c r="B710" s="51" t="str">
        <x:v>C12</x:v>
      </x:c>
      <x:c r="C710" s="51" t="str">
        <x:v>collection</x:v>
      </x:c>
      <x:c r="D710" s="51" t="str">
        <x:v>中山虚拟回收/检测中心</x:v>
      </x:c>
      <x:c r="E710" s="51" t="str">
        <x:v>P01</x:v>
      </x:c>
      <x:c r="F710" s="51" t="str">
        <x:v>recycling</x:v>
      </x:c>
      <x:c r="G710" s="51" t="str">
        <x:v>汕尾比亚迪废旧动力电池回收项目</x:v>
      </x:c>
      <x:c r="H710" s="52" t="n">
        <x:v>245.26425371053216</x:v>
      </x:c>
      <x:c r="I710" s="52" t="n">
        <x:v>238.8434</x:v>
      </x:c>
      <x:c r="J710" s="52" t="n">
        <x:v>173.86</x:v>
      </x:c>
      <x:c r="K710" s="52" t="n">
        <x:f>IFERROR(I710/H710,"")</x:f>
        <x:v>0.9738206705078587</x:v>
      </x:c>
      <x:c r="L710" s="52" t="n">
        <x:v>400</x:v>
      </x:c>
      <x:c r="M710" s="65" t="n">
        <x:f>IF(H710&lt;=L710,1,0)</x:f>
        <x:v>1</x:v>
      </x:c>
      <x:c r="N710" s="65" t="n">
        <x:f>IF(I710&lt;=L710,1,0)</x:f>
        <x:v>1</x:v>
      </x:c>
      <x:c r="O710" s="51" t="str">
        <x:f>IF(M710=N710,"不变",IF(N710=1,"由禁变允","由允变禁"))</x:f>
        <x:v>不变</x:v>
      </x:c>
      <x:c r="P710" s="51" t="str">
        <x:v>OSRM driving/car</x:v>
      </x:c>
      <x:c r="Q710" s="51" t="str">
        <x:v>2026-08-15</x:v>
      </x:c>
      <x:c r="R710" s="51" t="str">
        <x:v>C-开放路网计算；不是货车/危运合规路线</x:v>
      </x:c>
      <x:c r="S710" s="51" t="str">
        <x:v>https://routing.openstreetmap.de/routed-car/</x:v>
      </x:c>
    </x:row>
    <x:row r="711">
      <x:c r="A711" s="51" t="str">
        <x:v>A0707</x:v>
      </x:c>
      <x:c r="B711" s="51" t="str">
        <x:v>C12</x:v>
      </x:c>
      <x:c r="C711" s="51" t="str">
        <x:v>collection</x:v>
      </x:c>
      <x:c r="D711" s="51" t="str">
        <x:v>中山虚拟回收/检测中心</x:v>
      </x:c>
      <x:c r="E711" s="51" t="str">
        <x:v>P02E</x:v>
      </x:c>
      <x:c r="F711" s="51" t="str">
        <x:v>echelon</x:v>
      </x:c>
      <x:c r="G711" s="51" t="str">
        <x:v>广东光华科技股份有限公司（梯次功能）</x:v>
      </x:c>
      <x:c r="H711" s="52" t="n">
        <x:v>419.44492112015877</x:v>
      </x:c>
      <x:c r="I711" s="52" t="n">
        <x:v>410.59090000000003</x:v>
      </x:c>
      <x:c r="J711" s="52" t="n">
        <x:v>290.86333333333334</x:v>
      </x:c>
      <x:c r="K711" s="52" t="n">
        <x:f>IFERROR(I711/H711,"")</x:f>
        <x:v>0.9788910994642314</x:v>
      </x:c>
      <x:c r="L711" s="52" t="n">
        <x:v>300</x:v>
      </x:c>
      <x:c r="M711" s="65" t="n">
        <x:f>IF(H711&lt;=L711,1,0)</x:f>
        <x:v>0</x:v>
      </x:c>
      <x:c r="N711" s="65" t="n">
        <x:f>IF(I711&lt;=L711,1,0)</x:f>
        <x:v>0</x:v>
      </x:c>
      <x:c r="O711" s="51" t="str">
        <x:f>IF(M711=N711,"不变",IF(N711=1,"由禁变允","由允变禁"))</x:f>
        <x:v>不变</x:v>
      </x:c>
      <x:c r="P711" s="51" t="str">
        <x:v>OSRM driving/car</x:v>
      </x:c>
      <x:c r="Q711" s="51" t="str">
        <x:v>2026-08-15</x:v>
      </x:c>
      <x:c r="R711" s="51" t="str">
        <x:v>C-开放路网计算；不是货车/危运合规路线</x:v>
      </x:c>
      <x:c r="S711" s="51" t="str">
        <x:v>https://routing.openstreetmap.de/routed-car/</x:v>
      </x:c>
    </x:row>
    <x:row r="712">
      <x:c r="A712" s="51" t="str">
        <x:v>A0708</x:v>
      </x:c>
      <x:c r="B712" s="51" t="str">
        <x:v>C12</x:v>
      </x:c>
      <x:c r="C712" s="51" t="str">
        <x:v>collection</x:v>
      </x:c>
      <x:c r="D712" s="51" t="str">
        <x:v>中山虚拟回收/检测中心</x:v>
      </x:c>
      <x:c r="E712" s="51" t="str">
        <x:v>P02R</x:v>
      </x:c>
      <x:c r="F712" s="51" t="str">
        <x:v>recycling</x:v>
      </x:c>
      <x:c r="G712" s="51" t="str">
        <x:v>广东光华科技股份有限公司（再生功能）</x:v>
      </x:c>
      <x:c r="H712" s="52" t="n">
        <x:v>419.44492112015877</x:v>
      </x:c>
      <x:c r="I712" s="52" t="n">
        <x:v>410.59090000000003</x:v>
      </x:c>
      <x:c r="J712" s="52" t="n">
        <x:v>290.86333333333334</x:v>
      </x:c>
      <x:c r="K712" s="52" t="n">
        <x:f>IFERROR(I712/H712,"")</x:f>
        <x:v>0.9788910994642314</x:v>
      </x:c>
      <x:c r="L712" s="52" t="n">
        <x:v>400</x:v>
      </x:c>
      <x:c r="M712" s="65" t="n">
        <x:f>IF(H712&lt;=L712,1,0)</x:f>
        <x:v>0</x:v>
      </x:c>
      <x:c r="N712" s="65" t="n">
        <x:f>IF(I712&lt;=L712,1,0)</x:f>
        <x:v>0</x:v>
      </x:c>
      <x:c r="O712" s="51" t="str">
        <x:f>IF(M712=N712,"不变",IF(N712=1,"由禁变允","由允变禁"))</x:f>
        <x:v>不变</x:v>
      </x:c>
      <x:c r="P712" s="51" t="str">
        <x:v>OSRM driving/car</x:v>
      </x:c>
      <x:c r="Q712" s="51" t="str">
        <x:v>2026-08-15</x:v>
      </x:c>
      <x:c r="R712" s="51" t="str">
        <x:v>C-开放路网计算；不是货车/危运合规路线</x:v>
      </x:c>
      <x:c r="S712" s="51" t="str">
        <x:v>https://routing.openstreetmap.de/routed-car/</x:v>
      </x:c>
    </x:row>
    <x:row r="713">
      <x:c r="A713" s="51" t="str">
        <x:v>A0709</x:v>
      </x:c>
      <x:c r="B713" s="51" t="str">
        <x:v>C12</x:v>
      </x:c>
      <x:c r="C713" s="51" t="str">
        <x:v>collection</x:v>
      </x:c>
      <x:c r="D713" s="51" t="str">
        <x:v>中山虚拟回收/检测中心</x:v>
      </x:c>
      <x:c r="E713" s="51" t="str">
        <x:v>P03</x:v>
      </x:c>
      <x:c r="F713" s="51" t="str">
        <x:v>echelon</x:v>
      </x:c>
      <x:c r="G713" s="51" t="str">
        <x:v>深圳深汕特别合作区乾泰技术有限公司</x:v>
      </x:c>
      <x:c r="H713" s="52" t="n">
        <x:v>269.3238430803518</x:v>
      </x:c>
      <x:c r="I713" s="52" t="n">
        <x:v>268.8607</x:v>
      </x:c>
      <x:c r="J713" s="52" t="n">
        <x:v>209.50833333333333</x:v>
      </x:c>
      <x:c r="K713" s="52" t="n">
        <x:f>IFERROR(I713/H713,"")</x:f>
        <x:v>0.9982803487613474</x:v>
      </x:c>
      <x:c r="L713" s="52" t="n">
        <x:v>300</x:v>
      </x:c>
      <x:c r="M713" s="65" t="n">
        <x:f>IF(H713&lt;=L713,1,0)</x:f>
        <x:v>1</x:v>
      </x:c>
      <x:c r="N713" s="65" t="n">
        <x:f>IF(I713&lt;=L713,1,0)</x:f>
        <x:v>1</x:v>
      </x:c>
      <x:c r="O713" s="51" t="str">
        <x:f>IF(M713=N713,"不变",IF(N713=1,"由禁变允","由允变禁"))</x:f>
        <x:v>不变</x:v>
      </x:c>
      <x:c r="P713" s="51" t="str">
        <x:v>OSRM driving/car</x:v>
      </x:c>
      <x:c r="Q713" s="51" t="str">
        <x:v>2026-08-15</x:v>
      </x:c>
      <x:c r="R713" s="51" t="str">
        <x:v>C-开放路网计算；不是货车/危运合规路线</x:v>
      </x:c>
      <x:c r="S713" s="51" t="str">
        <x:v>https://routing.openstreetmap.de/routed-car/</x:v>
      </x:c>
    </x:row>
    <x:row r="714">
      <x:c r="A714" s="51" t="str">
        <x:v>A0710</x:v>
      </x:c>
      <x:c r="B714" s="51" t="str">
        <x:v>C12</x:v>
      </x:c>
      <x:c r="C714" s="51" t="str">
        <x:v>collection</x:v>
      </x:c>
      <x:c r="D714" s="51" t="str">
        <x:v>中山虚拟回收/检测中心</x:v>
      </x:c>
      <x:c r="E714" s="51" t="str">
        <x:v>P04</x:v>
      </x:c>
      <x:c r="F714" s="51" t="str">
        <x:v>echelon</x:v>
      </x:c>
      <x:c r="G714" s="51" t="str">
        <x:v>珠海中力新能源科技有限公司</x:v>
      </x:c>
      <x:c r="H714" s="52" t="n">
        <x:v>39.969720769320794</x:v>
      </x:c>
      <x:c r="I714" s="52" t="n">
        <x:v>43.703300000000006</x:v>
      </x:c>
      <x:c r="J714" s="52" t="n">
        <x:v>42.18333333333333</x:v>
      </x:c>
      <x:c r="K714" s="52" t="n">
        <x:f>IFERROR(I714/H714,"")</x:f>
        <x:v>1.0934101904846172</x:v>
      </x:c>
      <x:c r="L714" s="52" t="n">
        <x:v>300</x:v>
      </x:c>
      <x:c r="M714" s="65" t="n">
        <x:f>IF(H714&lt;=L714,1,0)</x:f>
        <x:v>1</x:v>
      </x:c>
      <x:c r="N714" s="65" t="n">
        <x:f>IF(I714&lt;=L714,1,0)</x:f>
        <x:v>1</x:v>
      </x:c>
      <x:c r="O714" s="51" t="str">
        <x:f>IF(M714=N714,"不变",IF(N714=1,"由禁变允","由允变禁"))</x:f>
        <x:v>不变</x:v>
      </x:c>
      <x:c r="P714" s="51" t="str">
        <x:v>OSRM driving/car</x:v>
      </x:c>
      <x:c r="Q714" s="51" t="str">
        <x:v>2026-08-15</x:v>
      </x:c>
      <x:c r="R714" s="51" t="str">
        <x:v>C-开放路网计算；不是货车/危运合规路线</x:v>
      </x:c>
      <x:c r="S714" s="51" t="str">
        <x:v>https://routing.openstreetmap.de/routed-car/</x:v>
      </x:c>
    </x:row>
    <x:row r="715">
      <x:c r="A715" s="51" t="str">
        <x:v>A0711</x:v>
      </x:c>
      <x:c r="B715" s="51" t="str">
        <x:v>C12</x:v>
      </x:c>
      <x:c r="C715" s="51" t="str">
        <x:v>collection</x:v>
      </x:c>
      <x:c r="D715" s="51" t="str">
        <x:v>中山虚拟回收/检测中心</x:v>
      </x:c>
      <x:c r="E715" s="51" t="str">
        <x:v>P05</x:v>
      </x:c>
      <x:c r="F715" s="51" t="str">
        <x:v>echelon</x:v>
      </x:c>
      <x:c r="G715" s="51" t="str">
        <x:v>惠州市恒创睿能环保科技有限公司</x:v>
      </x:c>
      <x:c r="H715" s="52" t="n">
        <x:v>148.87711821877198</x:v>
      </x:c>
      <x:c r="I715" s="52" t="n">
        <x:v>146.90079999999998</x:v>
      </x:c>
      <x:c r="J715" s="52" t="n">
        <x:v>116.59666666666666</x:v>
      </x:c>
      <x:c r="K715" s="52" t="n">
        <x:f>IFERROR(I715/H715,"")</x:f>
        <x:v>0.986725171454032</x:v>
      </x:c>
      <x:c r="L715" s="52" t="n">
        <x:v>300</x:v>
      </x:c>
      <x:c r="M715" s="65" t="n">
        <x:f>IF(H715&lt;=L715,1,0)</x:f>
        <x:v>1</x:v>
      </x:c>
      <x:c r="N715" s="65" t="n">
        <x:f>IF(I715&lt;=L715,1,0)</x:f>
        <x:v>1</x:v>
      </x:c>
      <x:c r="O715" s="51" t="str">
        <x:f>IF(M715=N715,"不变",IF(N715=1,"由禁变允","由允变禁"))</x:f>
        <x:v>不变</x:v>
      </x:c>
      <x:c r="P715" s="51" t="str">
        <x:v>OSRM driving/car</x:v>
      </x:c>
      <x:c r="Q715" s="51" t="str">
        <x:v>2026-08-15</x:v>
      </x:c>
      <x:c r="R715" s="51" t="str">
        <x:v>C-开放路网计算；不是货车/危运合规路线</x:v>
      </x:c>
      <x:c r="S715" s="51" t="str">
        <x:v>https://routing.openstreetmap.de/routed-car/</x:v>
      </x:c>
    </x:row>
    <x:row r="716">
      <x:c r="A716" s="51" t="str">
        <x:v>A0712</x:v>
      </x:c>
      <x:c r="B716" s="51" t="str">
        <x:v>C12</x:v>
      </x:c>
      <x:c r="C716" s="51" t="str">
        <x:v>collection</x:v>
      </x:c>
      <x:c r="D716" s="51" t="str">
        <x:v>中山虚拟回收/检测中心</x:v>
      </x:c>
      <x:c r="E716" s="51" t="str">
        <x:v>P06</x:v>
      </x:c>
      <x:c r="F716" s="51" t="str">
        <x:v>echelon</x:v>
      </x:c>
      <x:c r="G716" s="51" t="str">
        <x:v>江门市朗达锂电池有限公司</x:v>
      </x:c>
      <x:c r="H716" s="52" t="n">
        <x:v>39.22129266425868</x:v>
      </x:c>
      <x:c r="I716" s="52" t="n">
        <x:v>39.5464</x:v>
      </x:c>
      <x:c r="J716" s="52" t="n">
        <x:v>35.535</x:v>
      </x:c>
      <x:c r="K716" s="52" t="n">
        <x:f>IFERROR(I716/H716,"")</x:f>
        <x:v>1.0082890520341667</x:v>
      </x:c>
      <x:c r="L716" s="52" t="n">
        <x:v>300</x:v>
      </x:c>
      <x:c r="M716" s="65" t="n">
        <x:f>IF(H716&lt;=L716,1,0)</x:f>
        <x:v>1</x:v>
      </x:c>
      <x:c r="N716" s="65" t="n">
        <x:f>IF(I716&lt;=L716,1,0)</x:f>
        <x:v>1</x:v>
      </x:c>
      <x:c r="O716" s="51" t="str">
        <x:f>IF(M716=N716,"不变",IF(N716=1,"由禁变允","由允变禁"))</x:f>
        <x:v>不变</x:v>
      </x:c>
      <x:c r="P716" s="51" t="str">
        <x:v>OSRM driving/car</x:v>
      </x:c>
      <x:c r="Q716" s="51" t="str">
        <x:v>2026-08-15</x:v>
      </x:c>
      <x:c r="R716" s="51" t="str">
        <x:v>C-开放路网计算；不是货车/危运合规路线</x:v>
      </x:c>
      <x:c r="S716" s="51" t="str">
        <x:v>https://routing.openstreetmap.de/routed-car/</x:v>
      </x:c>
    </x:row>
    <x:row r="717">
      <x:c r="A717" s="51" t="str">
        <x:v>A0713</x:v>
      </x:c>
      <x:c r="B717" s="51" t="str">
        <x:v>C12</x:v>
      </x:c>
      <x:c r="C717" s="51" t="str">
        <x:v>collection</x:v>
      </x:c>
      <x:c r="D717" s="51" t="str">
        <x:v>中山虚拟回收/检测中心</x:v>
      </x:c>
      <x:c r="E717" s="51" t="str">
        <x:v>P07</x:v>
      </x:c>
      <x:c r="F717" s="51" t="str">
        <x:v>echelon</x:v>
      </x:c>
      <x:c r="G717" s="51" t="str">
        <x:v>广东迪度新能源有限公司</x:v>
      </x:c>
      <x:c r="H717" s="52" t="n">
        <x:v>79.79519060047858</x:v>
      </x:c>
      <x:c r="I717" s="52" t="n">
        <x:v>81.4106</x:v>
      </x:c>
      <x:c r="J717" s="52" t="n">
        <x:v>72.66000000000001</x:v>
      </x:c>
      <x:c r="K717" s="52" t="n">
        <x:f>IFERROR(I717/H717,"")</x:f>
        <x:v>1.020244445653492</x:v>
      </x:c>
      <x:c r="L717" s="52" t="n">
        <x:v>300</x:v>
      </x:c>
      <x:c r="M717" s="65" t="n">
        <x:f>IF(H717&lt;=L717,1,0)</x:f>
        <x:v>1</x:v>
      </x:c>
      <x:c r="N717" s="65" t="n">
        <x:f>IF(I717&lt;=L717,1,0)</x:f>
        <x:v>1</x:v>
      </x:c>
      <x:c r="O717" s="51" t="str">
        <x:f>IF(M717=N717,"不变",IF(N717=1,"由禁变允","由允变禁"))</x:f>
        <x:v>不变</x:v>
      </x:c>
      <x:c r="P717" s="51" t="str">
        <x:v>OSRM driving/car</x:v>
      </x:c>
      <x:c r="Q717" s="51" t="str">
        <x:v>2026-08-15</x:v>
      </x:c>
      <x:c r="R717" s="51" t="str">
        <x:v>C-开放路网计算；不是货车/危运合规路线</x:v>
      </x:c>
      <x:c r="S717" s="51" t="str">
        <x:v>https://routing.openstreetmap.de/routed-car/</x:v>
      </x:c>
    </x:row>
    <x:row r="718">
      <x:c r="A718" s="51" t="str">
        <x:v>A0714</x:v>
      </x:c>
      <x:c r="B718" s="51" t="str">
        <x:v>C12</x:v>
      </x:c>
      <x:c r="C718" s="51" t="str">
        <x:v>collection</x:v>
      </x:c>
      <x:c r="D718" s="51" t="str">
        <x:v>中山虚拟回收/检测中心</x:v>
      </x:c>
      <x:c r="E718" s="51" t="str">
        <x:v>P08</x:v>
      </x:c>
      <x:c r="F718" s="51" t="str">
        <x:v>echelon</x:v>
      </x:c>
      <x:c r="G718" s="51" t="str">
        <x:v>东莞市博森新能源有限公司</x:v>
      </x:c>
      <x:c r="H718" s="52" t="n">
        <x:v>79.79519060047858</x:v>
      </x:c>
      <x:c r="I718" s="52" t="n">
        <x:v>81.4106</x:v>
      </x:c>
      <x:c r="J718" s="52" t="n">
        <x:v>72.66000000000001</x:v>
      </x:c>
      <x:c r="K718" s="52" t="n">
        <x:f>IFERROR(I718/H718,"")</x:f>
        <x:v>1.020244445653492</x:v>
      </x:c>
      <x:c r="L718" s="52" t="n">
        <x:v>300</x:v>
      </x:c>
      <x:c r="M718" s="65" t="n">
        <x:f>IF(H718&lt;=L718,1,0)</x:f>
        <x:v>1</x:v>
      </x:c>
      <x:c r="N718" s="65" t="n">
        <x:f>IF(I718&lt;=L718,1,0)</x:f>
        <x:v>1</x:v>
      </x:c>
      <x:c r="O718" s="51" t="str">
        <x:f>IF(M718=N718,"不变",IF(N718=1,"由禁变允","由允变禁"))</x:f>
        <x:v>不变</x:v>
      </x:c>
      <x:c r="P718" s="51" t="str">
        <x:v>OSRM driving/car</x:v>
      </x:c>
      <x:c r="Q718" s="51" t="str">
        <x:v>2026-08-15</x:v>
      </x:c>
      <x:c r="R718" s="51" t="str">
        <x:v>C-开放路网计算；不是货车/危运合规路线</x:v>
      </x:c>
      <x:c r="S718" s="51" t="str">
        <x:v>https://routing.openstreetmap.de/routed-car/</x:v>
      </x:c>
    </x:row>
    <x:row r="719">
      <x:c r="A719" s="51" t="str">
        <x:v>A0715</x:v>
      </x:c>
      <x:c r="B719" s="51" t="str">
        <x:v>C12</x:v>
      </x:c>
      <x:c r="C719" s="51" t="str">
        <x:v>collection</x:v>
      </x:c>
      <x:c r="D719" s="51" t="str">
        <x:v>中山虚拟回收/检测中心</x:v>
      </x:c>
      <x:c r="E719" s="51" t="str">
        <x:v>P09</x:v>
      </x:c>
      <x:c r="F719" s="51" t="str">
        <x:v>echelon</x:v>
      </x:c>
      <x:c r="G719" s="51" t="str">
        <x:v>广东宇阳新能源有限公司</x:v>
      </x:c>
      <x:c r="H719" s="52" t="n">
        <x:v>79.79519060047858</x:v>
      </x:c>
      <x:c r="I719" s="52" t="n">
        <x:v>81.4106</x:v>
      </x:c>
      <x:c r="J719" s="52" t="n">
        <x:v>72.66000000000001</x:v>
      </x:c>
      <x:c r="K719" s="52" t="n">
        <x:f>IFERROR(I719/H719,"")</x:f>
        <x:v>1.020244445653492</x:v>
      </x:c>
      <x:c r="L719" s="52" t="n">
        <x:v>300</x:v>
      </x:c>
      <x:c r="M719" s="65" t="n">
        <x:f>IF(H719&lt;=L719,1,0)</x:f>
        <x:v>1</x:v>
      </x:c>
      <x:c r="N719" s="65" t="n">
        <x:f>IF(I719&lt;=L719,1,0)</x:f>
        <x:v>1</x:v>
      </x:c>
      <x:c r="O719" s="51" t="str">
        <x:f>IF(M719=N719,"不变",IF(N719=1,"由禁变允","由允变禁"))</x:f>
        <x:v>不变</x:v>
      </x:c>
      <x:c r="P719" s="51" t="str">
        <x:v>OSRM driving/car</x:v>
      </x:c>
      <x:c r="Q719" s="51" t="str">
        <x:v>2026-08-15</x:v>
      </x:c>
      <x:c r="R719" s="51" t="str">
        <x:v>C-开放路网计算；不是货车/危运合规路线</x:v>
      </x:c>
      <x:c r="S719" s="51" t="str">
        <x:v>https://routing.openstreetmap.de/routed-car/</x:v>
      </x:c>
    </x:row>
    <x:row r="720">
      <x:c r="A720" s="51" t="str">
        <x:v>A0716</x:v>
      </x:c>
      <x:c r="B720" s="51" t="str">
        <x:v>C12</x:v>
      </x:c>
      <x:c r="C720" s="51" t="str">
        <x:v>collection</x:v>
      </x:c>
      <x:c r="D720" s="51" t="str">
        <x:v>中山虚拟回收/检测中心</x:v>
      </x:c>
      <x:c r="E720" s="51" t="str">
        <x:v>P10</x:v>
      </x:c>
      <x:c r="F720" s="51" t="str">
        <x:v>echelon</x:v>
      </x:c>
      <x:c r="G720" s="51" t="str">
        <x:v>广州广汽商贸再生资源有限公司</x:v>
      </x:c>
      <x:c r="H720" s="52" t="n">
        <x:v>82.79613442153406</x:v>
      </x:c>
      <x:c r="I720" s="52" t="n">
        <x:v>82.532</x:v>
      </x:c>
      <x:c r="J720" s="52" t="n">
        <x:v>63.019999999999996</x:v>
      </x:c>
      <x:c r="K720" s="52" t="n">
        <x:f>IFERROR(I720/H720,"")</x:f>
        <x:v>0.9968098218186214</x:v>
      </x:c>
      <x:c r="L720" s="52" t="n">
        <x:v>300</x:v>
      </x:c>
      <x:c r="M720" s="65" t="n">
        <x:f>IF(H720&lt;=L720,1,0)</x:f>
        <x:v>1</x:v>
      </x:c>
      <x:c r="N720" s="65" t="n">
        <x:f>IF(I720&lt;=L720,1,0)</x:f>
        <x:v>1</x:v>
      </x:c>
      <x:c r="O720" s="51" t="str">
        <x:f>IF(M720=N720,"不变",IF(N720=1,"由禁变允","由允变禁"))</x:f>
        <x:v>不变</x:v>
      </x:c>
      <x:c r="P720" s="51" t="str">
        <x:v>OSRM driving/car</x:v>
      </x:c>
      <x:c r="Q720" s="51" t="str">
        <x:v>2026-08-15</x:v>
      </x:c>
      <x:c r="R720" s="51" t="str">
        <x:v>C-开放路网计算；不是货车/危运合规路线</x:v>
      </x:c>
      <x:c r="S720" s="51" t="str">
        <x:v>https://routing.openstreetmap.de/routed-car/</x:v>
      </x:c>
    </x:row>
    <x:row r="721">
      <x:c r="A721" s="51" t="str">
        <x:v>A0717</x:v>
      </x:c>
      <x:c r="B721" s="51" t="str">
        <x:v>C12</x:v>
      </x:c>
      <x:c r="C721" s="51" t="str">
        <x:v>collection</x:v>
      </x:c>
      <x:c r="D721" s="51" t="str">
        <x:v>中山虚拟回收/检测中心</x:v>
      </x:c>
      <x:c r="E721" s="51" t="str">
        <x:v>P11</x:v>
      </x:c>
      <x:c r="F721" s="51" t="str">
        <x:v>echelon</x:v>
      </x:c>
      <x:c r="G721" s="51" t="str">
        <x:v>深圳市杰成镍钴新能源科技有限公司</x:v>
      </x:c>
      <x:c r="H721" s="52" t="n">
        <x:v>82.31192214368541</x:v>
      </x:c>
      <x:c r="I721" s="52" t="n">
        <x:v>85.22619999999999</x:v>
      </x:c>
      <x:c r="J721" s="52" t="n">
        <x:v>68.96166666666666</x:v>
      </x:c>
      <x:c r="K721" s="52" t="n">
        <x:f>IFERROR(I721/H721,"")</x:f>
        <x:v>1.0354052946452563</x:v>
      </x:c>
      <x:c r="L721" s="52" t="n">
        <x:v>300</x:v>
      </x:c>
      <x:c r="M721" s="65" t="n">
        <x:f>IF(H721&lt;=L721,1,0)</x:f>
        <x:v>1</x:v>
      </x:c>
      <x:c r="N721" s="65" t="n">
        <x:f>IF(I721&lt;=L721,1,0)</x:f>
        <x:v>1</x:v>
      </x:c>
      <x:c r="O721" s="51" t="str">
        <x:f>IF(M721=N721,"不变",IF(N721=1,"由禁变允","由允变禁"))</x:f>
        <x:v>不变</x:v>
      </x:c>
      <x:c r="P721" s="51" t="str">
        <x:v>OSRM driving/car</x:v>
      </x:c>
      <x:c r="Q721" s="51" t="str">
        <x:v>2026-08-15</x:v>
      </x:c>
      <x:c r="R721" s="51" t="str">
        <x:v>C-开放路网计算；不是货车/危运合规路线</x:v>
      </x:c>
      <x:c r="S721" s="51" t="str">
        <x:v>https://routing.openstreetmap.de/routed-car/</x:v>
      </x:c>
    </x:row>
    <x:row r="722">
      <x:c r="A722" s="51" t="str">
        <x:v>A0718</x:v>
      </x:c>
      <x:c r="B722" s="51" t="str">
        <x:v>C12</x:v>
      </x:c>
      <x:c r="C722" s="51" t="str">
        <x:v>collection</x:v>
      </x:c>
      <x:c r="D722" s="51" t="str">
        <x:v>中山虚拟回收/检测中心</x:v>
      </x:c>
      <x:c r="E722" s="51" t="str">
        <x:v>P12</x:v>
      </x:c>
      <x:c r="F722" s="51" t="str">
        <x:v>recycling</x:v>
      </x:c>
      <x:c r="G722" s="51" t="str">
        <x:v>江门市恒创睿能环保科技有限公司</x:v>
      </x:c>
      <x:c r="H722" s="52" t="n">
        <x:v>39.22129266425868</x:v>
      </x:c>
      <x:c r="I722" s="52" t="n">
        <x:v>39.5464</x:v>
      </x:c>
      <x:c r="J722" s="52" t="n">
        <x:v>35.535</x:v>
      </x:c>
      <x:c r="K722" s="52" t="n">
        <x:f>IFERROR(I722/H722,"")</x:f>
        <x:v>1.0082890520341667</x:v>
      </x:c>
      <x:c r="L722" s="52" t="n">
        <x:v>400</x:v>
      </x:c>
      <x:c r="M722" s="65" t="n">
        <x:f>IF(H722&lt;=L722,1,0)</x:f>
        <x:v>1</x:v>
      </x:c>
      <x:c r="N722" s="65" t="n">
        <x:f>IF(I722&lt;=L722,1,0)</x:f>
        <x:v>1</x:v>
      </x:c>
      <x:c r="O722" s="51" t="str">
        <x:f>IF(M722=N722,"不变",IF(N722=1,"由禁变允","由允变禁"))</x:f>
        <x:v>不变</x:v>
      </x:c>
      <x:c r="P722" s="51" t="str">
        <x:v>OSRM driving/car</x:v>
      </x:c>
      <x:c r="Q722" s="51" t="str">
        <x:v>2026-08-15</x:v>
      </x:c>
      <x:c r="R722" s="51" t="str">
        <x:v>C-开放路网计算；不是货车/危运合规路线</x:v>
      </x:c>
      <x:c r="S722" s="51" t="str">
        <x:v>https://routing.openstreetmap.de/routed-car/</x:v>
      </x:c>
    </x:row>
    <x:row r="723">
      <x:c r="A723" s="51" t="str">
        <x:v>A0719</x:v>
      </x:c>
      <x:c r="B723" s="51" t="str">
        <x:v>C12</x:v>
      </x:c>
      <x:c r="C723" s="51" t="str">
        <x:v>collection</x:v>
      </x:c>
      <x:c r="D723" s="51" t="str">
        <x:v>中山虚拟回收/检测中心</x:v>
      </x:c>
      <x:c r="E723" s="51" t="str">
        <x:v>P13</x:v>
      </x:c>
      <x:c r="F723" s="51" t="str">
        <x:v>recycling</x:v>
      </x:c>
      <x:c r="G723" s="51" t="str">
        <x:v>广东佳纳能源科技有限公司</x:v>
      </x:c>
      <x:c r="H723" s="52" t="n">
        <x:v>160.66540404712987</x:v>
      </x:c>
      <x:c r="I723" s="52" t="n">
        <x:v>156.5989</x:v>
      </x:c>
      <x:c r="J723" s="52" t="n">
        <x:v>117.08999999999999</x:v>
      </x:c>
      <x:c r="K723" s="52" t="n">
        <x:f>IFERROR(I723/H723,"")</x:f>
        <x:v>0.9746896099303556</x:v>
      </x:c>
      <x:c r="L723" s="52" t="n">
        <x:v>400</x:v>
      </x:c>
      <x:c r="M723" s="65" t="n">
        <x:f>IF(H723&lt;=L723,1,0)</x:f>
        <x:v>1</x:v>
      </x:c>
      <x:c r="N723" s="65" t="n">
        <x:f>IF(I723&lt;=L723,1,0)</x:f>
        <x:v>1</x:v>
      </x:c>
      <x:c r="O723" s="51" t="str">
        <x:f>IF(M723=N723,"不变",IF(N723=1,"由禁变允","由允变禁"))</x:f>
        <x:v>不变</x:v>
      </x:c>
      <x:c r="P723" s="51" t="str">
        <x:v>OSRM driving/car</x:v>
      </x:c>
      <x:c r="Q723" s="51" t="str">
        <x:v>2026-08-15</x:v>
      </x:c>
      <x:c r="R723" s="51" t="str">
        <x:v>C-开放路网计算；不是货车/危运合规路线</x:v>
      </x:c>
      <x:c r="S723" s="51" t="str">
        <x:v>https://routing.openstreetmap.de/routed-car/</x:v>
      </x:c>
    </x:row>
    <x:row r="724">
      <x:c r="A724" s="51" t="str">
        <x:v>A0720</x:v>
      </x:c>
      <x:c r="B724" s="51" t="str">
        <x:v>C12</x:v>
      </x:c>
      <x:c r="C724" s="51" t="str">
        <x:v>collection</x:v>
      </x:c>
      <x:c r="D724" s="51" t="str">
        <x:v>中山虚拟回收/检测中心</x:v>
      </x:c>
      <x:c r="E724" s="51" t="str">
        <x:v>P14</x:v>
      </x:c>
      <x:c r="F724" s="51" t="str">
        <x:v>echelon</x:v>
      </x:c>
      <x:c r="G724" s="51" t="str">
        <x:v>格林美（深圳）循环科技有限公司</x:v>
      </x:c>
      <x:c r="H724" s="52" t="n">
        <x:v>82.31192214368541</x:v>
      </x:c>
      <x:c r="I724" s="52" t="n">
        <x:v>85.22619999999999</x:v>
      </x:c>
      <x:c r="J724" s="52" t="n">
        <x:v>68.96166666666666</x:v>
      </x:c>
      <x:c r="K724" s="52" t="n">
        <x:f>IFERROR(I724/H724,"")</x:f>
        <x:v>1.0354052946452563</x:v>
      </x:c>
      <x:c r="L724" s="52" t="n">
        <x:v>300</x:v>
      </x:c>
      <x:c r="M724" s="65" t="n">
        <x:f>IF(H724&lt;=L724,1,0)</x:f>
        <x:v>1</x:v>
      </x:c>
      <x:c r="N724" s="65" t="n">
        <x:f>IF(I724&lt;=L724,1,0)</x:f>
        <x:v>1</x:v>
      </x:c>
      <x:c r="O724" s="51" t="str">
        <x:f>IF(M724=N724,"不变",IF(N724=1,"由禁变允","由允变禁"))</x:f>
        <x:v>不变</x:v>
      </x:c>
      <x:c r="P724" s="51" t="str">
        <x:v>OSRM driving/car</x:v>
      </x:c>
      <x:c r="Q724" s="51" t="str">
        <x:v>2026-08-15</x:v>
      </x:c>
      <x:c r="R724" s="51" t="str">
        <x:v>C-开放路网计算；不是货车/危运合规路线</x:v>
      </x:c>
      <x:c r="S724" s="51" t="str">
        <x:v>https://routing.openstreetmap.de/routed-car/</x:v>
      </x:c>
    </x:row>
    <x:row r="725">
      <x:c r="A725" s="51" t="str">
        <x:v>A0721</x:v>
      </x:c>
      <x:c r="B725" s="51" t="str">
        <x:v>C12</x:v>
      </x:c>
      <x:c r="C725" s="51" t="str">
        <x:v>collection</x:v>
      </x:c>
      <x:c r="D725" s="51" t="str">
        <x:v>中山虚拟回收/检测中心</x:v>
      </x:c>
      <x:c r="E725" s="51" t="str">
        <x:v>P15</x:v>
      </x:c>
      <x:c r="F725" s="51" t="str">
        <x:v>echelon</x:v>
      </x:c>
      <x:c r="G725" s="51" t="str">
        <x:v>绿循新能源科技（佛山）有限责任公司</x:v>
      </x:c>
      <x:c r="H725" s="52" t="n">
        <x:v>75.10964913262345</x:v>
      </x:c>
      <x:c r="I725" s="52" t="n">
        <x:v>75.559</x:v>
      </x:c>
      <x:c r="J725" s="52" t="n">
        <x:v>59.56166666666666</x:v>
      </x:c>
      <x:c r="K725" s="52" t="n">
        <x:f>IFERROR(I725/H725,"")</x:f>
        <x:v>1.0059825984086694</x:v>
      </x:c>
      <x:c r="L725" s="52" t="n">
        <x:v>300</x:v>
      </x:c>
      <x:c r="M725" s="65" t="n">
        <x:f>IF(H725&lt;=L725,1,0)</x:f>
        <x:v>1</x:v>
      </x:c>
      <x:c r="N725" s="65" t="n">
        <x:f>IF(I725&lt;=L725,1,0)</x:f>
        <x:v>1</x:v>
      </x:c>
      <x:c r="O725" s="51" t="str">
        <x:f>IF(M725=N725,"不变",IF(N725=1,"由禁变允","由允变禁"))</x:f>
        <x:v>不变</x:v>
      </x:c>
      <x:c r="P725" s="51" t="str">
        <x:v>OSRM driving/car</x:v>
      </x:c>
      <x:c r="Q725" s="51" t="str">
        <x:v>2026-08-15</x:v>
      </x:c>
      <x:c r="R725" s="51" t="str">
        <x:v>C-开放路网计算；不是货车/危运合规路线</x:v>
      </x:c>
      <x:c r="S725" s="51" t="str">
        <x:v>https://routing.openstreetmap.de/routed-car/</x:v>
      </x:c>
    </x:row>
    <x:row r="726">
      <x:c r="A726" s="51" t="str">
        <x:v>A0722</x:v>
      </x:c>
      <x:c r="B726" s="51" t="str">
        <x:v>C12</x:v>
      </x:c>
      <x:c r="C726" s="51" t="str">
        <x:v>collection</x:v>
      </x:c>
      <x:c r="D726" s="51" t="str">
        <x:v>中山虚拟回收/检测中心</x:v>
      </x:c>
      <x:c r="E726" s="51" t="str">
        <x:v>P16</x:v>
      </x:c>
      <x:c r="F726" s="51" t="str">
        <x:v>echelon</x:v>
      </x:c>
      <x:c r="G726" s="51" t="str">
        <x:v>深圳艾云动智慧科技有限公司</x:v>
      </x:c>
      <x:c r="H726" s="52" t="n">
        <x:v>82.31192214368541</x:v>
      </x:c>
      <x:c r="I726" s="52" t="n">
        <x:v>85.22619999999999</x:v>
      </x:c>
      <x:c r="J726" s="52" t="n">
        <x:v>68.96166666666666</x:v>
      </x:c>
      <x:c r="K726" s="52" t="n">
        <x:f>IFERROR(I726/H726,"")</x:f>
        <x:v>1.0354052946452563</x:v>
      </x:c>
      <x:c r="L726" s="52" t="n">
        <x:v>300</x:v>
      </x:c>
      <x:c r="M726" s="65" t="n">
        <x:f>IF(H726&lt;=L726,1,0)</x:f>
        <x:v>1</x:v>
      </x:c>
      <x:c r="N726" s="65" t="n">
        <x:f>IF(I726&lt;=L726,1,0)</x:f>
        <x:v>1</x:v>
      </x:c>
      <x:c r="O726" s="51" t="str">
        <x:f>IF(M726=N726,"不变",IF(N726=1,"由禁变允","由允变禁"))</x:f>
        <x:v>不变</x:v>
      </x:c>
      <x:c r="P726" s="51" t="str">
        <x:v>OSRM driving/car</x:v>
      </x:c>
      <x:c r="Q726" s="51" t="str">
        <x:v>2026-08-15</x:v>
      </x:c>
      <x:c r="R726" s="51" t="str">
        <x:v>C-开放路网计算；不是货车/危运合规路线</x:v>
      </x:c>
      <x:c r="S726" s="51" t="str">
        <x:v>https://routing.openstreetmap.de/routed-car/</x:v>
      </x:c>
    </x:row>
    <x:row r="727">
      <x:c r="A727" s="51" t="str">
        <x:v>A0723</x:v>
      </x:c>
      <x:c r="B727" s="51" t="str">
        <x:v>C12</x:v>
      </x:c>
      <x:c r="C727" s="51" t="str">
        <x:v>collection</x:v>
      </x:c>
      <x:c r="D727" s="51" t="str">
        <x:v>中山虚拟回收/检测中心</x:v>
      </x:c>
      <x:c r="E727" s="51" t="str">
        <x:v>P17</x:v>
      </x:c>
      <x:c r="F727" s="51" t="str">
        <x:v>echelon</x:v>
      </x:c>
      <x:c r="G727" s="51" t="str">
        <x:v>深圳市荣高晟新能源科技有限公司</x:v>
      </x:c>
      <x:c r="H727" s="52" t="n">
        <x:v>82.31192214368541</x:v>
      </x:c>
      <x:c r="I727" s="52" t="n">
        <x:v>85.22619999999999</x:v>
      </x:c>
      <x:c r="J727" s="52" t="n">
        <x:v>68.96166666666666</x:v>
      </x:c>
      <x:c r="K727" s="52" t="n">
        <x:f>IFERROR(I727/H727,"")</x:f>
        <x:v>1.0354052946452563</x:v>
      </x:c>
      <x:c r="L727" s="52" t="n">
        <x:v>300</x:v>
      </x:c>
      <x:c r="M727" s="65" t="n">
        <x:f>IF(H727&lt;=L727,1,0)</x:f>
        <x:v>1</x:v>
      </x:c>
      <x:c r="N727" s="65" t="n">
        <x:f>IF(I727&lt;=L727,1,0)</x:f>
        <x:v>1</x:v>
      </x:c>
      <x:c r="O727" s="51" t="str">
        <x:f>IF(M727=N727,"不变",IF(N727=1,"由禁变允","由允变禁"))</x:f>
        <x:v>不变</x:v>
      </x:c>
      <x:c r="P727" s="51" t="str">
        <x:v>OSRM driving/car</x:v>
      </x:c>
      <x:c r="Q727" s="51" t="str">
        <x:v>2026-08-15</x:v>
      </x:c>
      <x:c r="R727" s="51" t="str">
        <x:v>C-开放路网计算；不是货车/危运合规路线</x:v>
      </x:c>
      <x:c r="S727" s="51" t="str">
        <x:v>https://routing.openstreetmap.de/routed-car/</x:v>
      </x:c>
    </x:row>
    <x:row r="728">
      <x:c r="A728" s="51" t="str">
        <x:v>A0724</x:v>
      </x:c>
      <x:c r="B728" s="51" t="str">
        <x:v>C12</x:v>
      </x:c>
      <x:c r="C728" s="51" t="str">
        <x:v>collection</x:v>
      </x:c>
      <x:c r="D728" s="51" t="str">
        <x:v>中山虚拟回收/检测中心</x:v>
      </x:c>
      <x:c r="E728" s="51" t="str">
        <x:v>P18</x:v>
      </x:c>
      <x:c r="F728" s="51" t="str">
        <x:v>echelon</x:v>
      </x:c>
      <x:c r="G728" s="51" t="str">
        <x:v>中商锂新能源科技（惠州）有限公司</x:v>
      </x:c>
      <x:c r="H728" s="52" t="n">
        <x:v>148.87711821877198</x:v>
      </x:c>
      <x:c r="I728" s="52" t="n">
        <x:v>146.90079999999998</x:v>
      </x:c>
      <x:c r="J728" s="52" t="n">
        <x:v>116.59666666666666</x:v>
      </x:c>
      <x:c r="K728" s="52" t="n">
        <x:f>IFERROR(I728/H728,"")</x:f>
        <x:v>0.986725171454032</x:v>
      </x:c>
      <x:c r="L728" s="52" t="n">
        <x:v>300</x:v>
      </x:c>
      <x:c r="M728" s="65" t="n">
        <x:f>IF(H728&lt;=L728,1,0)</x:f>
        <x:v>1</x:v>
      </x:c>
      <x:c r="N728" s="65" t="n">
        <x:f>IF(I728&lt;=L728,1,0)</x:f>
        <x:v>1</x:v>
      </x:c>
      <x:c r="O728" s="51" t="str">
        <x:f>IF(M728=N728,"不变",IF(N728=1,"由禁变允","由允变禁"))</x:f>
        <x:v>不变</x:v>
      </x:c>
      <x:c r="P728" s="51" t="str">
        <x:v>OSRM driving/car</x:v>
      </x:c>
      <x:c r="Q728" s="51" t="str">
        <x:v>2026-08-15</x:v>
      </x:c>
      <x:c r="R728" s="51" t="str">
        <x:v>C-开放路网计算；不是货车/危运合规路线</x:v>
      </x:c>
      <x:c r="S728" s="51" t="str">
        <x:v>https://routing.openstreetmap.de/routed-car/</x:v>
      </x:c>
    </x:row>
    <x:row r="729">
      <x:c r="A729" s="51" t="str">
        <x:v>A0725</x:v>
      </x:c>
      <x:c r="B729" s="51" t="str">
        <x:v>C12</x:v>
      </x:c>
      <x:c r="C729" s="51" t="str">
        <x:v>collection</x:v>
      </x:c>
      <x:c r="D729" s="51" t="str">
        <x:v>中山虚拟回收/检测中心</x:v>
      </x:c>
      <x:c r="E729" s="51" t="str">
        <x:v>P19</x:v>
      </x:c>
      <x:c r="F729" s="51" t="str">
        <x:v>recycling</x:v>
      </x:c>
      <x:c r="G729" s="51" t="str">
        <x:v>广东盛祥新材料科技有限公司</x:v>
      </x:c>
      <x:c r="H729" s="52" t="n">
        <x:v>312.80688178629845</x:v>
      </x:c>
      <x:c r="I729" s="52" t="n">
        <x:v>315.4167</x:v>
      </x:c>
      <x:c r="J729" s="52" t="n">
        <x:v>227.55333333333334</x:v>
      </x:c>
      <x:c r="K729" s="52" t="n">
        <x:f>IFERROR(I729/H729,"")</x:f>
        <x:v>1.0083432250556574</x:v>
      </x:c>
      <x:c r="L729" s="52" t="n">
        <x:v>400</x:v>
      </x:c>
      <x:c r="M729" s="65" t="n">
        <x:f>IF(H729&lt;=L729,1,0)</x:f>
        <x:v>1</x:v>
      </x:c>
      <x:c r="N729" s="65" t="n">
        <x:f>IF(I729&lt;=L729,1,0)</x:f>
        <x:v>1</x:v>
      </x:c>
      <x:c r="O729" s="51" t="str">
        <x:f>IF(M729=N729,"不变",IF(N729=1,"由禁变允","由允变禁"))</x:f>
        <x:v>不变</x:v>
      </x:c>
      <x:c r="P729" s="51" t="str">
        <x:v>OSRM driving/car</x:v>
      </x:c>
      <x:c r="Q729" s="51" t="str">
        <x:v>2026-08-15</x:v>
      </x:c>
      <x:c r="R729" s="51" t="str">
        <x:v>C-开放路网计算；不是货车/危运合规路线</x:v>
      </x:c>
      <x:c r="S729" s="51" t="str">
        <x:v>https://routing.openstreetmap.de/routed-car/</x:v>
      </x:c>
    </x:row>
    <x:row r="730">
      <x:c r="A730" s="51" t="str">
        <x:v>A0726</x:v>
      </x:c>
      <x:c r="B730" s="51" t="str">
        <x:v>C12</x:v>
      </x:c>
      <x:c r="C730" s="51" t="str">
        <x:v>collection</x:v>
      </x:c>
      <x:c r="D730" s="51" t="str">
        <x:v>中山虚拟回收/检测中心</x:v>
      </x:c>
      <x:c r="E730" s="51" t="str">
        <x:v>P20E</x:v>
      </x:c>
      <x:c r="F730" s="51" t="str">
        <x:v>echelon</x:v>
      </x:c>
      <x:c r="G730" s="51" t="str">
        <x:v>广东金晟新能源股份有限公司（梯次功能）</x:v>
      </x:c>
      <x:c r="H730" s="52" t="n">
        <x:v>134.2064883138392</x:v>
      </x:c>
      <x:c r="I730" s="52" t="n">
        <x:v>141.1441</x:v>
      </x:c>
      <x:c r="J730" s="52" t="n">
        <x:v>108.295</x:v>
      </x:c>
      <x:c r="K730" s="52" t="n">
        <x:f>IFERROR(I730/H730,"")</x:f>
        <x:v>1.051693563950033</x:v>
      </x:c>
      <x:c r="L730" s="52" t="n">
        <x:v>300</x:v>
      </x:c>
      <x:c r="M730" s="65" t="n">
        <x:f>IF(H730&lt;=L730,1,0)</x:f>
        <x:v>1</x:v>
      </x:c>
      <x:c r="N730" s="65" t="n">
        <x:f>IF(I730&lt;=L730,1,0)</x:f>
        <x:v>1</x:v>
      </x:c>
      <x:c r="O730" s="51" t="str">
        <x:f>IF(M730=N730,"不变",IF(N730=1,"由禁变允","由允变禁"))</x:f>
        <x:v>不变</x:v>
      </x:c>
      <x:c r="P730" s="51" t="str">
        <x:v>OSRM driving/car</x:v>
      </x:c>
      <x:c r="Q730" s="51" t="str">
        <x:v>2026-08-15</x:v>
      </x:c>
      <x:c r="R730" s="51" t="str">
        <x:v>C-开放路网计算；不是货车/危运合规路线</x:v>
      </x:c>
      <x:c r="S730" s="51" t="str">
        <x:v>https://routing.openstreetmap.de/routed-car/</x:v>
      </x:c>
    </x:row>
    <x:row r="731">
      <x:c r="A731" s="51" t="str">
        <x:v>A0727</x:v>
      </x:c>
      <x:c r="B731" s="51" t="str">
        <x:v>C12</x:v>
      </x:c>
      <x:c r="C731" s="51" t="str">
        <x:v>collection</x:v>
      </x:c>
      <x:c r="D731" s="51" t="str">
        <x:v>中山虚拟回收/检测中心</x:v>
      </x:c>
      <x:c r="E731" s="51" t="str">
        <x:v>P20R</x:v>
      </x:c>
      <x:c r="F731" s="51" t="str">
        <x:v>recycling</x:v>
      </x:c>
      <x:c r="G731" s="51" t="str">
        <x:v>广东金晟新能源股份有限公司（再生功能）</x:v>
      </x:c>
      <x:c r="H731" s="52" t="n">
        <x:v>134.2064883138392</x:v>
      </x:c>
      <x:c r="I731" s="52" t="n">
        <x:v>141.1441</x:v>
      </x:c>
      <x:c r="J731" s="52" t="n">
        <x:v>108.295</x:v>
      </x:c>
      <x:c r="K731" s="52" t="n">
        <x:f>IFERROR(I731/H731,"")</x:f>
        <x:v>1.051693563950033</x:v>
      </x:c>
      <x:c r="L731" s="52" t="n">
        <x:v>400</x:v>
      </x:c>
      <x:c r="M731" s="65" t="n">
        <x:f>IF(H731&lt;=L731,1,0)</x:f>
        <x:v>1</x:v>
      </x:c>
      <x:c r="N731" s="65" t="n">
        <x:f>IF(I731&lt;=L731,1,0)</x:f>
        <x:v>1</x:v>
      </x:c>
      <x:c r="O731" s="51" t="str">
        <x:f>IF(M731=N731,"不变",IF(N731=1,"由禁变允","由允变禁"))</x:f>
        <x:v>不变</x:v>
      </x:c>
      <x:c r="P731" s="51" t="str">
        <x:v>OSRM driving/car</x:v>
      </x:c>
      <x:c r="Q731" s="51" t="str">
        <x:v>2026-08-15</x:v>
      </x:c>
      <x:c r="R731" s="51" t="str">
        <x:v>C-开放路网计算；不是货车/危运合规路线</x:v>
      </x:c>
      <x:c r="S731" s="51" t="str">
        <x:v>https://routing.openstreetmap.de/routed-car/</x:v>
      </x:c>
    </x:row>
    <x:row r="732">
      <x:c r="A732" s="51" t="str">
        <x:v>A0728</x:v>
      </x:c>
      <x:c r="B732" s="51" t="str">
        <x:v>C12</x:v>
      </x:c>
      <x:c r="C732" s="51" t="str">
        <x:v>collection</x:v>
      </x:c>
      <x:c r="D732" s="51" t="str">
        <x:v>中山虚拟回收/检测中心</x:v>
      </x:c>
      <x:c r="E732" s="51" t="str">
        <x:v>P21E</x:v>
      </x:c>
      <x:c r="F732" s="51" t="str">
        <x:v>echelon</x:v>
      </x:c>
      <x:c r="G732" s="51" t="str">
        <x:v>广东瑞科美电源技术有限公司（梯次功能）</x:v>
      </x:c>
      <x:c r="H732" s="52" t="n">
        <x:v>75.10964913262345</x:v>
      </x:c>
      <x:c r="I732" s="52" t="n">
        <x:v>75.559</x:v>
      </x:c>
      <x:c r="J732" s="52" t="n">
        <x:v>59.56166666666666</x:v>
      </x:c>
      <x:c r="K732" s="52" t="n">
        <x:f>IFERROR(I732/H732,"")</x:f>
        <x:v>1.0059825984086694</x:v>
      </x:c>
      <x:c r="L732" s="52" t="n">
        <x:v>300</x:v>
      </x:c>
      <x:c r="M732" s="65" t="n">
        <x:f>IF(H732&lt;=L732,1,0)</x:f>
        <x:v>1</x:v>
      </x:c>
      <x:c r="N732" s="65" t="n">
        <x:f>IF(I732&lt;=L732,1,0)</x:f>
        <x:v>1</x:v>
      </x:c>
      <x:c r="O732" s="51" t="str">
        <x:f>IF(M732=N732,"不变",IF(N732=1,"由禁变允","由允变禁"))</x:f>
        <x:v>不变</x:v>
      </x:c>
      <x:c r="P732" s="51" t="str">
        <x:v>OSRM driving/car</x:v>
      </x:c>
      <x:c r="Q732" s="51" t="str">
        <x:v>2026-08-15</x:v>
      </x:c>
      <x:c r="R732" s="51" t="str">
        <x:v>C-开放路网计算；不是货车/危运合规路线</x:v>
      </x:c>
      <x:c r="S732" s="51" t="str">
        <x:v>https://routing.openstreetmap.de/routed-car/</x:v>
      </x:c>
    </x:row>
    <x:row r="733">
      <x:c r="A733" s="51" t="str">
        <x:v>A0729</x:v>
      </x:c>
      <x:c r="B733" s="51" t="str">
        <x:v>C12</x:v>
      </x:c>
      <x:c r="C733" s="51" t="str">
        <x:v>collection</x:v>
      </x:c>
      <x:c r="D733" s="51" t="str">
        <x:v>中山虚拟回收/检测中心</x:v>
      </x:c>
      <x:c r="E733" s="51" t="str">
        <x:v>P21R</x:v>
      </x:c>
      <x:c r="F733" s="51" t="str">
        <x:v>recycling</x:v>
      </x:c>
      <x:c r="G733" s="51" t="str">
        <x:v>广东瑞科美电源技术有限公司（再生功能）</x:v>
      </x:c>
      <x:c r="H733" s="52" t="n">
        <x:v>75.10964913262345</x:v>
      </x:c>
      <x:c r="I733" s="52" t="n">
        <x:v>75.559</x:v>
      </x:c>
      <x:c r="J733" s="52" t="n">
        <x:v>59.56166666666666</x:v>
      </x:c>
      <x:c r="K733" s="52" t="n">
        <x:f>IFERROR(I733/H733,"")</x:f>
        <x:v>1.0059825984086694</x:v>
      </x:c>
      <x:c r="L733" s="52" t="n">
        <x:v>400</x:v>
      </x:c>
      <x:c r="M733" s="65" t="n">
        <x:f>IF(H733&lt;=L733,1,0)</x:f>
        <x:v>1</x:v>
      </x:c>
      <x:c r="N733" s="65" t="n">
        <x:f>IF(I733&lt;=L733,1,0)</x:f>
        <x:v>1</x:v>
      </x:c>
      <x:c r="O733" s="51" t="str">
        <x:f>IF(M733=N733,"不变",IF(N733=1,"由禁变允","由允变禁"))</x:f>
        <x:v>不变</x:v>
      </x:c>
      <x:c r="P733" s="51" t="str">
        <x:v>OSRM driving/car</x:v>
      </x:c>
      <x:c r="Q733" s="51" t="str">
        <x:v>2026-08-15</x:v>
      </x:c>
      <x:c r="R733" s="51" t="str">
        <x:v>C-开放路网计算；不是货车/危运合规路线</x:v>
      </x:c>
      <x:c r="S733" s="51" t="str">
        <x:v>https://routing.openstreetmap.de/routed-car/</x:v>
      </x:c>
    </x:row>
    <x:row r="734">
      <x:c r="A734" s="51" t="str">
        <x:v>A0730</x:v>
      </x:c>
      <x:c r="B734" s="51" t="str">
        <x:v>C13</x:v>
      </x:c>
      <x:c r="C734" s="51" t="str">
        <x:v>collection</x:v>
      </x:c>
      <x:c r="D734" s="51" t="str">
        <x:v>江门虚拟回收/检测中心</x:v>
      </x:c>
      <x:c r="E734" s="51" t="str">
        <x:v>P01</x:v>
      </x:c>
      <x:c r="F734" s="51" t="str">
        <x:v>recycling</x:v>
      </x:c>
      <x:c r="G734" s="51" t="str">
        <x:v>汕尾比亚迪废旧动力电池回收项目</x:v>
      </x:c>
      <x:c r="H734" s="52" t="n">
        <x:v>281.8818022594885</x:v>
      </x:c>
      <x:c r="I734" s="52" t="n">
        <x:v>280.0438</x:v>
      </x:c>
      <x:c r="J734" s="52" t="n">
        <x:v>199.225</x:v>
      </x:c>
      <x:c r="K734" s="52" t="n">
        <x:f>IFERROR(I734/H734,"")</x:f>
        <x:v>0.9934795284947251</x:v>
      </x:c>
      <x:c r="L734" s="52" t="n">
        <x:v>400</x:v>
      </x:c>
      <x:c r="M734" s="65" t="n">
        <x:f>IF(H734&lt;=L734,1,0)</x:f>
        <x:v>1</x:v>
      </x:c>
      <x:c r="N734" s="65" t="n">
        <x:f>IF(I734&lt;=L734,1,0)</x:f>
        <x:v>1</x:v>
      </x:c>
      <x:c r="O734" s="51" t="str">
        <x:f>IF(M734=N734,"不变",IF(N734=1,"由禁变允","由允变禁"))</x:f>
        <x:v>不变</x:v>
      </x:c>
      <x:c r="P734" s="51" t="str">
        <x:v>OSRM driving/car</x:v>
      </x:c>
      <x:c r="Q734" s="51" t="str">
        <x:v>2026-08-15</x:v>
      </x:c>
      <x:c r="R734" s="51" t="str">
        <x:v>C-开放路网计算；不是货车/危运合规路线</x:v>
      </x:c>
      <x:c r="S734" s="51" t="str">
        <x:v>https://routing.openstreetmap.de/routed-car/</x:v>
      </x:c>
    </x:row>
    <x:row r="735">
      <x:c r="A735" s="51" t="str">
        <x:v>A0731</x:v>
      </x:c>
      <x:c r="B735" s="51" t="str">
        <x:v>C13</x:v>
      </x:c>
      <x:c r="C735" s="51" t="str">
        <x:v>collection</x:v>
      </x:c>
      <x:c r="D735" s="51" t="str">
        <x:v>江门虚拟回收/检测中心</x:v>
      </x:c>
      <x:c r="E735" s="51" t="str">
        <x:v>P02E</x:v>
      </x:c>
      <x:c r="F735" s="51" t="str">
        <x:v>echelon</x:v>
      </x:c>
      <x:c r="G735" s="51" t="str">
        <x:v>广东光华科技股份有限公司（梯次功能）</x:v>
      </x:c>
      <x:c r="H735" s="52" t="n">
        <x:v>454.35854812853415</x:v>
      </x:c>
      <x:c r="I735" s="52" t="n">
        <x:v>451.7913</x:v>
      </x:c>
      <x:c r="J735" s="52" t="n">
        <x:v>316.22833333333335</x:v>
      </x:c>
      <x:c r="K735" s="52" t="n">
        <x:f>IFERROR(I735/H735,"")</x:f>
        <x:v>0.9943497307597525</x:v>
      </x:c>
      <x:c r="L735" s="52" t="n">
        <x:v>300</x:v>
      </x:c>
      <x:c r="M735" s="65" t="n">
        <x:f>IF(H735&lt;=L735,1,0)</x:f>
        <x:v>0</x:v>
      </x:c>
      <x:c r="N735" s="65" t="n">
        <x:f>IF(I735&lt;=L735,1,0)</x:f>
        <x:v>0</x:v>
      </x:c>
      <x:c r="O735" s="51" t="str">
        <x:f>IF(M735=N735,"不变",IF(N735=1,"由禁变允","由允变禁"))</x:f>
        <x:v>不变</x:v>
      </x:c>
      <x:c r="P735" s="51" t="str">
        <x:v>OSRM driving/car</x:v>
      </x:c>
      <x:c r="Q735" s="51" t="str">
        <x:v>2026-08-15</x:v>
      </x:c>
      <x:c r="R735" s="51" t="str">
        <x:v>C-开放路网计算；不是货车/危运合规路线</x:v>
      </x:c>
      <x:c r="S735" s="51" t="str">
        <x:v>https://routing.openstreetmap.de/routed-car/</x:v>
      </x:c>
    </x:row>
    <x:row r="736">
      <x:c r="A736" s="51" t="str">
        <x:v>A0732</x:v>
      </x:c>
      <x:c r="B736" s="51" t="str">
        <x:v>C13</x:v>
      </x:c>
      <x:c r="C736" s="51" t="str">
        <x:v>collection</x:v>
      </x:c>
      <x:c r="D736" s="51" t="str">
        <x:v>江门虚拟回收/检测中心</x:v>
      </x:c>
      <x:c r="E736" s="51" t="str">
        <x:v>P02R</x:v>
      </x:c>
      <x:c r="F736" s="51" t="str">
        <x:v>recycling</x:v>
      </x:c>
      <x:c r="G736" s="51" t="str">
        <x:v>广东光华科技股份有限公司（再生功能）</x:v>
      </x:c>
      <x:c r="H736" s="52" t="n">
        <x:v>454.35854812853415</x:v>
      </x:c>
      <x:c r="I736" s="52" t="n">
        <x:v>451.7913</x:v>
      </x:c>
      <x:c r="J736" s="52" t="n">
        <x:v>316.22833333333335</x:v>
      </x:c>
      <x:c r="K736" s="52" t="n">
        <x:f>IFERROR(I736/H736,"")</x:f>
        <x:v>0.9943497307597525</x:v>
      </x:c>
      <x:c r="L736" s="52" t="n">
        <x:v>400</x:v>
      </x:c>
      <x:c r="M736" s="65" t="n">
        <x:f>IF(H736&lt;=L736,1,0)</x:f>
        <x:v>0</x:v>
      </x:c>
      <x:c r="N736" s="65" t="n">
        <x:f>IF(I736&lt;=L736,1,0)</x:f>
        <x:v>0</x:v>
      </x:c>
      <x:c r="O736" s="51" t="str">
        <x:f>IF(M736=N736,"不变",IF(N736=1,"由禁变允","由允变禁"))</x:f>
        <x:v>不变</x:v>
      </x:c>
      <x:c r="P736" s="51" t="str">
        <x:v>OSRM driving/car</x:v>
      </x:c>
      <x:c r="Q736" s="51" t="str">
        <x:v>2026-08-15</x:v>
      </x:c>
      <x:c r="R736" s="51" t="str">
        <x:v>C-开放路网计算；不是货车/危运合规路线</x:v>
      </x:c>
      <x:c r="S736" s="51" t="str">
        <x:v>https://routing.openstreetmap.de/routed-car/</x:v>
      </x:c>
    </x:row>
    <x:row r="737">
      <x:c r="A737" s="51" t="str">
        <x:v>A0733</x:v>
      </x:c>
      <x:c r="B737" s="51" t="str">
        <x:v>C13</x:v>
      </x:c>
      <x:c r="C737" s="51" t="str">
        <x:v>collection</x:v>
      </x:c>
      <x:c r="D737" s="51" t="str">
        <x:v>江门虚拟回收/检测中心</x:v>
      </x:c>
      <x:c r="E737" s="51" t="str">
        <x:v>P03</x:v>
      </x:c>
      <x:c r="F737" s="51" t="str">
        <x:v>echelon</x:v>
      </x:c>
      <x:c r="G737" s="51" t="str">
        <x:v>深圳深汕特别合作区乾泰技术有限公司</x:v>
      </x:c>
      <x:c r="H737" s="52" t="n">
        <x:v>304.8551803783433</x:v>
      </x:c>
      <x:c r="I737" s="52" t="n">
        <x:v>307.7616</x:v>
      </x:c>
      <x:c r="J737" s="52" t="n">
        <x:v>230.31833333333333</x:v>
      </x:c>
      <x:c r="K737" s="52" t="n">
        <x:f>IFERROR(I737/H737,"")</x:f>
        <x:v>1.0095337714715875</x:v>
      </x:c>
      <x:c r="L737" s="52" t="n">
        <x:v>300</x:v>
      </x:c>
      <x:c r="M737" s="65" t="n">
        <x:f>IF(H737&lt;=L737,1,0)</x:f>
        <x:v>0</x:v>
      </x:c>
      <x:c r="N737" s="65" t="n">
        <x:f>IF(I737&lt;=L737,1,0)</x:f>
        <x:v>0</x:v>
      </x:c>
      <x:c r="O737" s="51" t="str">
        <x:f>IF(M737=N737,"不变",IF(N737=1,"由禁变允","由允变禁"))</x:f>
        <x:v>不变</x:v>
      </x:c>
      <x:c r="P737" s="51" t="str">
        <x:v>OSRM driving/car</x:v>
      </x:c>
      <x:c r="Q737" s="51" t="str">
        <x:v>2026-08-15</x:v>
      </x:c>
      <x:c r="R737" s="51" t="str">
        <x:v>C-开放路网计算；不是货车/危运合规路线</x:v>
      </x:c>
      <x:c r="S737" s="51" t="str">
        <x:v>https://routing.openstreetmap.de/routed-car/</x:v>
      </x:c>
    </x:row>
    <x:row r="738">
      <x:c r="A738" s="51" t="str">
        <x:v>A0734</x:v>
      </x:c>
      <x:c r="B738" s="51" t="str">
        <x:v>C13</x:v>
      </x:c>
      <x:c r="C738" s="51" t="str">
        <x:v>collection</x:v>
      </x:c>
      <x:c r="D738" s="51" t="str">
        <x:v>江门虚拟回收/检测中心</x:v>
      </x:c>
      <x:c r="E738" s="51" t="str">
        <x:v>P04</x:v>
      </x:c>
      <x:c r="F738" s="51" t="str">
        <x:v>echelon</x:v>
      </x:c>
      <x:c r="G738" s="51" t="str">
        <x:v>珠海中力新能源科技有限公司</x:v>
      </x:c>
      <x:c r="H738" s="52" t="n">
        <x:v>73.6969883389518</x:v>
      </x:c>
      <x:c r="I738" s="52" t="n">
        <x:v>82.6083</x:v>
      </x:c>
      <x:c r="J738" s="52" t="n">
        <x:v>62.593333333333334</x:v>
      </x:c>
      <x:c r="K738" s="52" t="n">
        <x:f>IFERROR(I738/H738,"")</x:f>
        <x:v>1.1209182608665464</x:v>
      </x:c>
      <x:c r="L738" s="52" t="n">
        <x:v>300</x:v>
      </x:c>
      <x:c r="M738" s="65" t="n">
        <x:f>IF(H738&lt;=L738,1,0)</x:f>
        <x:v>1</x:v>
      </x:c>
      <x:c r="N738" s="65" t="n">
        <x:f>IF(I738&lt;=L738,1,0)</x:f>
        <x:v>1</x:v>
      </x:c>
      <x:c r="O738" s="51" t="str">
        <x:f>IF(M738=N738,"不变",IF(N738=1,"由禁变允","由允变禁"))</x:f>
        <x:v>不变</x:v>
      </x:c>
      <x:c r="P738" s="51" t="str">
        <x:v>OSRM driving/car</x:v>
      </x:c>
      <x:c r="Q738" s="51" t="str">
        <x:v>2026-08-15</x:v>
      </x:c>
      <x:c r="R738" s="51" t="str">
        <x:v>C-开放路网计算；不是货车/危运合规路线</x:v>
      </x:c>
      <x:c r="S738" s="51" t="str">
        <x:v>https://routing.openstreetmap.de/routed-car/</x:v>
      </x:c>
    </x:row>
    <x:row r="739">
      <x:c r="A739" s="51" t="str">
        <x:v>A0735</x:v>
      </x:c>
      <x:c r="B739" s="51" t="str">
        <x:v>C13</x:v>
      </x:c>
      <x:c r="C739" s="51" t="str">
        <x:v>collection</x:v>
      </x:c>
      <x:c r="D739" s="51" t="str">
        <x:v>江门虚拟回收/检测中心</x:v>
      </x:c>
      <x:c r="E739" s="51" t="str">
        <x:v>P05</x:v>
      </x:c>
      <x:c r="F739" s="51" t="str">
        <x:v>echelon</x:v>
      </x:c>
      <x:c r="G739" s="51" t="str">
        <x:v>惠州市恒创睿能环保科技有限公司</x:v>
      </x:c>
      <x:c r="H739" s="52" t="n">
        <x:v>178.96752942018048</x:v>
      </x:c>
      <x:c r="I739" s="52" t="n">
        <x:v>185.8017</x:v>
      </x:c>
      <x:c r="J739" s="52" t="n">
        <x:v>137.40666666666667</x:v>
      </x:c>
      <x:c r="K739" s="52" t="n">
        <x:f>IFERROR(I739/H739,"")</x:f>
        <x:v>1.038186650963786</x:v>
      </x:c>
      <x:c r="L739" s="52" t="n">
        <x:v>300</x:v>
      </x:c>
      <x:c r="M739" s="65" t="n">
        <x:f>IF(H739&lt;=L739,1,0)</x:f>
        <x:v>1</x:v>
      </x:c>
      <x:c r="N739" s="65" t="n">
        <x:f>IF(I739&lt;=L739,1,0)</x:f>
        <x:v>1</x:v>
      </x:c>
      <x:c r="O739" s="51" t="str">
        <x:f>IF(M739=N739,"不变",IF(N739=1,"由禁变允","由允变禁"))</x:f>
        <x:v>不变</x:v>
      </x:c>
      <x:c r="P739" s="51" t="str">
        <x:v>OSRM driving/car</x:v>
      </x:c>
      <x:c r="Q739" s="51" t="str">
        <x:v>2026-08-15</x:v>
      </x:c>
      <x:c r="R739" s="51" t="str">
        <x:v>C-开放路网计算；不是货车/危运合规路线</x:v>
      </x:c>
      <x:c r="S739" s="51" t="str">
        <x:v>https://routing.openstreetmap.de/routed-car/</x:v>
      </x:c>
    </x:row>
    <x:row r="740">
      <x:c r="A740" s="51" t="str">
        <x:v>A0736</x:v>
      </x:c>
      <x:c r="B740" s="51" t="str">
        <x:v>C13</x:v>
      </x:c>
      <x:c r="C740" s="51" t="str">
        <x:v>collection</x:v>
      </x:c>
      <x:c r="D740" s="51" t="str">
        <x:v>江门虚拟回收/检测中心</x:v>
      </x:c>
      <x:c r="E740" s="51" t="str">
        <x:v>P06</x:v>
      </x:c>
      <x:c r="F740" s="51" t="str">
        <x:v>echelon</x:v>
      </x:c>
      <x:c r="G740" s="51" t="str">
        <x:v>江门市朗达锂电池有限公司</x:v>
      </x:c>
      <x:c r="H740" s="52" t="n">
        <x:v>0</x:v>
      </x:c>
      <x:c r="I740" s="52" t="n">
        <x:v>0</x:v>
      </x:c>
      <x:c r="J740" s="52" t="n">
        <x:v>0</x:v>
      </x:c>
      <x:c r="K740" s="52" t="str">
        <x:f>IFERROR(I740/H740,"")</x:f>
      </x:c>
      <x:c r="L740" s="52" t="n">
        <x:v>300</x:v>
      </x:c>
      <x:c r="M740" s="65" t="n">
        <x:f>IF(H740&lt;=L740,1,0)</x:f>
        <x:v>1</x:v>
      </x:c>
      <x:c r="N740" s="65" t="n">
        <x:f>IF(I740&lt;=L740,1,0)</x:f>
        <x:v>1</x:v>
      </x:c>
      <x:c r="O740" s="51" t="str">
        <x:f>IF(M740=N740,"不变",IF(N740=1,"由禁变允","由允变禁"))</x:f>
        <x:v>不变</x:v>
      </x:c>
      <x:c r="P740" s="51" t="str">
        <x:v>OSRM driving/car</x:v>
      </x:c>
      <x:c r="Q740" s="51" t="str">
        <x:v>2026-08-15</x:v>
      </x:c>
      <x:c r="R740" s="51" t="str">
        <x:v>C-开放路网计算；不是货车/危运合规路线</x:v>
      </x:c>
      <x:c r="S740" s="51" t="str">
        <x:v>https://routing.openstreetmap.de/routed-car/</x:v>
      </x:c>
    </x:row>
    <x:row r="741">
      <x:c r="A741" s="51" t="str">
        <x:v>A0737</x:v>
      </x:c>
      <x:c r="B741" s="51" t="str">
        <x:v>C13</x:v>
      </x:c>
      <x:c r="C741" s="51" t="str">
        <x:v>collection</x:v>
      </x:c>
      <x:c r="D741" s="51" t="str">
        <x:v>江门虚拟回收/检测中心</x:v>
      </x:c>
      <x:c r="E741" s="51" t="str">
        <x:v>P07</x:v>
      </x:c>
      <x:c r="F741" s="51" t="str">
        <x:v>echelon</x:v>
      </x:c>
      <x:c r="G741" s="51" t="str">
        <x:v>广东迪度新能源有限公司</x:v>
      </x:c>
      <x:c r="H741" s="52" t="n">
        <x:v>100.84581605844396</x:v>
      </x:c>
      <x:c r="I741" s="52" t="n">
        <x:v>123.1212</x:v>
      </x:c>
      <x:c r="J741" s="52" t="n">
        <x:v>92.67166666666667</x:v>
      </x:c>
      <x:c r="K741" s="52" t="n">
        <x:f>IFERROR(I741/H741,"")</x:f>
        <x:v>1.2208855539296406</x:v>
      </x:c>
      <x:c r="L741" s="52" t="n">
        <x:v>300</x:v>
      </x:c>
      <x:c r="M741" s="65" t="n">
        <x:f>IF(H741&lt;=L741,1,0)</x:f>
        <x:v>1</x:v>
      </x:c>
      <x:c r="N741" s="65" t="n">
        <x:f>IF(I741&lt;=L741,1,0)</x:f>
        <x:v>1</x:v>
      </x:c>
      <x:c r="O741" s="51" t="str">
        <x:f>IF(M741=N741,"不变",IF(N741=1,"由禁变允","由允变禁"))</x:f>
        <x:v>不变</x:v>
      </x:c>
      <x:c r="P741" s="51" t="str">
        <x:v>OSRM driving/car</x:v>
      </x:c>
      <x:c r="Q741" s="51" t="str">
        <x:v>2026-08-15</x:v>
      </x:c>
      <x:c r="R741" s="51" t="str">
        <x:v>C-开放路网计算；不是货车/危运合规路线</x:v>
      </x:c>
      <x:c r="S741" s="51" t="str">
        <x:v>https://routing.openstreetmap.de/routed-car/</x:v>
      </x:c>
    </x:row>
    <x:row r="742">
      <x:c r="A742" s="51" t="str">
        <x:v>A0738</x:v>
      </x:c>
      <x:c r="B742" s="51" t="str">
        <x:v>C13</x:v>
      </x:c>
      <x:c r="C742" s="51" t="str">
        <x:v>collection</x:v>
      </x:c>
      <x:c r="D742" s="51" t="str">
        <x:v>江门虚拟回收/检测中心</x:v>
      </x:c>
      <x:c r="E742" s="51" t="str">
        <x:v>P08</x:v>
      </x:c>
      <x:c r="F742" s="51" t="str">
        <x:v>echelon</x:v>
      </x:c>
      <x:c r="G742" s="51" t="str">
        <x:v>东莞市博森新能源有限公司</x:v>
      </x:c>
      <x:c r="H742" s="52" t="n">
        <x:v>100.84581605844396</x:v>
      </x:c>
      <x:c r="I742" s="52" t="n">
        <x:v>123.1212</x:v>
      </x:c>
      <x:c r="J742" s="52" t="n">
        <x:v>92.67166666666667</x:v>
      </x:c>
      <x:c r="K742" s="52" t="n">
        <x:f>IFERROR(I742/H742,"")</x:f>
        <x:v>1.2208855539296406</x:v>
      </x:c>
      <x:c r="L742" s="52" t="n">
        <x:v>300</x:v>
      </x:c>
      <x:c r="M742" s="65" t="n">
        <x:f>IF(H742&lt;=L742,1,0)</x:f>
        <x:v>1</x:v>
      </x:c>
      <x:c r="N742" s="65" t="n">
        <x:f>IF(I742&lt;=L742,1,0)</x:f>
        <x:v>1</x:v>
      </x:c>
      <x:c r="O742" s="51" t="str">
        <x:f>IF(M742=N742,"不变",IF(N742=1,"由禁变允","由允变禁"))</x:f>
        <x:v>不变</x:v>
      </x:c>
      <x:c r="P742" s="51" t="str">
        <x:v>OSRM driving/car</x:v>
      </x:c>
      <x:c r="Q742" s="51" t="str">
        <x:v>2026-08-15</x:v>
      </x:c>
      <x:c r="R742" s="51" t="str">
        <x:v>C-开放路网计算；不是货车/危运合规路线</x:v>
      </x:c>
      <x:c r="S742" s="51" t="str">
        <x:v>https://routing.openstreetmap.de/routed-car/</x:v>
      </x:c>
    </x:row>
    <x:row r="743">
      <x:c r="A743" s="51" t="str">
        <x:v>A0739</x:v>
      </x:c>
      <x:c r="B743" s="51" t="str">
        <x:v>C13</x:v>
      </x:c>
      <x:c r="C743" s="51" t="str">
        <x:v>collection</x:v>
      </x:c>
      <x:c r="D743" s="51" t="str">
        <x:v>江门虚拟回收/检测中心</x:v>
      </x:c>
      <x:c r="E743" s="51" t="str">
        <x:v>P09</x:v>
      </x:c>
      <x:c r="F743" s="51" t="str">
        <x:v>echelon</x:v>
      </x:c>
      <x:c r="G743" s="51" t="str">
        <x:v>广东宇阳新能源有限公司</x:v>
      </x:c>
      <x:c r="H743" s="52" t="n">
        <x:v>100.84581605844396</x:v>
      </x:c>
      <x:c r="I743" s="52" t="n">
        <x:v>123.1212</x:v>
      </x:c>
      <x:c r="J743" s="52" t="n">
        <x:v>92.67166666666667</x:v>
      </x:c>
      <x:c r="K743" s="52" t="n">
        <x:f>IFERROR(I743/H743,"")</x:f>
        <x:v>1.2208855539296406</x:v>
      </x:c>
      <x:c r="L743" s="52" t="n">
        <x:v>300</x:v>
      </x:c>
      <x:c r="M743" s="65" t="n">
        <x:f>IF(H743&lt;=L743,1,0)</x:f>
        <x:v>1</x:v>
      </x:c>
      <x:c r="N743" s="65" t="n">
        <x:f>IF(I743&lt;=L743,1,0)</x:f>
        <x:v>1</x:v>
      </x:c>
      <x:c r="O743" s="51" t="str">
        <x:f>IF(M743=N743,"不变",IF(N743=1,"由禁变允","由允变禁"))</x:f>
        <x:v>不变</x:v>
      </x:c>
      <x:c r="P743" s="51" t="str">
        <x:v>OSRM driving/car</x:v>
      </x:c>
      <x:c r="Q743" s="51" t="str">
        <x:v>2026-08-15</x:v>
      </x:c>
      <x:c r="R743" s="51" t="str">
        <x:v>C-开放路网计算；不是货车/危运合规路线</x:v>
      </x:c>
      <x:c r="S743" s="51" t="str">
        <x:v>https://routing.openstreetmap.de/routed-car/</x:v>
      </x:c>
    </x:row>
    <x:row r="744">
      <x:c r="A744" s="51" t="str">
        <x:v>A0740</x:v>
      </x:c>
      <x:c r="B744" s="51" t="str">
        <x:v>C13</x:v>
      </x:c>
      <x:c r="C744" s="51" t="str">
        <x:v>collection</x:v>
      </x:c>
      <x:c r="D744" s="51" t="str">
        <x:v>江门虚拟回收/检测中心</x:v>
      </x:c>
      <x:c r="E744" s="51" t="str">
        <x:v>P10</x:v>
      </x:c>
      <x:c r="F744" s="51" t="str">
        <x:v>echelon</x:v>
      </x:c>
      <x:c r="G744" s="51" t="str">
        <x:v>广州广汽商贸再生资源有限公司</x:v>
      </x:c>
      <x:c r="H744" s="52" t="n">
        <x:v>76.3956958586808</x:v>
      </x:c>
      <x:c r="I744" s="52" t="n">
        <x:v>82.7962</x:v>
      </x:c>
      <x:c r="J744" s="52" t="n">
        <x:v>65.80833333333334</x:v>
      </x:c>
      <x:c r="K744" s="52" t="n">
        <x:f>IFERROR(I744/H744,"")</x:f>
        <x:v>1.0837809521777124</x:v>
      </x:c>
      <x:c r="L744" s="52" t="n">
        <x:v>300</x:v>
      </x:c>
      <x:c r="M744" s="65" t="n">
        <x:f>IF(H744&lt;=L744,1,0)</x:f>
        <x:v>1</x:v>
      </x:c>
      <x:c r="N744" s="65" t="n">
        <x:f>IF(I744&lt;=L744,1,0)</x:f>
        <x:v>1</x:v>
      </x:c>
      <x:c r="O744" s="51" t="str">
        <x:f>IF(M744=N744,"不变",IF(N744=1,"由禁变允","由允变禁"))</x:f>
        <x:v>不变</x:v>
      </x:c>
      <x:c r="P744" s="51" t="str">
        <x:v>OSRM driving/car</x:v>
      </x:c>
      <x:c r="Q744" s="51" t="str">
        <x:v>2026-08-15</x:v>
      </x:c>
      <x:c r="R744" s="51" t="str">
        <x:v>C-开放路网计算；不是货车/危运合规路线</x:v>
      </x:c>
      <x:c r="S744" s="51" t="str">
        <x:v>https://routing.openstreetmap.de/routed-car/</x:v>
      </x:c>
    </x:row>
    <x:row r="745">
      <x:c r="A745" s="51" t="str">
        <x:v>A0741</x:v>
      </x:c>
      <x:c r="B745" s="51" t="str">
        <x:v>C13</x:v>
      </x:c>
      <x:c r="C745" s="51" t="str">
        <x:v>collection</x:v>
      </x:c>
      <x:c r="D745" s="51" t="str">
        <x:v>江门虚拟回收/检测中心</x:v>
      </x:c>
      <x:c r="E745" s="51" t="str">
        <x:v>P11</x:v>
      </x:c>
      <x:c r="F745" s="51" t="str">
        <x:v>echelon</x:v>
      </x:c>
      <x:c r="G745" s="51" t="str">
        <x:v>深圳市杰成镍钴新能源科技有限公司</x:v>
      </x:c>
      <x:c r="H745" s="52" t="n">
        <x:v>120.66466151382667</x:v>
      </x:c>
      <x:c r="I745" s="52" t="n">
        <x:v>126.42660000000001</x:v>
      </x:c>
      <x:c r="J745" s="52" t="n">
        <x:v>94.32666666666667</x:v>
      </x:c>
      <x:c r="K745" s="52" t="n">
        <x:f>IFERROR(I745/H745,"")</x:f>
        <x:v>1.0477516649355791</x:v>
      </x:c>
      <x:c r="L745" s="52" t="n">
        <x:v>300</x:v>
      </x:c>
      <x:c r="M745" s="65" t="n">
        <x:f>IF(H745&lt;=L745,1,0)</x:f>
        <x:v>1</x:v>
      </x:c>
      <x:c r="N745" s="65" t="n">
        <x:f>IF(I745&lt;=L745,1,0)</x:f>
        <x:v>1</x:v>
      </x:c>
      <x:c r="O745" s="51" t="str">
        <x:f>IF(M745=N745,"不变",IF(N745=1,"由禁变允","由允变禁"))</x:f>
        <x:v>不变</x:v>
      </x:c>
      <x:c r="P745" s="51" t="str">
        <x:v>OSRM driving/car</x:v>
      </x:c>
      <x:c r="Q745" s="51" t="str">
        <x:v>2026-08-15</x:v>
      </x:c>
      <x:c r="R745" s="51" t="str">
        <x:v>C-开放路网计算；不是货车/危运合规路线</x:v>
      </x:c>
      <x:c r="S745" s="51" t="str">
        <x:v>https://routing.openstreetmap.de/routed-car/</x:v>
      </x:c>
    </x:row>
    <x:row r="746">
      <x:c r="A746" s="51" t="str">
        <x:v>A0742</x:v>
      </x:c>
      <x:c r="B746" s="51" t="str">
        <x:v>C13</x:v>
      </x:c>
      <x:c r="C746" s="51" t="str">
        <x:v>collection</x:v>
      </x:c>
      <x:c r="D746" s="51" t="str">
        <x:v>江门虚拟回收/检测中心</x:v>
      </x:c>
      <x:c r="E746" s="51" t="str">
        <x:v>P12</x:v>
      </x:c>
      <x:c r="F746" s="51" t="str">
        <x:v>recycling</x:v>
      </x:c>
      <x:c r="G746" s="51" t="str">
        <x:v>江门市恒创睿能环保科技有限公司</x:v>
      </x:c>
      <x:c r="H746" s="52" t="n">
        <x:v>0</x:v>
      </x:c>
      <x:c r="I746" s="52" t="n">
        <x:v>0</x:v>
      </x:c>
      <x:c r="J746" s="52" t="n">
        <x:v>0</x:v>
      </x:c>
      <x:c r="K746" s="52" t="str">
        <x:f>IFERROR(I746/H746,"")</x:f>
      </x:c>
      <x:c r="L746" s="52" t="n">
        <x:v>400</x:v>
      </x:c>
      <x:c r="M746" s="65" t="n">
        <x:f>IF(H746&lt;=L746,1,0)</x:f>
        <x:v>1</x:v>
      </x:c>
      <x:c r="N746" s="65" t="n">
        <x:f>IF(I746&lt;=L746,1,0)</x:f>
        <x:v>1</x:v>
      </x:c>
      <x:c r="O746" s="51" t="str">
        <x:f>IF(M746=N746,"不变",IF(N746=1,"由禁变允","由允变禁"))</x:f>
        <x:v>不变</x:v>
      </x:c>
      <x:c r="P746" s="51" t="str">
        <x:v>OSRM driving/car</x:v>
      </x:c>
      <x:c r="Q746" s="51" t="str">
        <x:v>2026-08-15</x:v>
      </x:c>
      <x:c r="R746" s="51" t="str">
        <x:v>C-开放路网计算；不是货车/危运合规路线</x:v>
      </x:c>
      <x:c r="S746" s="51" t="str">
        <x:v>https://routing.openstreetmap.de/routed-car/</x:v>
      </x:c>
    </x:row>
    <x:row r="747">
      <x:c r="A747" s="51" t="str">
        <x:v>A0743</x:v>
      </x:c>
      <x:c r="B747" s="51" t="str">
        <x:v>C13</x:v>
      </x:c>
      <x:c r="C747" s="51" t="str">
        <x:v>collection</x:v>
      </x:c>
      <x:c r="D747" s="51" t="str">
        <x:v>江门虚拟回收/检测中心</x:v>
      </x:c>
      <x:c r="E747" s="51" t="str">
        <x:v>P13</x:v>
      </x:c>
      <x:c r="F747" s="51" t="str">
        <x:v>recycling</x:v>
      </x:c>
      <x:c r="G747" s="51" t="str">
        <x:v>广东佳纳能源科技有限公司</x:v>
      </x:c>
      <x:c r="H747" s="52" t="n">
        <x:v>147.02898541450745</x:v>
      </x:c>
      <x:c r="I747" s="52" t="n">
        <x:v>144.4254</x:v>
      </x:c>
      <x:c r="J747" s="52" t="n">
        <x:v>114.02666666666667</x:v>
      </x:c>
      <x:c r="K747" s="52" t="n">
        <x:f>IFERROR(I747/H747,"")</x:f>
        <x:v>0.9822920262479717</x:v>
      </x:c>
      <x:c r="L747" s="52" t="n">
        <x:v>400</x:v>
      </x:c>
      <x:c r="M747" s="65" t="n">
        <x:f>IF(H747&lt;=L747,1,0)</x:f>
        <x:v>1</x:v>
      </x:c>
      <x:c r="N747" s="65" t="n">
        <x:f>IF(I747&lt;=L747,1,0)</x:f>
        <x:v>1</x:v>
      </x:c>
      <x:c r="O747" s="51" t="str">
        <x:f>IF(M747=N747,"不变",IF(N747=1,"由禁变允","由允变禁"))</x:f>
        <x:v>不变</x:v>
      </x:c>
      <x:c r="P747" s="51" t="str">
        <x:v>OSRM driving/car</x:v>
      </x:c>
      <x:c r="Q747" s="51" t="str">
        <x:v>2026-08-15</x:v>
      </x:c>
      <x:c r="R747" s="51" t="str">
        <x:v>C-开放路网计算；不是货车/危运合规路线</x:v>
      </x:c>
      <x:c r="S747" s="51" t="str">
        <x:v>https://routing.openstreetmap.de/routed-car/</x:v>
      </x:c>
    </x:row>
    <x:row r="748">
      <x:c r="A748" s="51" t="str">
        <x:v>A0744</x:v>
      </x:c>
      <x:c r="B748" s="51" t="str">
        <x:v>C13</x:v>
      </x:c>
      <x:c r="C748" s="51" t="str">
        <x:v>collection</x:v>
      </x:c>
      <x:c r="D748" s="51" t="str">
        <x:v>江门虚拟回收/检测中心</x:v>
      </x:c>
      <x:c r="E748" s="51" t="str">
        <x:v>P14</x:v>
      </x:c>
      <x:c r="F748" s="51" t="str">
        <x:v>echelon</x:v>
      </x:c>
      <x:c r="G748" s="51" t="str">
        <x:v>格林美（深圳）循环科技有限公司</x:v>
      </x:c>
      <x:c r="H748" s="52" t="n">
        <x:v>120.66466151382667</x:v>
      </x:c>
      <x:c r="I748" s="52" t="n">
        <x:v>126.42660000000001</x:v>
      </x:c>
      <x:c r="J748" s="52" t="n">
        <x:v>94.32666666666667</x:v>
      </x:c>
      <x:c r="K748" s="52" t="n">
        <x:f>IFERROR(I748/H748,"")</x:f>
        <x:v>1.0477516649355791</x:v>
      </x:c>
      <x:c r="L748" s="52" t="n">
        <x:v>300</x:v>
      </x:c>
      <x:c r="M748" s="65" t="n">
        <x:f>IF(H748&lt;=L748,1,0)</x:f>
        <x:v>1</x:v>
      </x:c>
      <x:c r="N748" s="65" t="n">
        <x:f>IF(I748&lt;=L748,1,0)</x:f>
        <x:v>1</x:v>
      </x:c>
      <x:c r="O748" s="51" t="str">
        <x:f>IF(M748=N748,"不变",IF(N748=1,"由禁变允","由允变禁"))</x:f>
        <x:v>不变</x:v>
      </x:c>
      <x:c r="P748" s="51" t="str">
        <x:v>OSRM driving/car</x:v>
      </x:c>
      <x:c r="Q748" s="51" t="str">
        <x:v>2026-08-15</x:v>
      </x:c>
      <x:c r="R748" s="51" t="str">
        <x:v>C-开放路网计算；不是货车/危运合规路线</x:v>
      </x:c>
      <x:c r="S748" s="51" t="str">
        <x:v>https://routing.openstreetmap.de/routed-car/</x:v>
      </x:c>
    </x:row>
    <x:row r="749">
      <x:c r="A749" s="51" t="str">
        <x:v>A0745</x:v>
      </x:c>
      <x:c r="B749" s="51" t="str">
        <x:v>C13</x:v>
      </x:c>
      <x:c r="C749" s="51" t="str">
        <x:v>collection</x:v>
      </x:c>
      <x:c r="D749" s="51" t="str">
        <x:v>江门虚拟回收/检测中心</x:v>
      </x:c>
      <x:c r="E749" s="51" t="str">
        <x:v>P15</x:v>
      </x:c>
      <x:c r="F749" s="51" t="str">
        <x:v>echelon</x:v>
      </x:c>
      <x:c r="G749" s="51" t="str">
        <x:v>绿循新能源科技（佛山）有限责任公司</x:v>
      </x:c>
      <x:c r="H749" s="52" t="n">
        <x:v>59.22325916789457</x:v>
      </x:c>
      <x:c r="I749" s="52" t="n">
        <x:v>67.43960000000001</x:v>
      </x:c>
      <x:c r="J749" s="52" t="n">
        <x:v>53.09166666666667</x:v>
      </x:c>
      <x:c r="K749" s="52" t="n">
        <x:f>IFERROR(I749/H749,"")</x:f>
        <x:v>1.138735033288401</x:v>
      </x:c>
      <x:c r="L749" s="52" t="n">
        <x:v>300</x:v>
      </x:c>
      <x:c r="M749" s="65" t="n">
        <x:f>IF(H749&lt;=L749,1,0)</x:f>
        <x:v>1</x:v>
      </x:c>
      <x:c r="N749" s="65" t="n">
        <x:f>IF(I749&lt;=L749,1,0)</x:f>
        <x:v>1</x:v>
      </x:c>
      <x:c r="O749" s="51" t="str">
        <x:f>IF(M749=N749,"不变",IF(N749=1,"由禁变允","由允变禁"))</x:f>
        <x:v>不变</x:v>
      </x:c>
      <x:c r="P749" s="51" t="str">
        <x:v>OSRM driving/car</x:v>
      </x:c>
      <x:c r="Q749" s="51" t="str">
        <x:v>2026-08-15</x:v>
      </x:c>
      <x:c r="R749" s="51" t="str">
        <x:v>C-开放路网计算；不是货车/危运合规路线</x:v>
      </x:c>
      <x:c r="S749" s="51" t="str">
        <x:v>https://routing.openstreetmap.de/routed-car/</x:v>
      </x:c>
    </x:row>
    <x:row r="750">
      <x:c r="A750" s="51" t="str">
        <x:v>A0746</x:v>
      </x:c>
      <x:c r="B750" s="51" t="str">
        <x:v>C13</x:v>
      </x:c>
      <x:c r="C750" s="51" t="str">
        <x:v>collection</x:v>
      </x:c>
      <x:c r="D750" s="51" t="str">
        <x:v>江门虚拟回收/检测中心</x:v>
      </x:c>
      <x:c r="E750" s="51" t="str">
        <x:v>P16</x:v>
      </x:c>
      <x:c r="F750" s="51" t="str">
        <x:v>echelon</x:v>
      </x:c>
      <x:c r="G750" s="51" t="str">
        <x:v>深圳艾云动智慧科技有限公司</x:v>
      </x:c>
      <x:c r="H750" s="52" t="n">
        <x:v>120.66466151382667</x:v>
      </x:c>
      <x:c r="I750" s="52" t="n">
        <x:v>126.42660000000001</x:v>
      </x:c>
      <x:c r="J750" s="52" t="n">
        <x:v>94.32666666666667</x:v>
      </x:c>
      <x:c r="K750" s="52" t="n">
        <x:f>IFERROR(I750/H750,"")</x:f>
        <x:v>1.0477516649355791</x:v>
      </x:c>
      <x:c r="L750" s="52" t="n">
        <x:v>300</x:v>
      </x:c>
      <x:c r="M750" s="65" t="n">
        <x:f>IF(H750&lt;=L750,1,0)</x:f>
        <x:v>1</x:v>
      </x:c>
      <x:c r="N750" s="65" t="n">
        <x:f>IF(I750&lt;=L750,1,0)</x:f>
        <x:v>1</x:v>
      </x:c>
      <x:c r="O750" s="51" t="str">
        <x:f>IF(M750=N750,"不变",IF(N750=1,"由禁变允","由允变禁"))</x:f>
        <x:v>不变</x:v>
      </x:c>
      <x:c r="P750" s="51" t="str">
        <x:v>OSRM driving/car</x:v>
      </x:c>
      <x:c r="Q750" s="51" t="str">
        <x:v>2026-08-15</x:v>
      </x:c>
      <x:c r="R750" s="51" t="str">
        <x:v>C-开放路网计算；不是货车/危运合规路线</x:v>
      </x:c>
      <x:c r="S750" s="51" t="str">
        <x:v>https://routing.openstreetmap.de/routed-car/</x:v>
      </x:c>
    </x:row>
    <x:row r="751">
      <x:c r="A751" s="51" t="str">
        <x:v>A0747</x:v>
      </x:c>
      <x:c r="B751" s="51" t="str">
        <x:v>C13</x:v>
      </x:c>
      <x:c r="C751" s="51" t="str">
        <x:v>collection</x:v>
      </x:c>
      <x:c r="D751" s="51" t="str">
        <x:v>江门虚拟回收/检测中心</x:v>
      </x:c>
      <x:c r="E751" s="51" t="str">
        <x:v>P17</x:v>
      </x:c>
      <x:c r="F751" s="51" t="str">
        <x:v>echelon</x:v>
      </x:c>
      <x:c r="G751" s="51" t="str">
        <x:v>深圳市荣高晟新能源科技有限公司</x:v>
      </x:c>
      <x:c r="H751" s="52" t="n">
        <x:v>120.66466151382667</x:v>
      </x:c>
      <x:c r="I751" s="52" t="n">
        <x:v>126.42660000000001</x:v>
      </x:c>
      <x:c r="J751" s="52" t="n">
        <x:v>94.32666666666667</x:v>
      </x:c>
      <x:c r="K751" s="52" t="n">
        <x:f>IFERROR(I751/H751,"")</x:f>
        <x:v>1.0477516649355791</x:v>
      </x:c>
      <x:c r="L751" s="52" t="n">
        <x:v>300</x:v>
      </x:c>
      <x:c r="M751" s="65" t="n">
        <x:f>IF(H751&lt;=L751,1,0)</x:f>
        <x:v>1</x:v>
      </x:c>
      <x:c r="N751" s="65" t="n">
        <x:f>IF(I751&lt;=L751,1,0)</x:f>
        <x:v>1</x:v>
      </x:c>
      <x:c r="O751" s="51" t="str">
        <x:f>IF(M751=N751,"不变",IF(N751=1,"由禁变允","由允变禁"))</x:f>
        <x:v>不变</x:v>
      </x:c>
      <x:c r="P751" s="51" t="str">
        <x:v>OSRM driving/car</x:v>
      </x:c>
      <x:c r="Q751" s="51" t="str">
        <x:v>2026-08-15</x:v>
      </x:c>
      <x:c r="R751" s="51" t="str">
        <x:v>C-开放路网计算；不是货车/危运合规路线</x:v>
      </x:c>
      <x:c r="S751" s="51" t="str">
        <x:v>https://routing.openstreetmap.de/routed-car/</x:v>
      </x:c>
    </x:row>
    <x:row r="752">
      <x:c r="A752" s="51" t="str">
        <x:v>A0748</x:v>
      </x:c>
      <x:c r="B752" s="51" t="str">
        <x:v>C13</x:v>
      </x:c>
      <x:c r="C752" s="51" t="str">
        <x:v>collection</x:v>
      </x:c>
      <x:c r="D752" s="51" t="str">
        <x:v>江门虚拟回收/检测中心</x:v>
      </x:c>
      <x:c r="E752" s="51" t="str">
        <x:v>P18</x:v>
      </x:c>
      <x:c r="F752" s="51" t="str">
        <x:v>echelon</x:v>
      </x:c>
      <x:c r="G752" s="51" t="str">
        <x:v>中商锂新能源科技（惠州）有限公司</x:v>
      </x:c>
      <x:c r="H752" s="52" t="n">
        <x:v>178.96752942018048</x:v>
      </x:c>
      <x:c r="I752" s="52" t="n">
        <x:v>185.8017</x:v>
      </x:c>
      <x:c r="J752" s="52" t="n">
        <x:v>137.40666666666667</x:v>
      </x:c>
      <x:c r="K752" s="52" t="n">
        <x:f>IFERROR(I752/H752,"")</x:f>
        <x:v>1.038186650963786</x:v>
      </x:c>
      <x:c r="L752" s="52" t="n">
        <x:v>300</x:v>
      </x:c>
      <x:c r="M752" s="65" t="n">
        <x:f>IF(H752&lt;=L752,1,0)</x:f>
        <x:v>1</x:v>
      </x:c>
      <x:c r="N752" s="65" t="n">
        <x:f>IF(I752&lt;=L752,1,0)</x:f>
        <x:v>1</x:v>
      </x:c>
      <x:c r="O752" s="51" t="str">
        <x:f>IF(M752=N752,"不变",IF(N752=1,"由禁变允","由允变禁"))</x:f>
        <x:v>不变</x:v>
      </x:c>
      <x:c r="P752" s="51" t="str">
        <x:v>OSRM driving/car</x:v>
      </x:c>
      <x:c r="Q752" s="51" t="str">
        <x:v>2026-08-15</x:v>
      </x:c>
      <x:c r="R752" s="51" t="str">
        <x:v>C-开放路网计算；不是货车/危运合规路线</x:v>
      </x:c>
      <x:c r="S752" s="51" t="str">
        <x:v>https://routing.openstreetmap.de/routed-car/</x:v>
      </x:c>
    </x:row>
    <x:row r="753">
      <x:c r="A753" s="51" t="str">
        <x:v>A0749</x:v>
      </x:c>
      <x:c r="B753" s="51" t="str">
        <x:v>C13</x:v>
      </x:c>
      <x:c r="C753" s="51" t="str">
        <x:v>collection</x:v>
      </x:c>
      <x:c r="D753" s="51" t="str">
        <x:v>江门虚拟回收/检测中心</x:v>
      </x:c>
      <x:c r="E753" s="51" t="str">
        <x:v>P19</x:v>
      </x:c>
      <x:c r="F753" s="51" t="str">
        <x:v>recycling</x:v>
      </x:c>
      <x:c r="G753" s="51" t="str">
        <x:v>广东盛祥新材料科技有限公司</x:v>
      </x:c>
      <x:c r="H753" s="52" t="n">
        <x:v>313.42946331342586</x:v>
      </x:c>
      <x:c r="I753" s="52" t="n">
        <x:v>316.6007</x:v>
      </x:c>
      <x:c r="J753" s="52" t="n">
        <x:v>228.19166666666666</x:v>
      </x:c>
      <x:c r="K753" s="52" t="n">
        <x:f>IFERROR(I753/H753,"")</x:f>
        <x:v>1.010117864010133</x:v>
      </x:c>
      <x:c r="L753" s="52" t="n">
        <x:v>400</x:v>
      </x:c>
      <x:c r="M753" s="65" t="n">
        <x:f>IF(H753&lt;=L753,1,0)</x:f>
        <x:v>1</x:v>
      </x:c>
      <x:c r="N753" s="65" t="n">
        <x:f>IF(I753&lt;=L753,1,0)</x:f>
        <x:v>1</x:v>
      </x:c>
      <x:c r="O753" s="51" t="str">
        <x:f>IF(M753=N753,"不变",IF(N753=1,"由禁变允","由允变禁"))</x:f>
        <x:v>不变</x:v>
      </x:c>
      <x:c r="P753" s="51" t="str">
        <x:v>OSRM driving/car</x:v>
      </x:c>
      <x:c r="Q753" s="51" t="str">
        <x:v>2026-08-15</x:v>
      </x:c>
      <x:c r="R753" s="51" t="str">
        <x:v>C-开放路网计算；不是货车/危运合规路线</x:v>
      </x:c>
      <x:c r="S753" s="51" t="str">
        <x:v>https://routing.openstreetmap.de/routed-car/</x:v>
      </x:c>
    </x:row>
    <x:row r="754">
      <x:c r="A754" s="51" t="str">
        <x:v>A0750</x:v>
      </x:c>
      <x:c r="B754" s="51" t="str">
        <x:v>C13</x:v>
      </x:c>
      <x:c r="C754" s="51" t="str">
        <x:v>collection</x:v>
      </x:c>
      <x:c r="D754" s="51" t="str">
        <x:v>江门虚拟回收/检测中心</x:v>
      </x:c>
      <x:c r="E754" s="51" t="str">
        <x:v>P20E</x:v>
      </x:c>
      <x:c r="F754" s="51" t="str">
        <x:v>echelon</x:v>
      </x:c>
      <x:c r="G754" s="51" t="str">
        <x:v>广东金晟新能源股份有限公司（梯次功能）</x:v>
      </x:c>
      <x:c r="H754" s="52" t="n">
        <x:v>98.20082167156956</x:v>
      </x:c>
      <x:c r="I754" s="52" t="n">
        <x:v>104.22710000000001</x:v>
      </x:c>
      <x:c r="J754" s="52" t="n">
        <x:v>80.53833333333334</x:v>
      </x:c>
      <x:c r="K754" s="52" t="n">
        <x:f>IFERROR(I754/H754,"")</x:f>
        <x:v>1.0613668829430492</x:v>
      </x:c>
      <x:c r="L754" s="52" t="n">
        <x:v>300</x:v>
      </x:c>
      <x:c r="M754" s="65" t="n">
        <x:f>IF(H754&lt;=L754,1,0)</x:f>
        <x:v>1</x:v>
      </x:c>
      <x:c r="N754" s="65" t="n">
        <x:f>IF(I754&lt;=L754,1,0)</x:f>
        <x:v>1</x:v>
      </x:c>
      <x:c r="O754" s="51" t="str">
        <x:f>IF(M754=N754,"不变",IF(N754=1,"由禁变允","由允变禁"))</x:f>
        <x:v>不变</x:v>
      </x:c>
      <x:c r="P754" s="51" t="str">
        <x:v>OSRM driving/car</x:v>
      </x:c>
      <x:c r="Q754" s="51" t="str">
        <x:v>2026-08-15</x:v>
      </x:c>
      <x:c r="R754" s="51" t="str">
        <x:v>C-开放路网计算；不是货车/危运合规路线</x:v>
      </x:c>
      <x:c r="S754" s="51" t="str">
        <x:v>https://routing.openstreetmap.de/routed-car/</x:v>
      </x:c>
    </x:row>
    <x:row r="755">
      <x:c r="A755" s="51" t="str">
        <x:v>A0751</x:v>
      </x:c>
      <x:c r="B755" s="51" t="str">
        <x:v>C13</x:v>
      </x:c>
      <x:c r="C755" s="51" t="str">
        <x:v>collection</x:v>
      </x:c>
      <x:c r="D755" s="51" t="str">
        <x:v>江门虚拟回收/检测中心</x:v>
      </x:c>
      <x:c r="E755" s="51" t="str">
        <x:v>P20R</x:v>
      </x:c>
      <x:c r="F755" s="51" t="str">
        <x:v>recycling</x:v>
      </x:c>
      <x:c r="G755" s="51" t="str">
        <x:v>广东金晟新能源股份有限公司（再生功能）</x:v>
      </x:c>
      <x:c r="H755" s="52" t="n">
        <x:v>98.20082167156956</x:v>
      </x:c>
      <x:c r="I755" s="52" t="n">
        <x:v>104.22710000000001</x:v>
      </x:c>
      <x:c r="J755" s="52" t="n">
        <x:v>80.53833333333334</x:v>
      </x:c>
      <x:c r="K755" s="52" t="n">
        <x:f>IFERROR(I755/H755,"")</x:f>
        <x:v>1.0613668829430492</x:v>
      </x:c>
      <x:c r="L755" s="52" t="n">
        <x:v>400</x:v>
      </x:c>
      <x:c r="M755" s="65" t="n">
        <x:f>IF(H755&lt;=L755,1,0)</x:f>
        <x:v>1</x:v>
      </x:c>
      <x:c r="N755" s="65" t="n">
        <x:f>IF(I755&lt;=L755,1,0)</x:f>
        <x:v>1</x:v>
      </x:c>
      <x:c r="O755" s="51" t="str">
        <x:f>IF(M755=N755,"不变",IF(N755=1,"由禁变允","由允变禁"))</x:f>
        <x:v>不变</x:v>
      </x:c>
      <x:c r="P755" s="51" t="str">
        <x:v>OSRM driving/car</x:v>
      </x:c>
      <x:c r="Q755" s="51" t="str">
        <x:v>2026-08-15</x:v>
      </x:c>
      <x:c r="R755" s="51" t="str">
        <x:v>C-开放路网计算；不是货车/危运合规路线</x:v>
      </x:c>
      <x:c r="S755" s="51" t="str">
        <x:v>https://routing.openstreetmap.de/routed-car/</x:v>
      </x:c>
    </x:row>
    <x:row r="756">
      <x:c r="A756" s="51" t="str">
        <x:v>A0752</x:v>
      </x:c>
      <x:c r="B756" s="51" t="str">
        <x:v>C13</x:v>
      </x:c>
      <x:c r="C756" s="51" t="str">
        <x:v>collection</x:v>
      </x:c>
      <x:c r="D756" s="51" t="str">
        <x:v>江门虚拟回收/检测中心</x:v>
      </x:c>
      <x:c r="E756" s="51" t="str">
        <x:v>P21E</x:v>
      </x:c>
      <x:c r="F756" s="51" t="str">
        <x:v>echelon</x:v>
      </x:c>
      <x:c r="G756" s="51" t="str">
        <x:v>广东瑞科美电源技术有限公司（梯次功能）</x:v>
      </x:c>
      <x:c r="H756" s="52" t="n">
        <x:v>59.22325916789457</x:v>
      </x:c>
      <x:c r="I756" s="52" t="n">
        <x:v>67.43960000000001</x:v>
      </x:c>
      <x:c r="J756" s="52" t="n">
        <x:v>53.09166666666667</x:v>
      </x:c>
      <x:c r="K756" s="52" t="n">
        <x:f>IFERROR(I756/H756,"")</x:f>
        <x:v>1.138735033288401</x:v>
      </x:c>
      <x:c r="L756" s="52" t="n">
        <x:v>300</x:v>
      </x:c>
      <x:c r="M756" s="65" t="n">
        <x:f>IF(H756&lt;=L756,1,0)</x:f>
        <x:v>1</x:v>
      </x:c>
      <x:c r="N756" s="65" t="n">
        <x:f>IF(I756&lt;=L756,1,0)</x:f>
        <x:v>1</x:v>
      </x:c>
      <x:c r="O756" s="51" t="str">
        <x:f>IF(M756=N756,"不变",IF(N756=1,"由禁变允","由允变禁"))</x:f>
        <x:v>不变</x:v>
      </x:c>
      <x:c r="P756" s="51" t="str">
        <x:v>OSRM driving/car</x:v>
      </x:c>
      <x:c r="Q756" s="51" t="str">
        <x:v>2026-08-15</x:v>
      </x:c>
      <x:c r="R756" s="51" t="str">
        <x:v>C-开放路网计算；不是货车/危运合规路线</x:v>
      </x:c>
      <x:c r="S756" s="51" t="str">
        <x:v>https://routing.openstreetmap.de/routed-car/</x:v>
      </x:c>
    </x:row>
    <x:row r="757">
      <x:c r="A757" s="51" t="str">
        <x:v>A0753</x:v>
      </x:c>
      <x:c r="B757" s="51" t="str">
        <x:v>C13</x:v>
      </x:c>
      <x:c r="C757" s="51" t="str">
        <x:v>collection</x:v>
      </x:c>
      <x:c r="D757" s="51" t="str">
        <x:v>江门虚拟回收/检测中心</x:v>
      </x:c>
      <x:c r="E757" s="51" t="str">
        <x:v>P21R</x:v>
      </x:c>
      <x:c r="F757" s="51" t="str">
        <x:v>recycling</x:v>
      </x:c>
      <x:c r="G757" s="51" t="str">
        <x:v>广东瑞科美电源技术有限公司（再生功能）</x:v>
      </x:c>
      <x:c r="H757" s="52" t="n">
        <x:v>59.22325916789457</x:v>
      </x:c>
      <x:c r="I757" s="52" t="n">
        <x:v>67.43960000000001</x:v>
      </x:c>
      <x:c r="J757" s="52" t="n">
        <x:v>53.09166666666667</x:v>
      </x:c>
      <x:c r="K757" s="52" t="n">
        <x:f>IFERROR(I757/H757,"")</x:f>
        <x:v>1.138735033288401</x:v>
      </x:c>
      <x:c r="L757" s="52" t="n">
        <x:v>400</x:v>
      </x:c>
      <x:c r="M757" s="65" t="n">
        <x:f>IF(H757&lt;=L757,1,0)</x:f>
        <x:v>1</x:v>
      </x:c>
      <x:c r="N757" s="65" t="n">
        <x:f>IF(I757&lt;=L757,1,0)</x:f>
        <x:v>1</x:v>
      </x:c>
      <x:c r="O757" s="51" t="str">
        <x:f>IF(M757=N757,"不变",IF(N757=1,"由禁变允","由允变禁"))</x:f>
        <x:v>不变</x:v>
      </x:c>
      <x:c r="P757" s="51" t="str">
        <x:v>OSRM driving/car</x:v>
      </x:c>
      <x:c r="Q757" s="51" t="str">
        <x:v>2026-08-15</x:v>
      </x:c>
      <x:c r="R757" s="51" t="str">
        <x:v>C-开放路网计算；不是货车/危运合规路线</x:v>
      </x:c>
      <x:c r="S757" s="51" t="str">
        <x:v>https://routing.openstreetmap.de/routed-car/</x:v>
      </x:c>
    </x:row>
    <x:row r="758">
      <x:c r="A758" s="51" t="str">
        <x:v>A0754</x:v>
      </x:c>
      <x:c r="B758" s="51" t="str">
        <x:v>C14</x:v>
      </x:c>
      <x:c r="C758" s="51" t="str">
        <x:v>collection</x:v>
      </x:c>
      <x:c r="D758" s="51" t="str">
        <x:v>阳江虚拟回收/检测中心</x:v>
      </x:c>
      <x:c r="E758" s="51" t="str">
        <x:v>P01</x:v>
      </x:c>
      <x:c r="F758" s="51" t="str">
        <x:v>recycling</x:v>
      </x:c>
      <x:c r="G758" s="51" t="str">
        <x:v>汕尾比亚迪废旧动力电池回收项目</x:v>
      </x:c>
      <x:c r="H758" s="52" t="n">
        <x:v>450.7268839403576</x:v>
      </x:c>
      <x:c r="I758" s="52" t="n">
        <x:v>438.6945</x:v>
      </x:c>
      <x:c r="J758" s="52" t="n">
        <x:v>303.63</x:v>
      </x:c>
      <x:c r="K758" s="52" t="n">
        <x:f>IFERROR(I758/H758,"")</x:f>
        <x:v>0.9733044902155209</x:v>
      </x:c>
      <x:c r="L758" s="52" t="n">
        <x:v>400</x:v>
      </x:c>
      <x:c r="M758" s="65" t="n">
        <x:f>IF(H758&lt;=L758,1,0)</x:f>
        <x:v>0</x:v>
      </x:c>
      <x:c r="N758" s="65" t="n">
        <x:f>IF(I758&lt;=L758,1,0)</x:f>
        <x:v>0</x:v>
      </x:c>
      <x:c r="O758" s="51" t="str">
        <x:f>IF(M758=N758,"不变",IF(N758=1,"由禁变允","由允变禁"))</x:f>
        <x:v>不变</x:v>
      </x:c>
      <x:c r="P758" s="51" t="str">
        <x:v>OSRM driving/car</x:v>
      </x:c>
      <x:c r="Q758" s="51" t="str">
        <x:v>2026-08-15</x:v>
      </x:c>
      <x:c r="R758" s="51" t="str">
        <x:v>C-开放路网计算；不是货车/危运合规路线</x:v>
      </x:c>
      <x:c r="S758" s="51" t="str">
        <x:v>https://routing.openstreetmap.de/routed-car/</x:v>
      </x:c>
    </x:row>
    <x:row r="759">
      <x:c r="A759" s="51" t="str">
        <x:v>A0755</x:v>
      </x:c>
      <x:c r="B759" s="51" t="str">
        <x:v>C14</x:v>
      </x:c>
      <x:c r="C759" s="51" t="str">
        <x:v>collection</x:v>
      </x:c>
      <x:c r="D759" s="51" t="str">
        <x:v>阳江虚拟回收/检测中心</x:v>
      </x:c>
      <x:c r="E759" s="51" t="str">
        <x:v>P02E</x:v>
      </x:c>
      <x:c r="F759" s="51" t="str">
        <x:v>echelon</x:v>
      </x:c>
      <x:c r="G759" s="51" t="str">
        <x:v>广东光华科技股份有限公司（梯次功能）</x:v>
      </x:c>
      <x:c r="H759" s="52" t="n">
        <x:v>625.3796721915959</x:v>
      </x:c>
      <x:c r="I759" s="52" t="n">
        <x:v>610.4419</x:v>
      </x:c>
      <x:c r="J759" s="52" t="n">
        <x:v>420.6333333333333</x:v>
      </x:c>
      <x:c r="K759" s="52" t="n">
        <x:f>IFERROR(I759/H759,"")</x:f>
        <x:v>0.9761140746080736</x:v>
      </x:c>
      <x:c r="L759" s="52" t="n">
        <x:v>300</x:v>
      </x:c>
      <x:c r="M759" s="65" t="n">
        <x:f>IF(H759&lt;=L759,1,0)</x:f>
        <x:v>0</x:v>
      </x:c>
      <x:c r="N759" s="65" t="n">
        <x:f>IF(I759&lt;=L759,1,0)</x:f>
        <x:v>0</x:v>
      </x:c>
      <x:c r="O759" s="51" t="str">
        <x:f>IF(M759=N759,"不变",IF(N759=1,"由禁变允","由允变禁"))</x:f>
        <x:v>不变</x:v>
      </x:c>
      <x:c r="P759" s="51" t="str">
        <x:v>OSRM driving/car</x:v>
      </x:c>
      <x:c r="Q759" s="51" t="str">
        <x:v>2026-08-15</x:v>
      </x:c>
      <x:c r="R759" s="51" t="str">
        <x:v>C-开放路网计算；不是货车/危运合规路线</x:v>
      </x:c>
      <x:c r="S759" s="51" t="str">
        <x:v>https://routing.openstreetmap.de/routed-car/</x:v>
      </x:c>
    </x:row>
    <x:row r="760">
      <x:c r="A760" s="51" t="str">
        <x:v>A0756</x:v>
      </x:c>
      <x:c r="B760" s="51" t="str">
        <x:v>C14</x:v>
      </x:c>
      <x:c r="C760" s="51" t="str">
        <x:v>collection</x:v>
      </x:c>
      <x:c r="D760" s="51" t="str">
        <x:v>阳江虚拟回收/检测中心</x:v>
      </x:c>
      <x:c r="E760" s="51" t="str">
        <x:v>P02R</x:v>
      </x:c>
      <x:c r="F760" s="51" t="str">
        <x:v>recycling</x:v>
      </x:c>
      <x:c r="G760" s="51" t="str">
        <x:v>广东光华科技股份有限公司（再生功能）</x:v>
      </x:c>
      <x:c r="H760" s="52" t="n">
        <x:v>625.3796721915959</x:v>
      </x:c>
      <x:c r="I760" s="52" t="n">
        <x:v>610.4419</x:v>
      </x:c>
      <x:c r="J760" s="52" t="n">
        <x:v>420.6333333333333</x:v>
      </x:c>
      <x:c r="K760" s="52" t="n">
        <x:f>IFERROR(I760/H760,"")</x:f>
        <x:v>0.9761140746080736</x:v>
      </x:c>
      <x:c r="L760" s="52" t="n">
        <x:v>400</x:v>
      </x:c>
      <x:c r="M760" s="65" t="n">
        <x:f>IF(H760&lt;=L760,1,0)</x:f>
        <x:v>0</x:v>
      </x:c>
      <x:c r="N760" s="65" t="n">
        <x:f>IF(I760&lt;=L760,1,0)</x:f>
        <x:v>0</x:v>
      </x:c>
      <x:c r="O760" s="51" t="str">
        <x:f>IF(M760=N760,"不变",IF(N760=1,"由禁变允","由允变禁"))</x:f>
        <x:v>不变</x:v>
      </x:c>
      <x:c r="P760" s="51" t="str">
        <x:v>OSRM driving/car</x:v>
      </x:c>
      <x:c r="Q760" s="51" t="str">
        <x:v>2026-08-15</x:v>
      </x:c>
      <x:c r="R760" s="51" t="str">
        <x:v>C-开放路网计算；不是货车/危运合规路线</x:v>
      </x:c>
      <x:c r="S760" s="51" t="str">
        <x:v>https://routing.openstreetmap.de/routed-car/</x:v>
      </x:c>
    </x:row>
    <x:row r="761">
      <x:c r="A761" s="51" t="str">
        <x:v>A0757</x:v>
      </x:c>
      <x:c r="B761" s="51" t="str">
        <x:v>C14</x:v>
      </x:c>
      <x:c r="C761" s="51" t="str">
        <x:v>collection</x:v>
      </x:c>
      <x:c r="D761" s="51" t="str">
        <x:v>阳江虚拟回收/检测中心</x:v>
      </x:c>
      <x:c r="E761" s="51" t="str">
        <x:v>P03</x:v>
      </x:c>
      <x:c r="F761" s="51" t="str">
        <x:v>echelon</x:v>
      </x:c>
      <x:c r="G761" s="51" t="str">
        <x:v>深圳深汕特别合作区乾泰技术有限公司</x:v>
      </x:c>
      <x:c r="H761" s="52" t="n">
        <x:v>475.24115449069046</x:v>
      </x:c>
      <x:c r="I761" s="52" t="n">
        <x:v>466.1564</x:v>
      </x:c>
      <x:c r="J761" s="52" t="n">
        <x:v>339.4433333333333</x:v>
      </x:c>
      <x:c r="K761" s="52" t="n">
        <x:f>IFERROR(I761/H761,"")</x:f>
        <x:v>0.9808839061919491</x:v>
      </x:c>
      <x:c r="L761" s="52" t="n">
        <x:v>300</x:v>
      </x:c>
      <x:c r="M761" s="65" t="n">
        <x:f>IF(H761&lt;=L761,1,0)</x:f>
        <x:v>0</x:v>
      </x:c>
      <x:c r="N761" s="65" t="n">
        <x:f>IF(I761&lt;=L761,1,0)</x:f>
        <x:v>0</x:v>
      </x:c>
      <x:c r="O761" s="51" t="str">
        <x:f>IF(M761=N761,"不变",IF(N761=1,"由禁变允","由允变禁"))</x:f>
        <x:v>不变</x:v>
      </x:c>
      <x:c r="P761" s="51" t="str">
        <x:v>OSRM driving/car</x:v>
      </x:c>
      <x:c r="Q761" s="51" t="str">
        <x:v>2026-08-15</x:v>
      </x:c>
      <x:c r="R761" s="51" t="str">
        <x:v>C-开放路网计算；不是货车/危运合规路线</x:v>
      </x:c>
      <x:c r="S761" s="51" t="str">
        <x:v>https://routing.openstreetmap.de/routed-car/</x:v>
      </x:c>
    </x:row>
    <x:row r="762">
      <x:c r="A762" s="51" t="str">
        <x:v>A0758</x:v>
      </x:c>
      <x:c r="B762" s="51" t="str">
        <x:v>C14</x:v>
      </x:c>
      <x:c r="C762" s="51" t="str">
        <x:v>collection</x:v>
      </x:c>
      <x:c r="D762" s="51" t="str">
        <x:v>阳江虚拟回收/检测中心</x:v>
      </x:c>
      <x:c r="E762" s="51" t="str">
        <x:v>P04</x:v>
      </x:c>
      <x:c r="F762" s="51" t="str">
        <x:v>echelon</x:v>
      </x:c>
      <x:c r="G762" s="51" t="str">
        <x:v>珠海中力新能源科技有限公司</x:v>
      </x:c>
      <x:c r="H762" s="52" t="n">
        <x:v>222.31046381687938</x:v>
      </x:c>
      <x:c r="I762" s="52" t="n">
        <x:v>242.77429999999998</x:v>
      </x:c>
      <x:c r="J762" s="52" t="n">
        <x:v>167.715</x:v>
      </x:c>
      <x:c r="K762" s="52" t="n">
        <x:f>IFERROR(I762/H762,"")</x:f>
        <x:v>1.092050710667299</x:v>
      </x:c>
      <x:c r="L762" s="52" t="n">
        <x:v>300</x:v>
      </x:c>
      <x:c r="M762" s="65" t="n">
        <x:f>IF(H762&lt;=L762,1,0)</x:f>
        <x:v>1</x:v>
      </x:c>
      <x:c r="N762" s="65" t="n">
        <x:f>IF(I762&lt;=L762,1,0)</x:f>
        <x:v>1</x:v>
      </x:c>
      <x:c r="O762" s="51" t="str">
        <x:f>IF(M762=N762,"不变",IF(N762=1,"由禁变允","由允变禁"))</x:f>
        <x:v>不变</x:v>
      </x:c>
      <x:c r="P762" s="51" t="str">
        <x:v>OSRM driving/car</x:v>
      </x:c>
      <x:c r="Q762" s="51" t="str">
        <x:v>2026-08-15</x:v>
      </x:c>
      <x:c r="R762" s="51" t="str">
        <x:v>C-开放路网计算；不是货车/危运合规路线</x:v>
      </x:c>
      <x:c r="S762" s="51" t="str">
        <x:v>https://routing.openstreetmap.de/routed-car/</x:v>
      </x:c>
    </x:row>
    <x:row r="763">
      <x:c r="A763" s="51" t="str">
        <x:v>A0759</x:v>
      </x:c>
      <x:c r="B763" s="51" t="str">
        <x:v>C14</x:v>
      </x:c>
      <x:c r="C763" s="51" t="str">
        <x:v>collection</x:v>
      </x:c>
      <x:c r="D763" s="51" t="str">
        <x:v>阳江虚拟回收/检测中心</x:v>
      </x:c>
      <x:c r="E763" s="51" t="str">
        <x:v>P05</x:v>
      </x:c>
      <x:c r="F763" s="51" t="str">
        <x:v>echelon</x:v>
      </x:c>
      <x:c r="G763" s="51" t="str">
        <x:v>惠州市恒创睿能环保科技有限公司</x:v>
      </x:c>
      <x:c r="H763" s="52" t="n">
        <x:v>351.17072385173043</x:v>
      </x:c>
      <x:c r="I763" s="52" t="n">
        <x:v>351.8615</x:v>
      </x:c>
      <x:c r="J763" s="52" t="n">
        <x:v>245.29833333333332</x:v>
      </x:c>
      <x:c r="K763" s="52" t="n">
        <x:f>IFERROR(I763/H763,"")</x:f>
        <x:v>1.001967066447604</x:v>
      </x:c>
      <x:c r="L763" s="52" t="n">
        <x:v>300</x:v>
      </x:c>
      <x:c r="M763" s="65" t="n">
        <x:f>IF(H763&lt;=L763,1,0)</x:f>
        <x:v>0</x:v>
      </x:c>
      <x:c r="N763" s="65" t="n">
        <x:f>IF(I763&lt;=L763,1,0)</x:f>
        <x:v>0</x:v>
      </x:c>
      <x:c r="O763" s="51" t="str">
        <x:f>IF(M763=N763,"不变",IF(N763=1,"由禁变允","由允变禁"))</x:f>
        <x:v>不变</x:v>
      </x:c>
      <x:c r="P763" s="51" t="str">
        <x:v>OSRM driving/car</x:v>
      </x:c>
      <x:c r="Q763" s="51" t="str">
        <x:v>2026-08-15</x:v>
      </x:c>
      <x:c r="R763" s="51" t="str">
        <x:v>C-开放路网计算；不是货车/危运合规路线</x:v>
      </x:c>
      <x:c r="S763" s="51" t="str">
        <x:v>https://routing.openstreetmap.de/routed-car/</x:v>
      </x:c>
    </x:row>
    <x:row r="764">
      <x:c r="A764" s="51" t="str">
        <x:v>A0760</x:v>
      </x:c>
      <x:c r="B764" s="51" t="str">
        <x:v>C14</x:v>
      </x:c>
      <x:c r="C764" s="51" t="str">
        <x:v>collection</x:v>
      </x:c>
      <x:c r="D764" s="51" t="str">
        <x:v>阳江虚拟回收/检测中心</x:v>
      </x:c>
      <x:c r="E764" s="51" t="str">
        <x:v>P06</x:v>
      </x:c>
      <x:c r="F764" s="51" t="str">
        <x:v>echelon</x:v>
      </x:c>
      <x:c r="G764" s="51" t="str">
        <x:v>江门市朗达锂电池有限公司</x:v>
      </x:c>
      <x:c r="H764" s="52" t="n">
        <x:v>172.24234503832372</x:v>
      </x:c>
      <x:c r="I764" s="52" t="n">
        <x:v>174.3725</x:v>
      </x:c>
      <x:c r="J764" s="52" t="n">
        <x:v>121.62666666666668</x:v>
      </x:c>
      <x:c r="K764" s="52" t="n">
        <x:f>IFERROR(I764/H764,"")</x:f>
        <x:v>1.0123671967030077</x:v>
      </x:c>
      <x:c r="L764" s="52" t="n">
        <x:v>300</x:v>
      </x:c>
      <x:c r="M764" s="65" t="n">
        <x:f>IF(H764&lt;=L764,1,0)</x:f>
        <x:v>1</x:v>
      </x:c>
      <x:c r="N764" s="65" t="n">
        <x:f>IF(I764&lt;=L764,1,0)</x:f>
        <x:v>1</x:v>
      </x:c>
      <x:c r="O764" s="51" t="str">
        <x:f>IF(M764=N764,"不变",IF(N764=1,"由禁变允","由允变禁"))</x:f>
        <x:v>不变</x:v>
      </x:c>
      <x:c r="P764" s="51" t="str">
        <x:v>OSRM driving/car</x:v>
      </x:c>
      <x:c r="Q764" s="51" t="str">
        <x:v>2026-08-15</x:v>
      </x:c>
      <x:c r="R764" s="51" t="str">
        <x:v>C-开放路网计算；不是货车/危运合规路线</x:v>
      </x:c>
      <x:c r="S764" s="51" t="str">
        <x:v>https://routing.openstreetmap.de/routed-car/</x:v>
      </x:c>
    </x:row>
    <x:row r="765">
      <x:c r="A765" s="51" t="str">
        <x:v>A0761</x:v>
      </x:c>
      <x:c r="B765" s="51" t="str">
        <x:v>C14</x:v>
      </x:c>
      <x:c r="C765" s="51" t="str">
        <x:v>collection</x:v>
      </x:c>
      <x:c r="D765" s="51" t="str">
        <x:v>阳江虚拟回收/检测中心</x:v>
      </x:c>
      <x:c r="E765" s="51" t="str">
        <x:v>P07</x:v>
      </x:c>
      <x:c r="F765" s="51" t="str">
        <x:v>echelon</x:v>
      </x:c>
      <x:c r="G765" s="51" t="str">
        <x:v>广东迪度新能源有限公司</x:v>
      </x:c>
      <x:c r="H765" s="52" t="n">
        <x:v>271.30826923165324</x:v>
      </x:c>
      <x:c r="I765" s="52" t="n">
        <x:v>283.8999</x:v>
      </x:c>
      <x:c r="J765" s="52" t="n">
        <x:v>194.47333333333333</x:v>
      </x:c>
      <x:c r="K765" s="52" t="n">
        <x:f>IFERROR(I765/H765,"")</x:f>
        <x:v>1.0464107887459764</x:v>
      </x:c>
      <x:c r="L765" s="52" t="n">
        <x:v>300</x:v>
      </x:c>
      <x:c r="M765" s="65" t="n">
        <x:f>IF(H765&lt;=L765,1,0)</x:f>
        <x:v>1</x:v>
      </x:c>
      <x:c r="N765" s="65" t="n">
        <x:f>IF(I765&lt;=L765,1,0)</x:f>
        <x:v>1</x:v>
      </x:c>
      <x:c r="O765" s="51" t="str">
        <x:f>IF(M765=N765,"不变",IF(N765=1,"由禁变允","由允变禁"))</x:f>
        <x:v>不变</x:v>
      </x:c>
      <x:c r="P765" s="51" t="str">
        <x:v>OSRM driving/car</x:v>
      </x:c>
      <x:c r="Q765" s="51" t="str">
        <x:v>2026-08-15</x:v>
      </x:c>
      <x:c r="R765" s="51" t="str">
        <x:v>C-开放路网计算；不是货车/危运合规路线</x:v>
      </x:c>
      <x:c r="S765" s="51" t="str">
        <x:v>https://routing.openstreetmap.de/routed-car/</x:v>
      </x:c>
    </x:row>
    <x:row r="766">
      <x:c r="A766" s="51" t="str">
        <x:v>A0762</x:v>
      </x:c>
      <x:c r="B766" s="51" t="str">
        <x:v>C14</x:v>
      </x:c>
      <x:c r="C766" s="51" t="str">
        <x:v>collection</x:v>
      </x:c>
      <x:c r="D766" s="51" t="str">
        <x:v>阳江虚拟回收/检测中心</x:v>
      </x:c>
      <x:c r="E766" s="51" t="str">
        <x:v>P08</x:v>
      </x:c>
      <x:c r="F766" s="51" t="str">
        <x:v>echelon</x:v>
      </x:c>
      <x:c r="G766" s="51" t="str">
        <x:v>东莞市博森新能源有限公司</x:v>
      </x:c>
      <x:c r="H766" s="52" t="n">
        <x:v>271.30826923165324</x:v>
      </x:c>
      <x:c r="I766" s="52" t="n">
        <x:v>283.8999</x:v>
      </x:c>
      <x:c r="J766" s="52" t="n">
        <x:v>194.47333333333333</x:v>
      </x:c>
      <x:c r="K766" s="52" t="n">
        <x:f>IFERROR(I766/H766,"")</x:f>
        <x:v>1.0464107887459764</x:v>
      </x:c>
      <x:c r="L766" s="52" t="n">
        <x:v>300</x:v>
      </x:c>
      <x:c r="M766" s="65" t="n">
        <x:f>IF(H766&lt;=L766,1,0)</x:f>
        <x:v>1</x:v>
      </x:c>
      <x:c r="N766" s="65" t="n">
        <x:f>IF(I766&lt;=L766,1,0)</x:f>
        <x:v>1</x:v>
      </x:c>
      <x:c r="O766" s="51" t="str">
        <x:f>IF(M766=N766,"不变",IF(N766=1,"由禁变允","由允变禁"))</x:f>
        <x:v>不变</x:v>
      </x:c>
      <x:c r="P766" s="51" t="str">
        <x:v>OSRM driving/car</x:v>
      </x:c>
      <x:c r="Q766" s="51" t="str">
        <x:v>2026-08-15</x:v>
      </x:c>
      <x:c r="R766" s="51" t="str">
        <x:v>C-开放路网计算；不是货车/危运合规路线</x:v>
      </x:c>
      <x:c r="S766" s="51" t="str">
        <x:v>https://routing.openstreetmap.de/routed-car/</x:v>
      </x:c>
    </x:row>
    <x:row r="767">
      <x:c r="A767" s="51" t="str">
        <x:v>A0763</x:v>
      </x:c>
      <x:c r="B767" s="51" t="str">
        <x:v>C14</x:v>
      </x:c>
      <x:c r="C767" s="51" t="str">
        <x:v>collection</x:v>
      </x:c>
      <x:c r="D767" s="51" t="str">
        <x:v>阳江虚拟回收/检测中心</x:v>
      </x:c>
      <x:c r="E767" s="51" t="str">
        <x:v>P09</x:v>
      </x:c>
      <x:c r="F767" s="51" t="str">
        <x:v>echelon</x:v>
      </x:c>
      <x:c r="G767" s="51" t="str">
        <x:v>广东宇阳新能源有限公司</x:v>
      </x:c>
      <x:c r="H767" s="52" t="n">
        <x:v>271.30826923165324</x:v>
      </x:c>
      <x:c r="I767" s="52" t="n">
        <x:v>283.8999</x:v>
      </x:c>
      <x:c r="J767" s="52" t="n">
        <x:v>194.47333333333333</x:v>
      </x:c>
      <x:c r="K767" s="52" t="n">
        <x:f>IFERROR(I767/H767,"")</x:f>
        <x:v>1.0464107887459764</x:v>
      </x:c>
      <x:c r="L767" s="52" t="n">
        <x:v>300</x:v>
      </x:c>
      <x:c r="M767" s="65" t="n">
        <x:f>IF(H767&lt;=L767,1,0)</x:f>
        <x:v>1</x:v>
      </x:c>
      <x:c r="N767" s="65" t="n">
        <x:f>IF(I767&lt;=L767,1,0)</x:f>
        <x:v>1</x:v>
      </x:c>
      <x:c r="O767" s="51" t="str">
        <x:f>IF(M767=N767,"不变",IF(N767=1,"由禁变允","由允变禁"))</x:f>
        <x:v>不变</x:v>
      </x:c>
      <x:c r="P767" s="51" t="str">
        <x:v>OSRM driving/car</x:v>
      </x:c>
      <x:c r="Q767" s="51" t="str">
        <x:v>2026-08-15</x:v>
      </x:c>
      <x:c r="R767" s="51" t="str">
        <x:v>C-开放路网计算；不是货车/危运合规路线</x:v>
      </x:c>
      <x:c r="S767" s="51" t="str">
        <x:v>https://routing.openstreetmap.de/routed-car/</x:v>
      </x:c>
    </x:row>
    <x:row r="768">
      <x:c r="A768" s="51" t="str">
        <x:v>A0764</x:v>
      </x:c>
      <x:c r="B768" s="51" t="str">
        <x:v>C14</x:v>
      </x:c>
      <x:c r="C768" s="51" t="str">
        <x:v>collection</x:v>
      </x:c>
      <x:c r="D768" s="51" t="str">
        <x:v>阳江虚拟回收/检测中心</x:v>
      </x:c>
      <x:c r="E768" s="51" t="str">
        <x:v>P10</x:v>
      </x:c>
      <x:c r="F768" s="51" t="str">
        <x:v>echelon</x:v>
      </x:c>
      <x:c r="G768" s="51" t="str">
        <x:v>广州广汽商贸再生资源有限公司</x:v>
      </x:c>
      <x:c r="H768" s="52" t="n">
        <x:v>228.13253822875888</x:v>
      </x:c>
      <x:c r="I768" s="52" t="n">
        <x:v>233.70170000000002</x:v>
      </x:c>
      <x:c r="J768" s="52" t="n">
        <x:v>163.39</x:v>
      </x:c>
      <x:c r="K768" s="52" t="n">
        <x:f>IFERROR(I768/H768,"")</x:f>
        <x:v>1.0244119572529224</x:v>
      </x:c>
      <x:c r="L768" s="52" t="n">
        <x:v>300</x:v>
      </x:c>
      <x:c r="M768" s="65" t="n">
        <x:f>IF(H768&lt;=L768,1,0)</x:f>
        <x:v>1</x:v>
      </x:c>
      <x:c r="N768" s="65" t="n">
        <x:f>IF(I768&lt;=L768,1,0)</x:f>
        <x:v>1</x:v>
      </x:c>
      <x:c r="O768" s="51" t="str">
        <x:f>IF(M768=N768,"不变",IF(N768=1,"由禁变允","由允变禁"))</x:f>
        <x:v>不变</x:v>
      </x:c>
      <x:c r="P768" s="51" t="str">
        <x:v>OSRM driving/car</x:v>
      </x:c>
      <x:c r="Q768" s="51" t="str">
        <x:v>2026-08-15</x:v>
      </x:c>
      <x:c r="R768" s="51" t="str">
        <x:v>C-开放路网计算；不是货车/危运合规路线</x:v>
      </x:c>
      <x:c r="S768" s="51" t="str">
        <x:v>https://routing.openstreetmap.de/routed-car/</x:v>
      </x:c>
    </x:row>
    <x:row r="769">
      <x:c r="A769" s="51" t="str">
        <x:v>A0765</x:v>
      </x:c>
      <x:c r="B769" s="51" t="str">
        <x:v>C14</x:v>
      </x:c>
      <x:c r="C769" s="51" t="str">
        <x:v>collection</x:v>
      </x:c>
      <x:c r="D769" s="51" t="str">
        <x:v>阳江虚拟回收/检测中心</x:v>
      </x:c>
      <x:c r="E769" s="51" t="str">
        <x:v>P11</x:v>
      </x:c>
      <x:c r="F769" s="51" t="str">
        <x:v>echelon</x:v>
      </x:c>
      <x:c r="G769" s="51" t="str">
        <x:v>深圳市杰成镍钴新能源科技有限公司</x:v>
      </x:c>
      <x:c r="H769" s="52" t="n">
        <x:v>286.6932251227238</x:v>
      </x:c>
      <x:c r="I769" s="52" t="n">
        <x:v>285.0773</x:v>
      </x:c>
      <x:c r="J769" s="52" t="n">
        <x:v>198.73166666666665</x:v>
      </x:c>
      <x:c r="K769" s="52" t="n">
        <x:f>IFERROR(I769/H769,"")</x:f>
        <x:v>0.9943635740885328</x:v>
      </x:c>
      <x:c r="L769" s="52" t="n">
        <x:v>300</x:v>
      </x:c>
      <x:c r="M769" s="65" t="n">
        <x:f>IF(H769&lt;=L769,1,0)</x:f>
        <x:v>1</x:v>
      </x:c>
      <x:c r="N769" s="65" t="n">
        <x:f>IF(I769&lt;=L769,1,0)</x:f>
        <x:v>1</x:v>
      </x:c>
      <x:c r="O769" s="51" t="str">
        <x:f>IF(M769=N769,"不变",IF(N769=1,"由禁变允","由允变禁"))</x:f>
        <x:v>不变</x:v>
      </x:c>
      <x:c r="P769" s="51" t="str">
        <x:v>OSRM driving/car</x:v>
      </x:c>
      <x:c r="Q769" s="51" t="str">
        <x:v>2026-08-15</x:v>
      </x:c>
      <x:c r="R769" s="51" t="str">
        <x:v>C-开放路网计算；不是货车/危运合规路线</x:v>
      </x:c>
      <x:c r="S769" s="51" t="str">
        <x:v>https://routing.openstreetmap.de/routed-car/</x:v>
      </x:c>
    </x:row>
    <x:row r="770">
      <x:c r="A770" s="51" t="str">
        <x:v>A0766</x:v>
      </x:c>
      <x:c r="B770" s="51" t="str">
        <x:v>C14</x:v>
      </x:c>
      <x:c r="C770" s="51" t="str">
        <x:v>collection</x:v>
      </x:c>
      <x:c r="D770" s="51" t="str">
        <x:v>阳江虚拟回收/检测中心</x:v>
      </x:c>
      <x:c r="E770" s="51" t="str">
        <x:v>P12</x:v>
      </x:c>
      <x:c r="F770" s="51" t="str">
        <x:v>recycling</x:v>
      </x:c>
      <x:c r="G770" s="51" t="str">
        <x:v>江门市恒创睿能环保科技有限公司</x:v>
      </x:c>
      <x:c r="H770" s="52" t="n">
        <x:v>172.24234503832372</x:v>
      </x:c>
      <x:c r="I770" s="52" t="n">
        <x:v>174.3725</x:v>
      </x:c>
      <x:c r="J770" s="52" t="n">
        <x:v>121.62666666666668</x:v>
      </x:c>
      <x:c r="K770" s="52" t="n">
        <x:f>IFERROR(I770/H770,"")</x:f>
        <x:v>1.0123671967030077</x:v>
      </x:c>
      <x:c r="L770" s="52" t="n">
        <x:v>400</x:v>
      </x:c>
      <x:c r="M770" s="65" t="n">
        <x:f>IF(H770&lt;=L770,1,0)</x:f>
        <x:v>1</x:v>
      </x:c>
      <x:c r="N770" s="65" t="n">
        <x:f>IF(I770&lt;=L770,1,0)</x:f>
        <x:v>1</x:v>
      </x:c>
      <x:c r="O770" s="51" t="str">
        <x:f>IF(M770=N770,"不变",IF(N770=1,"由禁变允","由允变禁"))</x:f>
        <x:v>不变</x:v>
      </x:c>
      <x:c r="P770" s="51" t="str">
        <x:v>OSRM driving/car</x:v>
      </x:c>
      <x:c r="Q770" s="51" t="str">
        <x:v>2026-08-15</x:v>
      </x:c>
      <x:c r="R770" s="51" t="str">
        <x:v>C-开放路网计算；不是货车/危运合规路线</x:v>
      </x:c>
      <x:c r="S770" s="51" t="str">
        <x:v>https://routing.openstreetmap.de/routed-car/</x:v>
      </x:c>
    </x:row>
    <x:row r="771">
      <x:c r="A771" s="51" t="str">
        <x:v>A0767</x:v>
      </x:c>
      <x:c r="B771" s="51" t="str">
        <x:v>C14</x:v>
      </x:c>
      <x:c r="C771" s="51" t="str">
        <x:v>collection</x:v>
      </x:c>
      <x:c r="D771" s="51" t="str">
        <x:v>阳江虚拟回收/检测中心</x:v>
      </x:c>
      <x:c r="E771" s="51" t="str">
        <x:v>P13</x:v>
      </x:c>
      <x:c r="F771" s="51" t="str">
        <x:v>recycling</x:v>
      </x:c>
      <x:c r="G771" s="51" t="str">
        <x:v>广东佳纳能源科技有限公司</x:v>
      </x:c>
      <x:c r="H771" s="52" t="n">
        <x:v>262.9480259372752</x:v>
      </x:c>
      <x:c r="I771" s="52" t="n">
        <x:v>264.9295</x:v>
      </x:c>
      <x:c r="J771" s="52" t="n">
        <x:v>188.735</x:v>
      </x:c>
      <x:c r="K771" s="52" t="n">
        <x:f>IFERROR(I771/H771,"")</x:f>
        <x:v>1.0075356110990448</x:v>
      </x:c>
      <x:c r="L771" s="52" t="n">
        <x:v>400</x:v>
      </x:c>
      <x:c r="M771" s="65" t="n">
        <x:f>IF(H771&lt;=L771,1,0)</x:f>
        <x:v>1</x:v>
      </x:c>
      <x:c r="N771" s="65" t="n">
        <x:f>IF(I771&lt;=L771,1,0)</x:f>
        <x:v>1</x:v>
      </x:c>
      <x:c r="O771" s="51" t="str">
        <x:f>IF(M771=N771,"不变",IF(N771=1,"由禁变允","由允变禁"))</x:f>
        <x:v>不变</x:v>
      </x:c>
      <x:c r="P771" s="51" t="str">
        <x:v>OSRM driving/car</x:v>
      </x:c>
      <x:c r="Q771" s="51" t="str">
        <x:v>2026-08-15</x:v>
      </x:c>
      <x:c r="R771" s="51" t="str">
        <x:v>C-开放路网计算；不是货车/危运合规路线</x:v>
      </x:c>
      <x:c r="S771" s="51" t="str">
        <x:v>https://routing.openstreetmap.de/routed-car/</x:v>
      </x:c>
    </x:row>
    <x:row r="772">
      <x:c r="A772" s="51" t="str">
        <x:v>A0768</x:v>
      </x:c>
      <x:c r="B772" s="51" t="str">
        <x:v>C14</x:v>
      </x:c>
      <x:c r="C772" s="51" t="str">
        <x:v>collection</x:v>
      </x:c>
      <x:c r="D772" s="51" t="str">
        <x:v>阳江虚拟回收/检测中心</x:v>
      </x:c>
      <x:c r="E772" s="51" t="str">
        <x:v>P14</x:v>
      </x:c>
      <x:c r="F772" s="51" t="str">
        <x:v>echelon</x:v>
      </x:c>
      <x:c r="G772" s="51" t="str">
        <x:v>格林美（深圳）循环科技有限公司</x:v>
      </x:c>
      <x:c r="H772" s="52" t="n">
        <x:v>286.6932251227238</x:v>
      </x:c>
      <x:c r="I772" s="52" t="n">
        <x:v>285.0773</x:v>
      </x:c>
      <x:c r="J772" s="52" t="n">
        <x:v>198.73166666666665</x:v>
      </x:c>
      <x:c r="K772" s="52" t="n">
        <x:f>IFERROR(I772/H772,"")</x:f>
        <x:v>0.9943635740885328</x:v>
      </x:c>
      <x:c r="L772" s="52" t="n">
        <x:v>300</x:v>
      </x:c>
      <x:c r="M772" s="65" t="n">
        <x:f>IF(H772&lt;=L772,1,0)</x:f>
        <x:v>1</x:v>
      </x:c>
      <x:c r="N772" s="65" t="n">
        <x:f>IF(I772&lt;=L772,1,0)</x:f>
        <x:v>1</x:v>
      </x:c>
      <x:c r="O772" s="51" t="str">
        <x:f>IF(M772=N772,"不变",IF(N772=1,"由禁变允","由允变禁"))</x:f>
        <x:v>不变</x:v>
      </x:c>
      <x:c r="P772" s="51" t="str">
        <x:v>OSRM driving/car</x:v>
      </x:c>
      <x:c r="Q772" s="51" t="str">
        <x:v>2026-08-15</x:v>
      </x:c>
      <x:c r="R772" s="51" t="str">
        <x:v>C-开放路网计算；不是货车/危运合规路线</x:v>
      </x:c>
      <x:c r="S772" s="51" t="str">
        <x:v>https://routing.openstreetmap.de/routed-car/</x:v>
      </x:c>
    </x:row>
    <x:row r="773">
      <x:c r="A773" s="51" t="str">
        <x:v>A0769</x:v>
      </x:c>
      <x:c r="B773" s="51" t="str">
        <x:v>C14</x:v>
      </x:c>
      <x:c r="C773" s="51" t="str">
        <x:v>collection</x:v>
      </x:c>
      <x:c r="D773" s="51" t="str">
        <x:v>阳江虚拟回收/检测中心</x:v>
      </x:c>
      <x:c r="E773" s="51" t="str">
        <x:v>P15</x:v>
      </x:c>
      <x:c r="F773" s="51" t="str">
        <x:v>echelon</x:v>
      </x:c>
      <x:c r="G773" s="51" t="str">
        <x:v>绿循新能源科技（佛山）有限责任公司</x:v>
      </x:c>
      <x:c r="H773" s="52" t="n">
        <x:v>205.69397617582445</x:v>
      </x:c>
      <x:c r="I773" s="52" t="n">
        <x:v>210.554</x:v>
      </x:c>
      <x:c r="J773" s="52" t="n">
        <x:v>144.70499999999998</x:v>
      </x:c>
      <x:c r="K773" s="52" t="n">
        <x:f>IFERROR(I773/H773,"")</x:f>
        <x:v>1.0236274484772527</x:v>
      </x:c>
      <x:c r="L773" s="52" t="n">
        <x:v>300</x:v>
      </x:c>
      <x:c r="M773" s="65" t="n">
        <x:f>IF(H773&lt;=L773,1,0)</x:f>
        <x:v>1</x:v>
      </x:c>
      <x:c r="N773" s="65" t="n">
        <x:f>IF(I773&lt;=L773,1,0)</x:f>
        <x:v>1</x:v>
      </x:c>
      <x:c r="O773" s="51" t="str">
        <x:f>IF(M773=N773,"不变",IF(N773=1,"由禁变允","由允变禁"))</x:f>
        <x:v>不变</x:v>
      </x:c>
      <x:c r="P773" s="51" t="str">
        <x:v>OSRM driving/car</x:v>
      </x:c>
      <x:c r="Q773" s="51" t="str">
        <x:v>2026-08-15</x:v>
      </x:c>
      <x:c r="R773" s="51" t="str">
        <x:v>C-开放路网计算；不是货车/危运合规路线</x:v>
      </x:c>
      <x:c r="S773" s="51" t="str">
        <x:v>https://routing.openstreetmap.de/routed-car/</x:v>
      </x:c>
    </x:row>
    <x:row r="774">
      <x:c r="A774" s="51" t="str">
        <x:v>A0770</x:v>
      </x:c>
      <x:c r="B774" s="51" t="str">
        <x:v>C14</x:v>
      </x:c>
      <x:c r="C774" s="51" t="str">
        <x:v>collection</x:v>
      </x:c>
      <x:c r="D774" s="51" t="str">
        <x:v>阳江虚拟回收/检测中心</x:v>
      </x:c>
      <x:c r="E774" s="51" t="str">
        <x:v>P16</x:v>
      </x:c>
      <x:c r="F774" s="51" t="str">
        <x:v>echelon</x:v>
      </x:c>
      <x:c r="G774" s="51" t="str">
        <x:v>深圳艾云动智慧科技有限公司</x:v>
      </x:c>
      <x:c r="H774" s="52" t="n">
        <x:v>286.6932251227238</x:v>
      </x:c>
      <x:c r="I774" s="52" t="n">
        <x:v>285.0773</x:v>
      </x:c>
      <x:c r="J774" s="52" t="n">
        <x:v>198.73166666666665</x:v>
      </x:c>
      <x:c r="K774" s="52" t="n">
        <x:f>IFERROR(I774/H774,"")</x:f>
        <x:v>0.9943635740885328</x:v>
      </x:c>
      <x:c r="L774" s="52" t="n">
        <x:v>300</x:v>
      </x:c>
      <x:c r="M774" s="65" t="n">
        <x:f>IF(H774&lt;=L774,1,0)</x:f>
        <x:v>1</x:v>
      </x:c>
      <x:c r="N774" s="65" t="n">
        <x:f>IF(I774&lt;=L774,1,0)</x:f>
        <x:v>1</x:v>
      </x:c>
      <x:c r="O774" s="51" t="str">
        <x:f>IF(M774=N774,"不变",IF(N774=1,"由禁变允","由允变禁"))</x:f>
        <x:v>不变</x:v>
      </x:c>
      <x:c r="P774" s="51" t="str">
        <x:v>OSRM driving/car</x:v>
      </x:c>
      <x:c r="Q774" s="51" t="str">
        <x:v>2026-08-15</x:v>
      </x:c>
      <x:c r="R774" s="51" t="str">
        <x:v>C-开放路网计算；不是货车/危运合规路线</x:v>
      </x:c>
      <x:c r="S774" s="51" t="str">
        <x:v>https://routing.openstreetmap.de/routed-car/</x:v>
      </x:c>
    </x:row>
    <x:row r="775">
      <x:c r="A775" s="51" t="str">
        <x:v>A0771</x:v>
      </x:c>
      <x:c r="B775" s="51" t="str">
        <x:v>C14</x:v>
      </x:c>
      <x:c r="C775" s="51" t="str">
        <x:v>collection</x:v>
      </x:c>
      <x:c r="D775" s="51" t="str">
        <x:v>阳江虚拟回收/检测中心</x:v>
      </x:c>
      <x:c r="E775" s="51" t="str">
        <x:v>P17</x:v>
      </x:c>
      <x:c r="F775" s="51" t="str">
        <x:v>echelon</x:v>
      </x:c>
      <x:c r="G775" s="51" t="str">
        <x:v>深圳市荣高晟新能源科技有限公司</x:v>
      </x:c>
      <x:c r="H775" s="52" t="n">
        <x:v>286.6932251227238</x:v>
      </x:c>
      <x:c r="I775" s="52" t="n">
        <x:v>285.0773</x:v>
      </x:c>
      <x:c r="J775" s="52" t="n">
        <x:v>198.73166666666665</x:v>
      </x:c>
      <x:c r="K775" s="52" t="n">
        <x:f>IFERROR(I775/H775,"")</x:f>
        <x:v>0.9943635740885328</x:v>
      </x:c>
      <x:c r="L775" s="52" t="n">
        <x:v>300</x:v>
      </x:c>
      <x:c r="M775" s="65" t="n">
        <x:f>IF(H775&lt;=L775,1,0)</x:f>
        <x:v>1</x:v>
      </x:c>
      <x:c r="N775" s="65" t="n">
        <x:f>IF(I775&lt;=L775,1,0)</x:f>
        <x:v>1</x:v>
      </x:c>
      <x:c r="O775" s="51" t="str">
        <x:f>IF(M775=N775,"不变",IF(N775=1,"由禁变允","由允变禁"))</x:f>
        <x:v>不变</x:v>
      </x:c>
      <x:c r="P775" s="51" t="str">
        <x:v>OSRM driving/car</x:v>
      </x:c>
      <x:c r="Q775" s="51" t="str">
        <x:v>2026-08-15</x:v>
      </x:c>
      <x:c r="R775" s="51" t="str">
        <x:v>C-开放路网计算；不是货车/危运合规路线</x:v>
      </x:c>
      <x:c r="S775" s="51" t="str">
        <x:v>https://routing.openstreetmap.de/routed-car/</x:v>
      </x:c>
    </x:row>
    <x:row r="776">
      <x:c r="A776" s="51" t="str">
        <x:v>A0772</x:v>
      </x:c>
      <x:c r="B776" s="51" t="str">
        <x:v>C14</x:v>
      </x:c>
      <x:c r="C776" s="51" t="str">
        <x:v>collection</x:v>
      </x:c>
      <x:c r="D776" s="51" t="str">
        <x:v>阳江虚拟回收/检测中心</x:v>
      </x:c>
      <x:c r="E776" s="51" t="str">
        <x:v>P18</x:v>
      </x:c>
      <x:c r="F776" s="51" t="str">
        <x:v>echelon</x:v>
      </x:c>
      <x:c r="G776" s="51" t="str">
        <x:v>中商锂新能源科技（惠州）有限公司</x:v>
      </x:c>
      <x:c r="H776" s="52" t="n">
        <x:v>351.17072385173043</x:v>
      </x:c>
      <x:c r="I776" s="52" t="n">
        <x:v>351.8615</x:v>
      </x:c>
      <x:c r="J776" s="52" t="n">
        <x:v>245.29833333333332</x:v>
      </x:c>
      <x:c r="K776" s="52" t="n">
        <x:f>IFERROR(I776/H776,"")</x:f>
        <x:v>1.001967066447604</x:v>
      </x:c>
      <x:c r="L776" s="52" t="n">
        <x:v>300</x:v>
      </x:c>
      <x:c r="M776" s="65" t="n">
        <x:f>IF(H776&lt;=L776,1,0)</x:f>
        <x:v>0</x:v>
      </x:c>
      <x:c r="N776" s="65" t="n">
        <x:f>IF(I776&lt;=L776,1,0)</x:f>
        <x:v>0</x:v>
      </x:c>
      <x:c r="O776" s="51" t="str">
        <x:f>IF(M776=N776,"不变",IF(N776=1,"由禁变允","由允变禁"))</x:f>
        <x:v>不变</x:v>
      </x:c>
      <x:c r="P776" s="51" t="str">
        <x:v>OSRM driving/car</x:v>
      </x:c>
      <x:c r="Q776" s="51" t="str">
        <x:v>2026-08-15</x:v>
      </x:c>
      <x:c r="R776" s="51" t="str">
        <x:v>C-开放路网计算；不是货车/危运合规路线</x:v>
      </x:c>
      <x:c r="S776" s="51" t="str">
        <x:v>https://routing.openstreetmap.de/routed-car/</x:v>
      </x:c>
    </x:row>
    <x:row r="777">
      <x:c r="A777" s="51" t="str">
        <x:v>A0773</x:v>
      </x:c>
      <x:c r="B777" s="51" t="str">
        <x:v>C14</x:v>
      </x:c>
      <x:c r="C777" s="51" t="str">
        <x:v>collection</x:v>
      </x:c>
      <x:c r="D777" s="51" t="str">
        <x:v>阳江虚拟回收/检测中心</x:v>
      </x:c>
      <x:c r="E777" s="51" t="str">
        <x:v>P19</x:v>
      </x:c>
      <x:c r="F777" s="51" t="str">
        <x:v>recycling</x:v>
      </x:c>
      <x:c r="G777" s="51" t="str">
        <x:v>广东盛祥新材料科技有限公司</x:v>
      </x:c>
      <x:c r="H777" s="52" t="n">
        <x:v>441.6558572790621</x:v>
      </x:c>
      <x:c r="I777" s="52" t="n">
        <x:v>436.28479999999996</x:v>
      </x:c>
      <x:c r="J777" s="52" t="n">
        <x:v>310.92333333333335</x:v>
      </x:c>
      <x:c r="K777" s="52" t="n">
        <x:f>IFERROR(I777/H777,"")</x:f>
        <x:v>0.9878388179607717</x:v>
      </x:c>
      <x:c r="L777" s="52" t="n">
        <x:v>400</x:v>
      </x:c>
      <x:c r="M777" s="65" t="n">
        <x:f>IF(H777&lt;=L777,1,0)</x:f>
        <x:v>0</x:v>
      </x:c>
      <x:c r="N777" s="65" t="n">
        <x:f>IF(I777&lt;=L777,1,0)</x:f>
        <x:v>0</x:v>
      </x:c>
      <x:c r="O777" s="51" t="str">
        <x:f>IF(M777=N777,"不变",IF(N777=1,"由禁变允","由允变禁"))</x:f>
        <x:v>不变</x:v>
      </x:c>
      <x:c r="P777" s="51" t="str">
        <x:v>OSRM driving/car</x:v>
      </x:c>
      <x:c r="Q777" s="51" t="str">
        <x:v>2026-08-15</x:v>
      </x:c>
      <x:c r="R777" s="51" t="str">
        <x:v>C-开放路网计算；不是货车/危运合规路线</x:v>
      </x:c>
      <x:c r="S777" s="51" t="str">
        <x:v>https://routing.openstreetmap.de/routed-car/</x:v>
      </x:c>
    </x:row>
    <x:row r="778">
      <x:c r="A778" s="51" t="str">
        <x:v>A0774</x:v>
      </x:c>
      <x:c r="B778" s="51" t="str">
        <x:v>C14</x:v>
      </x:c>
      <x:c r="C778" s="51" t="str">
        <x:v>collection</x:v>
      </x:c>
      <x:c r="D778" s="51" t="str">
        <x:v>阳江虚拟回收/检测中心</x:v>
      </x:c>
      <x:c r="E778" s="51" t="str">
        <x:v>P20E</x:v>
      </x:c>
      <x:c r="F778" s="51" t="str">
        <x:v>echelon</x:v>
      </x:c>
      <x:c r="G778" s="51" t="str">
        <x:v>广东金晟新能源股份有限公司（梯次功能）</x:v>
      </x:c>
      <x:c r="H778" s="52" t="n">
        <x:v>152.24398513792852</x:v>
      </x:c>
      <x:c r="I778" s="52" t="n">
        <x:v>157.7159</x:v>
      </x:c>
      <x:c r="J778" s="52" t="n">
        <x:v>112.49666666666667</x:v>
      </x:c>
      <x:c r="K778" s="52" t="n">
        <x:f>IFERROR(I778/H778,"")</x:f>
        <x:v>1.0359417474333328</x:v>
      </x:c>
      <x:c r="L778" s="52" t="n">
        <x:v>300</x:v>
      </x:c>
      <x:c r="M778" s="65" t="n">
        <x:f>IF(H778&lt;=L778,1,0)</x:f>
        <x:v>1</x:v>
      </x:c>
      <x:c r="N778" s="65" t="n">
        <x:f>IF(I778&lt;=L778,1,0)</x:f>
        <x:v>1</x:v>
      </x:c>
      <x:c r="O778" s="51" t="str">
        <x:f>IF(M778=N778,"不变",IF(N778=1,"由禁变允","由允变禁"))</x:f>
        <x:v>不变</x:v>
      </x:c>
      <x:c r="P778" s="51" t="str">
        <x:v>OSRM driving/car</x:v>
      </x:c>
      <x:c r="Q778" s="51" t="str">
        <x:v>2026-08-15</x:v>
      </x:c>
      <x:c r="R778" s="51" t="str">
        <x:v>C-开放路网计算；不是货车/危运合规路线</x:v>
      </x:c>
      <x:c r="S778" s="51" t="str">
        <x:v>https://routing.openstreetmap.de/routed-car/</x:v>
      </x:c>
    </x:row>
    <x:row r="779">
      <x:c r="A779" s="51" t="str">
        <x:v>A0775</x:v>
      </x:c>
      <x:c r="B779" s="51" t="str">
        <x:v>C14</x:v>
      </x:c>
      <x:c r="C779" s="51" t="str">
        <x:v>collection</x:v>
      </x:c>
      <x:c r="D779" s="51" t="str">
        <x:v>阳江虚拟回收/检测中心</x:v>
      </x:c>
      <x:c r="E779" s="51" t="str">
        <x:v>P20R</x:v>
      </x:c>
      <x:c r="F779" s="51" t="str">
        <x:v>recycling</x:v>
      </x:c>
      <x:c r="G779" s="51" t="str">
        <x:v>广东金晟新能源股份有限公司（再生功能）</x:v>
      </x:c>
      <x:c r="H779" s="52" t="n">
        <x:v>152.24398513792852</x:v>
      </x:c>
      <x:c r="I779" s="52" t="n">
        <x:v>157.7159</x:v>
      </x:c>
      <x:c r="J779" s="52" t="n">
        <x:v>112.49666666666667</x:v>
      </x:c>
      <x:c r="K779" s="52" t="n">
        <x:f>IFERROR(I779/H779,"")</x:f>
        <x:v>1.0359417474333328</x:v>
      </x:c>
      <x:c r="L779" s="52" t="n">
        <x:v>400</x:v>
      </x:c>
      <x:c r="M779" s="65" t="n">
        <x:f>IF(H779&lt;=L779,1,0)</x:f>
        <x:v>1</x:v>
      </x:c>
      <x:c r="N779" s="65" t="n">
        <x:f>IF(I779&lt;=L779,1,0)</x:f>
        <x:v>1</x:v>
      </x:c>
      <x:c r="O779" s="51" t="str">
        <x:f>IF(M779=N779,"不变",IF(N779=1,"由禁变允","由允变禁"))</x:f>
        <x:v>不变</x:v>
      </x:c>
      <x:c r="P779" s="51" t="str">
        <x:v>OSRM driving/car</x:v>
      </x:c>
      <x:c r="Q779" s="51" t="str">
        <x:v>2026-08-15</x:v>
      </x:c>
      <x:c r="R779" s="51" t="str">
        <x:v>C-开放路网计算；不是货车/危运合规路线</x:v>
      </x:c>
      <x:c r="S779" s="51" t="str">
        <x:v>https://routing.openstreetmap.de/routed-car/</x:v>
      </x:c>
    </x:row>
    <x:row r="780">
      <x:c r="A780" s="51" t="str">
        <x:v>A0776</x:v>
      </x:c>
      <x:c r="B780" s="51" t="str">
        <x:v>C14</x:v>
      </x:c>
      <x:c r="C780" s="51" t="str">
        <x:v>collection</x:v>
      </x:c>
      <x:c r="D780" s="51" t="str">
        <x:v>阳江虚拟回收/检测中心</x:v>
      </x:c>
      <x:c r="E780" s="51" t="str">
        <x:v>P21E</x:v>
      </x:c>
      <x:c r="F780" s="51" t="str">
        <x:v>echelon</x:v>
      </x:c>
      <x:c r="G780" s="51" t="str">
        <x:v>广东瑞科美电源技术有限公司（梯次功能）</x:v>
      </x:c>
      <x:c r="H780" s="52" t="n">
        <x:v>205.69397617582445</x:v>
      </x:c>
      <x:c r="I780" s="52" t="n">
        <x:v>210.554</x:v>
      </x:c>
      <x:c r="J780" s="52" t="n">
        <x:v>144.70499999999998</x:v>
      </x:c>
      <x:c r="K780" s="52" t="n">
        <x:f>IFERROR(I780/H780,"")</x:f>
        <x:v>1.0236274484772527</x:v>
      </x:c>
      <x:c r="L780" s="52" t="n">
        <x:v>300</x:v>
      </x:c>
      <x:c r="M780" s="65" t="n">
        <x:f>IF(H780&lt;=L780,1,0)</x:f>
        <x:v>1</x:v>
      </x:c>
      <x:c r="N780" s="65" t="n">
        <x:f>IF(I780&lt;=L780,1,0)</x:f>
        <x:v>1</x:v>
      </x:c>
      <x:c r="O780" s="51" t="str">
        <x:f>IF(M780=N780,"不变",IF(N780=1,"由禁变允","由允变禁"))</x:f>
        <x:v>不变</x:v>
      </x:c>
      <x:c r="P780" s="51" t="str">
        <x:v>OSRM driving/car</x:v>
      </x:c>
      <x:c r="Q780" s="51" t="str">
        <x:v>2026-08-15</x:v>
      </x:c>
      <x:c r="R780" s="51" t="str">
        <x:v>C-开放路网计算；不是货车/危运合规路线</x:v>
      </x:c>
      <x:c r="S780" s="51" t="str">
        <x:v>https://routing.openstreetmap.de/routed-car/</x:v>
      </x:c>
    </x:row>
    <x:row r="781">
      <x:c r="A781" s="51" t="str">
        <x:v>A0777</x:v>
      </x:c>
      <x:c r="B781" s="51" t="str">
        <x:v>C14</x:v>
      </x:c>
      <x:c r="C781" s="51" t="str">
        <x:v>collection</x:v>
      </x:c>
      <x:c r="D781" s="51" t="str">
        <x:v>阳江虚拟回收/检测中心</x:v>
      </x:c>
      <x:c r="E781" s="51" t="str">
        <x:v>P21R</x:v>
      </x:c>
      <x:c r="F781" s="51" t="str">
        <x:v>recycling</x:v>
      </x:c>
      <x:c r="G781" s="51" t="str">
        <x:v>广东瑞科美电源技术有限公司（再生功能）</x:v>
      </x:c>
      <x:c r="H781" s="52" t="n">
        <x:v>205.69397617582445</x:v>
      </x:c>
      <x:c r="I781" s="52" t="n">
        <x:v>210.554</x:v>
      </x:c>
      <x:c r="J781" s="52" t="n">
        <x:v>144.70499999999998</x:v>
      </x:c>
      <x:c r="K781" s="52" t="n">
        <x:f>IFERROR(I781/H781,"")</x:f>
        <x:v>1.0236274484772527</x:v>
      </x:c>
      <x:c r="L781" s="52" t="n">
        <x:v>400</x:v>
      </x:c>
      <x:c r="M781" s="65" t="n">
        <x:f>IF(H781&lt;=L781,1,0)</x:f>
        <x:v>1</x:v>
      </x:c>
      <x:c r="N781" s="65" t="n">
        <x:f>IF(I781&lt;=L781,1,0)</x:f>
        <x:v>1</x:v>
      </x:c>
      <x:c r="O781" s="51" t="str">
        <x:f>IF(M781=N781,"不变",IF(N781=1,"由禁变允","由允变禁"))</x:f>
        <x:v>不变</x:v>
      </x:c>
      <x:c r="P781" s="51" t="str">
        <x:v>OSRM driving/car</x:v>
      </x:c>
      <x:c r="Q781" s="51" t="str">
        <x:v>2026-08-15</x:v>
      </x:c>
      <x:c r="R781" s="51" t="str">
        <x:v>C-开放路网计算；不是货车/危运合规路线</x:v>
      </x:c>
      <x:c r="S781" s="51" t="str">
        <x:v>https://routing.openstreetmap.de/routed-car/</x:v>
      </x:c>
    </x:row>
    <x:row r="782">
      <x:c r="A782" s="51" t="str">
        <x:v>A0778</x:v>
      </x:c>
      <x:c r="B782" s="51" t="str">
        <x:v>C15</x:v>
      </x:c>
      <x:c r="C782" s="51" t="str">
        <x:v>collection</x:v>
      </x:c>
      <x:c r="D782" s="51" t="str">
        <x:v>湛江虚拟回收/检测中心</x:v>
      </x:c>
      <x:c r="E782" s="51" t="str">
        <x:v>P01</x:v>
      </x:c>
      <x:c r="F782" s="51" t="str">
        <x:v>recycling</x:v>
      </x:c>
      <x:c r="G782" s="51" t="str">
        <x:v>汕尾比亚迪废旧动力电池回收项目</x:v>
      </x:c>
      <x:c r="H782" s="52" t="n">
        <x:v>651.9216434624044</x:v>
      </x:c>
      <x:c r="I782" s="52" t="n">
        <x:v>619.7298000000001</x:v>
      </x:c>
      <x:c r="J782" s="52" t="n">
        <x:v>420.3666666666667</x:v>
      </x:c>
      <x:c r="K782" s="52" t="n">
        <x:f>IFERROR(I782/H782,"")</x:f>
        <x:v>0.9506200725421063</x:v>
      </x:c>
      <x:c r="L782" s="52" t="n">
        <x:v>400</x:v>
      </x:c>
      <x:c r="M782" s="65" t="n">
        <x:f>IF(H782&lt;=L782,1,0)</x:f>
        <x:v>0</x:v>
      </x:c>
      <x:c r="N782" s="65" t="n">
        <x:f>IF(I782&lt;=L782,1,0)</x:f>
        <x:v>0</x:v>
      </x:c>
      <x:c r="O782" s="51" t="str">
        <x:f>IF(M782=N782,"不变",IF(N782=1,"由禁变允","由允变禁"))</x:f>
        <x:v>不变</x:v>
      </x:c>
      <x:c r="P782" s="51" t="str">
        <x:v>OSRM driving/car</x:v>
      </x:c>
      <x:c r="Q782" s="51" t="str">
        <x:v>2026-08-15</x:v>
      </x:c>
      <x:c r="R782" s="51" t="str">
        <x:v>C-开放路网计算；不是货车/危运合规路线</x:v>
      </x:c>
      <x:c r="S782" s="51" t="str">
        <x:v>https://routing.openstreetmap.de/routed-car/</x:v>
      </x:c>
    </x:row>
    <x:row r="783">
      <x:c r="A783" s="51" t="str">
        <x:v>A0779</x:v>
      </x:c>
      <x:c r="B783" s="51" t="str">
        <x:v>C15</x:v>
      </x:c>
      <x:c r="C783" s="51" t="str">
        <x:v>collection</x:v>
      </x:c>
      <x:c r="D783" s="51" t="str">
        <x:v>湛江虚拟回收/检测中心</x:v>
      </x:c>
      <x:c r="E783" s="51" t="str">
        <x:v>P02E</x:v>
      </x:c>
      <x:c r="F783" s="51" t="str">
        <x:v>echelon</x:v>
      </x:c>
      <x:c r="G783" s="51" t="str">
        <x:v>广东光华科技股份有限公司（梯次功能）</x:v>
      </x:c>
      <x:c r="H783" s="52" t="n">
        <x:v>828.3713526049856</x:v>
      </x:c>
      <x:c r="I783" s="52" t="n">
        <x:v>791.4771999999999</x:v>
      </x:c>
      <x:c r="J783" s="52" t="n">
        <x:v>537.37</x:v>
      </x:c>
      <x:c r="K783" s="52" t="n">
        <x:f>IFERROR(I783/H783,"")</x:f>
        <x:v>0.9554618197636068</x:v>
      </x:c>
      <x:c r="L783" s="52" t="n">
        <x:v>300</x:v>
      </x:c>
      <x:c r="M783" s="65" t="n">
        <x:f>IF(H783&lt;=L783,1,0)</x:f>
        <x:v>0</x:v>
      </x:c>
      <x:c r="N783" s="65" t="n">
        <x:f>IF(I783&lt;=L783,1,0)</x:f>
        <x:v>0</x:v>
      </x:c>
      <x:c r="O783" s="51" t="str">
        <x:f>IF(M783=N783,"不变",IF(N783=1,"由禁变允","由允变禁"))</x:f>
        <x:v>不变</x:v>
      </x:c>
      <x:c r="P783" s="51" t="str">
        <x:v>OSRM driving/car</x:v>
      </x:c>
      <x:c r="Q783" s="51" t="str">
        <x:v>2026-08-15</x:v>
      </x:c>
      <x:c r="R783" s="51" t="str">
        <x:v>C-开放路网计算；不是货车/危运合规路线</x:v>
      </x:c>
      <x:c r="S783" s="51" t="str">
        <x:v>https://routing.openstreetmap.de/routed-car/</x:v>
      </x:c>
    </x:row>
    <x:row r="784">
      <x:c r="A784" s="51" t="str">
        <x:v>A0780</x:v>
      </x:c>
      <x:c r="B784" s="51" t="str">
        <x:v>C15</x:v>
      </x:c>
      <x:c r="C784" s="51" t="str">
        <x:v>collection</x:v>
      </x:c>
      <x:c r="D784" s="51" t="str">
        <x:v>湛江虚拟回收/检测中心</x:v>
      </x:c>
      <x:c r="E784" s="51" t="str">
        <x:v>P02R</x:v>
      </x:c>
      <x:c r="F784" s="51" t="str">
        <x:v>recycling</x:v>
      </x:c>
      <x:c r="G784" s="51" t="str">
        <x:v>广东光华科技股份有限公司（再生功能）</x:v>
      </x:c>
      <x:c r="H784" s="52" t="n">
        <x:v>828.3713526049856</x:v>
      </x:c>
      <x:c r="I784" s="52" t="n">
        <x:v>791.4771999999999</x:v>
      </x:c>
      <x:c r="J784" s="52" t="n">
        <x:v>537.37</x:v>
      </x:c>
      <x:c r="K784" s="52" t="n">
        <x:f>IFERROR(I784/H784,"")</x:f>
        <x:v>0.9554618197636068</x:v>
      </x:c>
      <x:c r="L784" s="52" t="n">
        <x:v>400</x:v>
      </x:c>
      <x:c r="M784" s="65" t="n">
        <x:f>IF(H784&lt;=L784,1,0)</x:f>
        <x:v>0</x:v>
      </x:c>
      <x:c r="N784" s="65" t="n">
        <x:f>IF(I784&lt;=L784,1,0)</x:f>
        <x:v>0</x:v>
      </x:c>
      <x:c r="O784" s="51" t="str">
        <x:f>IF(M784=N784,"不变",IF(N784=1,"由禁变允","由允变禁"))</x:f>
        <x:v>不变</x:v>
      </x:c>
      <x:c r="P784" s="51" t="str">
        <x:v>OSRM driving/car</x:v>
      </x:c>
      <x:c r="Q784" s="51" t="str">
        <x:v>2026-08-15</x:v>
      </x:c>
      <x:c r="R784" s="51" t="str">
        <x:v>C-开放路网计算；不是货车/危运合规路线</x:v>
      </x:c>
      <x:c r="S784" s="51" t="str">
        <x:v>https://routing.openstreetmap.de/routed-car/</x:v>
      </x:c>
    </x:row>
    <x:row r="785">
      <x:c r="A785" s="51" t="str">
        <x:v>A0781</x:v>
      </x:c>
      <x:c r="B785" s="51" t="str">
        <x:v>C15</x:v>
      </x:c>
      <x:c r="C785" s="51" t="str">
        <x:v>collection</x:v>
      </x:c>
      <x:c r="D785" s="51" t="str">
        <x:v>湛江虚拟回收/检测中心</x:v>
      </x:c>
      <x:c r="E785" s="51" t="str">
        <x:v>P03</x:v>
      </x:c>
      <x:c r="F785" s="51" t="str">
        <x:v>echelon</x:v>
      </x:c>
      <x:c r="G785" s="51" t="str">
        <x:v>深圳深汕特别合作区乾泰技术有限公司</x:v>
      </x:c>
      <x:c r="H785" s="52" t="n">
        <x:v>677.999715742461</x:v>
      </x:c>
      <x:c r="I785" s="52" t="n">
        <x:v>655.378</x:v>
      </x:c>
      <x:c r="J785" s="52" t="n">
        <x:v>454.315</x:v>
      </x:c>
      <x:c r="K785" s="52" t="n">
        <x:f>IFERROR(I785/H785,"")</x:f>
        <x:v>0.9666346235592613</x:v>
      </x:c>
      <x:c r="L785" s="52" t="n">
        <x:v>300</x:v>
      </x:c>
      <x:c r="M785" s="65" t="n">
        <x:f>IF(H785&lt;=L785,1,0)</x:f>
        <x:v>0</x:v>
      </x:c>
      <x:c r="N785" s="65" t="n">
        <x:f>IF(I785&lt;=L785,1,0)</x:f>
        <x:v>0</x:v>
      </x:c>
      <x:c r="O785" s="51" t="str">
        <x:f>IF(M785=N785,"不变",IF(N785=1,"由禁变允","由允变禁"))</x:f>
        <x:v>不变</x:v>
      </x:c>
      <x:c r="P785" s="51" t="str">
        <x:v>OSRM driving/car</x:v>
      </x:c>
      <x:c r="Q785" s="51" t="str">
        <x:v>2026-08-15</x:v>
      </x:c>
      <x:c r="R785" s="51" t="str">
        <x:v>C-开放路网计算；不是货车/危运合规路线</x:v>
      </x:c>
      <x:c r="S785" s="51" t="str">
        <x:v>https://routing.openstreetmap.de/routed-car/</x:v>
      </x:c>
    </x:row>
    <x:row r="786">
      <x:c r="A786" s="51" t="str">
        <x:v>A0782</x:v>
      </x:c>
      <x:c r="B786" s="51" t="str">
        <x:v>C15</x:v>
      </x:c>
      <x:c r="C786" s="51" t="str">
        <x:v>collection</x:v>
      </x:c>
      <x:c r="D786" s="51" t="str">
        <x:v>湛江虚拟回收/检测中心</x:v>
      </x:c>
      <x:c r="E786" s="51" t="str">
        <x:v>P04</x:v>
      </x:c>
      <x:c r="F786" s="51" t="str">
        <x:v>echelon</x:v>
      </x:c>
      <x:c r="G786" s="51" t="str">
        <x:v>珠海中力新能源科技有限公司</x:v>
      </x:c>
      <x:c r="H786" s="52" t="n">
        <x:v>420.3939061655412</x:v>
      </x:c>
      <x:c r="I786" s="52" t="n">
        <x:v>407.71520000000004</x:v>
      </x:c>
      <x:c r="J786" s="52" t="n">
        <x:v>277.53499999999997</x:v>
      </x:c>
      <x:c r="K786" s="52" t="n">
        <x:f>IFERROR(I786/H786,"")</x:f>
        <x:v>0.9698408897474633</x:v>
      </x:c>
      <x:c r="L786" s="52" t="n">
        <x:v>300</x:v>
      </x:c>
      <x:c r="M786" s="65" t="n">
        <x:f>IF(H786&lt;=L786,1,0)</x:f>
        <x:v>0</x:v>
      </x:c>
      <x:c r="N786" s="65" t="n">
        <x:f>IF(I786&lt;=L786,1,0)</x:f>
        <x:v>0</x:v>
      </x:c>
      <x:c r="O786" s="51" t="str">
        <x:f>IF(M786=N786,"不变",IF(N786=1,"由禁变允","由允变禁"))</x:f>
        <x:v>不变</x:v>
      </x:c>
      <x:c r="P786" s="51" t="str">
        <x:v>OSRM driving/car</x:v>
      </x:c>
      <x:c r="Q786" s="51" t="str">
        <x:v>2026-08-15</x:v>
      </x:c>
      <x:c r="R786" s="51" t="str">
        <x:v>C-开放路网计算；不是货车/危运合规路线</x:v>
      </x:c>
      <x:c r="S786" s="51" t="str">
        <x:v>https://routing.openstreetmap.de/routed-car/</x:v>
      </x:c>
    </x:row>
    <x:row r="787">
      <x:c r="A787" s="51" t="str">
        <x:v>A0783</x:v>
      </x:c>
      <x:c r="B787" s="51" t="str">
        <x:v>C15</x:v>
      </x:c>
      <x:c r="C787" s="51" t="str">
        <x:v>collection</x:v>
      </x:c>
      <x:c r="D787" s="51" t="str">
        <x:v>湛江虚拟回收/检测中心</x:v>
      </x:c>
      <x:c r="E787" s="51" t="str">
        <x:v>P05</x:v>
      </x:c>
      <x:c r="F787" s="51" t="str">
        <x:v>echelon</x:v>
      </x:c>
      <x:c r="G787" s="51" t="str">
        <x:v>惠州市恒创睿能环保科技有限公司</x:v>
      </x:c>
      <x:c r="H787" s="52" t="n">
        <x:v>558.1215185443488</x:v>
      </x:c>
      <x:c r="I787" s="52" t="n">
        <x:v>532.7683000000001</x:v>
      </x:c>
      <x:c r="J787" s="52" t="n">
        <x:v>359.97333333333336</x:v>
      </x:c>
      <x:c r="K787" s="52" t="n">
        <x:f>IFERROR(I787/H787,"")</x:f>
        <x:v>0.9545740171235951</x:v>
      </x:c>
      <x:c r="L787" s="52" t="n">
        <x:v>300</x:v>
      </x:c>
      <x:c r="M787" s="65" t="n">
        <x:f>IF(H787&lt;=L787,1,0)</x:f>
        <x:v>0</x:v>
      </x:c>
      <x:c r="N787" s="65" t="n">
        <x:f>IF(I787&lt;=L787,1,0)</x:f>
        <x:v>0</x:v>
      </x:c>
      <x:c r="O787" s="51" t="str">
        <x:f>IF(M787=N787,"不变",IF(N787=1,"由禁变允","由允变禁"))</x:f>
        <x:v>不变</x:v>
      </x:c>
      <x:c r="P787" s="51" t="str">
        <x:v>OSRM driving/car</x:v>
      </x:c>
      <x:c r="Q787" s="51" t="str">
        <x:v>2026-08-15</x:v>
      </x:c>
      <x:c r="R787" s="51" t="str">
        <x:v>C-开放路网计算；不是货车/危运合规路线</x:v>
      </x:c>
      <x:c r="S787" s="51" t="str">
        <x:v>https://routing.openstreetmap.de/routed-car/</x:v>
      </x:c>
    </x:row>
    <x:row r="788">
      <x:c r="A788" s="51" t="str">
        <x:v>A0784</x:v>
      </x:c>
      <x:c r="B788" s="51" t="str">
        <x:v>C15</x:v>
      </x:c>
      <x:c r="C788" s="51" t="str">
        <x:v>collection</x:v>
      </x:c>
      <x:c r="D788" s="51" t="str">
        <x:v>湛江虚拟回收/检测中心</x:v>
      </x:c>
      <x:c r="E788" s="51" t="str">
        <x:v>P06</x:v>
      </x:c>
      <x:c r="F788" s="51" t="str">
        <x:v>echelon</x:v>
      </x:c>
      <x:c r="G788" s="51" t="str">
        <x:v>江门市朗达锂电池有限公司</x:v>
      </x:c>
      <x:c r="H788" s="52" t="n">
        <x:v>379.3560995691944</x:v>
      </x:c>
      <x:c r="I788" s="52" t="n">
        <x:v>355.2792</x:v>
      </x:c>
      <x:c r="J788" s="52" t="n">
        <x:v>236.30166666666668</x:v>
      </x:c>
      <x:c r="K788" s="52" t="n">
        <x:f>IFERROR(I788/H788,"")</x:f>
        <x:v>0.9365321933757315</x:v>
      </x:c>
      <x:c r="L788" s="52" t="n">
        <x:v>300</x:v>
      </x:c>
      <x:c r="M788" s="65" t="n">
        <x:f>IF(H788&lt;=L788,1,0)</x:f>
        <x:v>0</x:v>
      </x:c>
      <x:c r="N788" s="65" t="n">
        <x:f>IF(I788&lt;=L788,1,0)</x:f>
        <x:v>0</x:v>
      </x:c>
      <x:c r="O788" s="51" t="str">
        <x:f>IF(M788=N788,"不变",IF(N788=1,"由禁变允","由允变禁"))</x:f>
        <x:v>不变</x:v>
      </x:c>
      <x:c r="P788" s="51" t="str">
        <x:v>OSRM driving/car</x:v>
      </x:c>
      <x:c r="Q788" s="51" t="str">
        <x:v>2026-08-15</x:v>
      </x:c>
      <x:c r="R788" s="51" t="str">
        <x:v>C-开放路网计算；不是货车/危运合规路线</x:v>
      </x:c>
      <x:c r="S788" s="51" t="str">
        <x:v>https://routing.openstreetmap.de/routed-car/</x:v>
      </x:c>
    </x:row>
    <x:row r="789">
      <x:c r="A789" s="51" t="str">
        <x:v>A0785</x:v>
      </x:c>
      <x:c r="B789" s="51" t="str">
        <x:v>C15</x:v>
      </x:c>
      <x:c r="C789" s="51" t="str">
        <x:v>collection</x:v>
      </x:c>
      <x:c r="D789" s="51" t="str">
        <x:v>湛江虚拟回收/检测中心</x:v>
      </x:c>
      <x:c r="E789" s="51" t="str">
        <x:v>P07</x:v>
      </x:c>
      <x:c r="F789" s="51" t="str">
        <x:v>echelon</x:v>
      </x:c>
      <x:c r="G789" s="51" t="str">
        <x:v>广东迪度新能源有限公司</x:v>
      </x:c>
      <x:c r="H789" s="52" t="n">
        <x:v>479.3156543516013</x:v>
      </x:c>
      <x:c r="I789" s="52" t="n">
        <x:v>464.8066</x:v>
      </x:c>
      <x:c r="J789" s="52" t="n">
        <x:v>309.14833333333337</x:v>
      </x:c>
      <x:c r="K789" s="52" t="n">
        <x:f>IFERROR(I789/H789,"")</x:f>
        <x:v>0.9697296463825523</x:v>
      </x:c>
      <x:c r="L789" s="52" t="n">
        <x:v>300</x:v>
      </x:c>
      <x:c r="M789" s="65" t="n">
        <x:f>IF(H789&lt;=L789,1,0)</x:f>
        <x:v>0</x:v>
      </x:c>
      <x:c r="N789" s="65" t="n">
        <x:f>IF(I789&lt;=L789,1,0)</x:f>
        <x:v>0</x:v>
      </x:c>
      <x:c r="O789" s="51" t="str">
        <x:f>IF(M789=N789,"不变",IF(N789=1,"由禁变允","由允变禁"))</x:f>
        <x:v>不变</x:v>
      </x:c>
      <x:c r="P789" s="51" t="str">
        <x:v>OSRM driving/car</x:v>
      </x:c>
      <x:c r="Q789" s="51" t="str">
        <x:v>2026-08-15</x:v>
      </x:c>
      <x:c r="R789" s="51" t="str">
        <x:v>C-开放路网计算；不是货车/危运合规路线</x:v>
      </x:c>
      <x:c r="S789" s="51" t="str">
        <x:v>https://routing.openstreetmap.de/routed-car/</x:v>
      </x:c>
    </x:row>
    <x:row r="790">
      <x:c r="A790" s="51" t="str">
        <x:v>A0786</x:v>
      </x:c>
      <x:c r="B790" s="51" t="str">
        <x:v>C15</x:v>
      </x:c>
      <x:c r="C790" s="51" t="str">
        <x:v>collection</x:v>
      </x:c>
      <x:c r="D790" s="51" t="str">
        <x:v>湛江虚拟回收/检测中心</x:v>
      </x:c>
      <x:c r="E790" s="51" t="str">
        <x:v>P08</x:v>
      </x:c>
      <x:c r="F790" s="51" t="str">
        <x:v>echelon</x:v>
      </x:c>
      <x:c r="G790" s="51" t="str">
        <x:v>东莞市博森新能源有限公司</x:v>
      </x:c>
      <x:c r="H790" s="52" t="n">
        <x:v>479.3156543516013</x:v>
      </x:c>
      <x:c r="I790" s="52" t="n">
        <x:v>464.8066</x:v>
      </x:c>
      <x:c r="J790" s="52" t="n">
        <x:v>309.14833333333337</x:v>
      </x:c>
      <x:c r="K790" s="52" t="n">
        <x:f>IFERROR(I790/H790,"")</x:f>
        <x:v>0.9697296463825523</x:v>
      </x:c>
      <x:c r="L790" s="52" t="n">
        <x:v>300</x:v>
      </x:c>
      <x:c r="M790" s="65" t="n">
        <x:f>IF(H790&lt;=L790,1,0)</x:f>
        <x:v>0</x:v>
      </x:c>
      <x:c r="N790" s="65" t="n">
        <x:f>IF(I790&lt;=L790,1,0)</x:f>
        <x:v>0</x:v>
      </x:c>
      <x:c r="O790" s="51" t="str">
        <x:f>IF(M790=N790,"不变",IF(N790=1,"由禁变允","由允变禁"))</x:f>
        <x:v>不变</x:v>
      </x:c>
      <x:c r="P790" s="51" t="str">
        <x:v>OSRM driving/car</x:v>
      </x:c>
      <x:c r="Q790" s="51" t="str">
        <x:v>2026-08-15</x:v>
      </x:c>
      <x:c r="R790" s="51" t="str">
        <x:v>C-开放路网计算；不是货车/危运合规路线</x:v>
      </x:c>
      <x:c r="S790" s="51" t="str">
        <x:v>https://routing.openstreetmap.de/routed-car/</x:v>
      </x:c>
    </x:row>
    <x:row r="791">
      <x:c r="A791" s="51" t="str">
        <x:v>A0787</x:v>
      </x:c>
      <x:c r="B791" s="51" t="str">
        <x:v>C15</x:v>
      </x:c>
      <x:c r="C791" s="51" t="str">
        <x:v>collection</x:v>
      </x:c>
      <x:c r="D791" s="51" t="str">
        <x:v>湛江虚拟回收/检测中心</x:v>
      </x:c>
      <x:c r="E791" s="51" t="str">
        <x:v>P09</x:v>
      </x:c>
      <x:c r="F791" s="51" t="str">
        <x:v>echelon</x:v>
      </x:c>
      <x:c r="G791" s="51" t="str">
        <x:v>广东宇阳新能源有限公司</x:v>
      </x:c>
      <x:c r="H791" s="52" t="n">
        <x:v>479.3156543516013</x:v>
      </x:c>
      <x:c r="I791" s="52" t="n">
        <x:v>464.8066</x:v>
      </x:c>
      <x:c r="J791" s="52" t="n">
        <x:v>309.14833333333337</x:v>
      </x:c>
      <x:c r="K791" s="52" t="n">
        <x:f>IFERROR(I791/H791,"")</x:f>
        <x:v>0.9697296463825523</x:v>
      </x:c>
      <x:c r="L791" s="52" t="n">
        <x:v>300</x:v>
      </x:c>
      <x:c r="M791" s="65" t="n">
        <x:f>IF(H791&lt;=L791,1,0)</x:f>
        <x:v>0</x:v>
      </x:c>
      <x:c r="N791" s="65" t="n">
        <x:f>IF(I791&lt;=L791,1,0)</x:f>
        <x:v>0</x:v>
      </x:c>
      <x:c r="O791" s="51" t="str">
        <x:f>IF(M791=N791,"不变",IF(N791=1,"由禁变允","由允变禁"))</x:f>
        <x:v>不变</x:v>
      </x:c>
      <x:c r="P791" s="51" t="str">
        <x:v>OSRM driving/car</x:v>
      </x:c>
      <x:c r="Q791" s="51" t="str">
        <x:v>2026-08-15</x:v>
      </x:c>
      <x:c r="R791" s="51" t="str">
        <x:v>C-开放路网计算；不是货车/危运合规路线</x:v>
      </x:c>
      <x:c r="S791" s="51" t="str">
        <x:v>https://routing.openstreetmap.de/routed-car/</x:v>
      </x:c>
    </x:row>
    <x:row r="792">
      <x:c r="A792" s="51" t="str">
        <x:v>A0788</x:v>
      </x:c>
      <x:c r="B792" s="51" t="str">
        <x:v>C15</x:v>
      </x:c>
      <x:c r="C792" s="51" t="str">
        <x:v>collection</x:v>
      </x:c>
      <x:c r="D792" s="51" t="str">
        <x:v>湛江虚拟回收/检测中心</x:v>
      </x:c>
      <x:c r="E792" s="51" t="str">
        <x:v>P10</x:v>
      </x:c>
      <x:c r="F792" s="51" t="str">
        <x:v>echelon</x:v>
      </x:c>
      <x:c r="G792" s="51" t="str">
        <x:v>广州广汽商贸再生资源有限公司</x:v>
      </x:c>
      <x:c r="H792" s="52" t="n">
        <x:v>435.86375186529995</x:v>
      </x:c>
      <x:c r="I792" s="52" t="n">
        <x:v>417.4008</x:v>
      </x:c>
      <x:c r="J792" s="52" t="n">
        <x:v>278.50333333333333</x:v>
      </x:c>
      <x:c r="K792" s="52" t="n">
        <x:f>IFERROR(I792/H792,"")</x:f>
        <x:v>0.9576405429763617</x:v>
      </x:c>
      <x:c r="L792" s="52" t="n">
        <x:v>300</x:v>
      </x:c>
      <x:c r="M792" s="65" t="n">
        <x:f>IF(H792&lt;=L792,1,0)</x:f>
        <x:v>0</x:v>
      </x:c>
      <x:c r="N792" s="65" t="n">
        <x:f>IF(I792&lt;=L792,1,0)</x:f>
        <x:v>0</x:v>
      </x:c>
      <x:c r="O792" s="51" t="str">
        <x:f>IF(M792=N792,"不变",IF(N792=1,"由禁变允","由允变禁"))</x:f>
        <x:v>不变</x:v>
      </x:c>
      <x:c r="P792" s="51" t="str">
        <x:v>OSRM driving/car</x:v>
      </x:c>
      <x:c r="Q792" s="51" t="str">
        <x:v>2026-08-15</x:v>
      </x:c>
      <x:c r="R792" s="51" t="str">
        <x:v>C-开放路网计算；不是货车/危运合规路线</x:v>
      </x:c>
      <x:c r="S792" s="51" t="str">
        <x:v>https://routing.openstreetmap.de/routed-car/</x:v>
      </x:c>
    </x:row>
    <x:row r="793">
      <x:c r="A793" s="51" t="str">
        <x:v>A0789</x:v>
      </x:c>
      <x:c r="B793" s="51" t="str">
        <x:v>C15</x:v>
      </x:c>
      <x:c r="C793" s="51" t="str">
        <x:v>collection</x:v>
      </x:c>
      <x:c r="D793" s="51" t="str">
        <x:v>湛江虚拟回收/检测中心</x:v>
      </x:c>
      <x:c r="E793" s="51" t="str">
        <x:v>P11</x:v>
      </x:c>
      <x:c r="F793" s="51" t="str">
        <x:v>echelon</x:v>
      </x:c>
      <x:c r="G793" s="51" t="str">
        <x:v>深圳市杰成镍钴新能源科技有限公司</x:v>
      </x:c>
      <x:c r="H793" s="52" t="n">
        <x:v>488.3737657884904</x:v>
      </x:c>
      <x:c r="I793" s="52" t="n">
        <x:v>466.1125</x:v>
      </x:c>
      <x:c r="J793" s="52" t="n">
        <x:v>315.4683333333333</x:v>
      </x:c>
      <x:c r="K793" s="52" t="n">
        <x:f>IFERROR(I793/H793,"")</x:f>
        <x:v>0.9544175642756956</x:v>
      </x:c>
      <x:c r="L793" s="52" t="n">
        <x:v>300</x:v>
      </x:c>
      <x:c r="M793" s="65" t="n">
        <x:f>IF(H793&lt;=L793,1,0)</x:f>
        <x:v>0</x:v>
      </x:c>
      <x:c r="N793" s="65" t="n">
        <x:f>IF(I793&lt;=L793,1,0)</x:f>
        <x:v>0</x:v>
      </x:c>
      <x:c r="O793" s="51" t="str">
        <x:f>IF(M793=N793,"不变",IF(N793=1,"由禁变允","由允变禁"))</x:f>
        <x:v>不变</x:v>
      </x:c>
      <x:c r="P793" s="51" t="str">
        <x:v>OSRM driving/car</x:v>
      </x:c>
      <x:c r="Q793" s="51" t="str">
        <x:v>2026-08-15</x:v>
      </x:c>
      <x:c r="R793" s="51" t="str">
        <x:v>C-开放路网计算；不是货车/危运合规路线</x:v>
      </x:c>
      <x:c r="S793" s="51" t="str">
        <x:v>https://routing.openstreetmap.de/routed-car/</x:v>
      </x:c>
    </x:row>
    <x:row r="794">
      <x:c r="A794" s="51" t="str">
        <x:v>A0790</x:v>
      </x:c>
      <x:c r="B794" s="51" t="str">
        <x:v>C15</x:v>
      </x:c>
      <x:c r="C794" s="51" t="str">
        <x:v>collection</x:v>
      </x:c>
      <x:c r="D794" s="51" t="str">
        <x:v>湛江虚拟回收/检测中心</x:v>
      </x:c>
      <x:c r="E794" s="51" t="str">
        <x:v>P12</x:v>
      </x:c>
      <x:c r="F794" s="51" t="str">
        <x:v>recycling</x:v>
      </x:c>
      <x:c r="G794" s="51" t="str">
        <x:v>江门市恒创睿能环保科技有限公司</x:v>
      </x:c>
      <x:c r="H794" s="52" t="n">
        <x:v>379.3560995691944</x:v>
      </x:c>
      <x:c r="I794" s="52" t="n">
        <x:v>355.2792</x:v>
      </x:c>
      <x:c r="J794" s="52" t="n">
        <x:v>236.30166666666668</x:v>
      </x:c>
      <x:c r="K794" s="52" t="n">
        <x:f>IFERROR(I794/H794,"")</x:f>
        <x:v>0.9365321933757315</x:v>
      </x:c>
      <x:c r="L794" s="52" t="n">
        <x:v>400</x:v>
      </x:c>
      <x:c r="M794" s="65" t="n">
        <x:f>IF(H794&lt;=L794,1,0)</x:f>
        <x:v>1</x:v>
      </x:c>
      <x:c r="N794" s="65" t="n">
        <x:f>IF(I794&lt;=L794,1,0)</x:f>
        <x:v>1</x:v>
      </x:c>
      <x:c r="O794" s="51" t="str">
        <x:f>IF(M794=N794,"不变",IF(N794=1,"由禁变允","由允变禁"))</x:f>
        <x:v>不变</x:v>
      </x:c>
      <x:c r="P794" s="51" t="str">
        <x:v>OSRM driving/car</x:v>
      </x:c>
      <x:c r="Q794" s="51" t="str">
        <x:v>2026-08-15</x:v>
      </x:c>
      <x:c r="R794" s="51" t="str">
        <x:v>C-开放路网计算；不是货车/危运合规路线</x:v>
      </x:c>
      <x:c r="S794" s="51" t="str">
        <x:v>https://routing.openstreetmap.de/routed-car/</x:v>
      </x:c>
    </x:row>
    <x:row r="795">
      <x:c r="A795" s="51" t="str">
        <x:v>A0791</x:v>
      </x:c>
      <x:c r="B795" s="51" t="str">
        <x:v>C15</x:v>
      </x:c>
      <x:c r="C795" s="51" t="str">
        <x:v>collection</x:v>
      </x:c>
      <x:c r="D795" s="51" t="str">
        <x:v>湛江虚拟回收/检测中心</x:v>
      </x:c>
      <x:c r="E795" s="51" t="str">
        <x:v>P13</x:v>
      </x:c>
      <x:c r="F795" s="51" t="str">
        <x:v>recycling</x:v>
      </x:c>
      <x:c r="G795" s="51" t="str">
        <x:v>广东佳纳能源科技有限公司</x:v>
      </x:c>
      <x:c r="H795" s="52" t="n">
        <x:v>462.40989323879114</x:v>
      </x:c>
      <x:c r="I795" s="52" t="n">
        <x:v>457.82120000000003</x:v>
      </x:c>
      <x:c r="J795" s="52" t="n">
        <x:v>319.5783333333333</x:v>
      </x:c>
      <x:c r="K795" s="52" t="n">
        <x:f>IFERROR(I795/H795,"")</x:f>
        <x:v>0.9900765677683685</x:v>
      </x:c>
      <x:c r="L795" s="52" t="n">
        <x:v>400</x:v>
      </x:c>
      <x:c r="M795" s="65" t="n">
        <x:f>IF(H795&lt;=L795,1,0)</x:f>
        <x:v>0</x:v>
      </x:c>
      <x:c r="N795" s="65" t="n">
        <x:f>IF(I795&lt;=L795,1,0)</x:f>
        <x:v>0</x:v>
      </x:c>
      <x:c r="O795" s="51" t="str">
        <x:f>IF(M795=N795,"不变",IF(N795=1,"由禁变允","由允变禁"))</x:f>
        <x:v>不变</x:v>
      </x:c>
      <x:c r="P795" s="51" t="str">
        <x:v>OSRM driving/car</x:v>
      </x:c>
      <x:c r="Q795" s="51" t="str">
        <x:v>2026-08-15</x:v>
      </x:c>
      <x:c r="R795" s="51" t="str">
        <x:v>C-开放路网计算；不是货车/危运合规路线</x:v>
      </x:c>
      <x:c r="S795" s="51" t="str">
        <x:v>https://routing.openstreetmap.de/routed-car/</x:v>
      </x:c>
    </x:row>
    <x:row r="796">
      <x:c r="A796" s="51" t="str">
        <x:v>A0792</x:v>
      </x:c>
      <x:c r="B796" s="51" t="str">
        <x:v>C15</x:v>
      </x:c>
      <x:c r="C796" s="51" t="str">
        <x:v>collection</x:v>
      </x:c>
      <x:c r="D796" s="51" t="str">
        <x:v>湛江虚拟回收/检测中心</x:v>
      </x:c>
      <x:c r="E796" s="51" t="str">
        <x:v>P14</x:v>
      </x:c>
      <x:c r="F796" s="51" t="str">
        <x:v>echelon</x:v>
      </x:c>
      <x:c r="G796" s="51" t="str">
        <x:v>格林美（深圳）循环科技有限公司</x:v>
      </x:c>
      <x:c r="H796" s="52" t="n">
        <x:v>488.3737657884904</x:v>
      </x:c>
      <x:c r="I796" s="52" t="n">
        <x:v>466.1125</x:v>
      </x:c>
      <x:c r="J796" s="52" t="n">
        <x:v>315.4683333333333</x:v>
      </x:c>
      <x:c r="K796" s="52" t="n">
        <x:f>IFERROR(I796/H796,"")</x:f>
        <x:v>0.9544175642756956</x:v>
      </x:c>
      <x:c r="L796" s="52" t="n">
        <x:v>300</x:v>
      </x:c>
      <x:c r="M796" s="65" t="n">
        <x:f>IF(H796&lt;=L796,1,0)</x:f>
        <x:v>0</x:v>
      </x:c>
      <x:c r="N796" s="65" t="n">
        <x:f>IF(I796&lt;=L796,1,0)</x:f>
        <x:v>0</x:v>
      </x:c>
      <x:c r="O796" s="51" t="str">
        <x:f>IF(M796=N796,"不变",IF(N796=1,"由禁变允","由允变禁"))</x:f>
        <x:v>不变</x:v>
      </x:c>
      <x:c r="P796" s="51" t="str">
        <x:v>OSRM driving/car</x:v>
      </x:c>
      <x:c r="Q796" s="51" t="str">
        <x:v>2026-08-15</x:v>
      </x:c>
      <x:c r="R796" s="51" t="str">
        <x:v>C-开放路网计算；不是货车/危运合规路线</x:v>
      </x:c>
      <x:c r="S796" s="51" t="str">
        <x:v>https://routing.openstreetmap.de/routed-car/</x:v>
      </x:c>
    </x:row>
    <x:row r="797">
      <x:c r="A797" s="51" t="str">
        <x:v>A0793</x:v>
      </x:c>
      <x:c r="B797" s="51" t="str">
        <x:v>C15</x:v>
      </x:c>
      <x:c r="C797" s="51" t="str">
        <x:v>collection</x:v>
      </x:c>
      <x:c r="D797" s="51" t="str">
        <x:v>湛江虚拟回收/检测中心</x:v>
      </x:c>
      <x:c r="E797" s="51" t="str">
        <x:v>P15</x:v>
      </x:c>
      <x:c r="F797" s="51" t="str">
        <x:v>echelon</x:v>
      </x:c>
      <x:c r="G797" s="51" t="str">
        <x:v>绿循新能源科技（佛山）有限责任公司</x:v>
      </x:c>
      <x:c r="H797" s="52" t="n">
        <x:v>413.4873083569706</x:v>
      </x:c>
      <x:c r="I797" s="52" t="n">
        <x:v>396.1833</x:v>
      </x:c>
      <x:c r="J797" s="52" t="n">
        <x:v>263.6166666666667</x:v>
      </x:c>
      <x:c r="K797" s="52" t="n">
        <x:f>IFERROR(I797/H797,"")</x:f>
        <x:v>0.9581510532312838</x:v>
      </x:c>
      <x:c r="L797" s="52" t="n">
        <x:v>300</x:v>
      </x:c>
      <x:c r="M797" s="65" t="n">
        <x:f>IF(H797&lt;=L797,1,0)</x:f>
        <x:v>0</x:v>
      </x:c>
      <x:c r="N797" s="65" t="n">
        <x:f>IF(I797&lt;=L797,1,0)</x:f>
        <x:v>0</x:v>
      </x:c>
      <x:c r="O797" s="51" t="str">
        <x:f>IF(M797=N797,"不变",IF(N797=1,"由禁变允","由允变禁"))</x:f>
        <x:v>不变</x:v>
      </x:c>
      <x:c r="P797" s="51" t="str">
        <x:v>OSRM driving/car</x:v>
      </x:c>
      <x:c r="Q797" s="51" t="str">
        <x:v>2026-08-15</x:v>
      </x:c>
      <x:c r="R797" s="51" t="str">
        <x:v>C-开放路网计算；不是货车/危运合规路线</x:v>
      </x:c>
      <x:c r="S797" s="51" t="str">
        <x:v>https://routing.openstreetmap.de/routed-car/</x:v>
      </x:c>
    </x:row>
    <x:row r="798">
      <x:c r="A798" s="51" t="str">
        <x:v>A0794</x:v>
      </x:c>
      <x:c r="B798" s="51" t="str">
        <x:v>C15</x:v>
      </x:c>
      <x:c r="C798" s="51" t="str">
        <x:v>collection</x:v>
      </x:c>
      <x:c r="D798" s="51" t="str">
        <x:v>湛江虚拟回收/检测中心</x:v>
      </x:c>
      <x:c r="E798" s="51" t="str">
        <x:v>P16</x:v>
      </x:c>
      <x:c r="F798" s="51" t="str">
        <x:v>echelon</x:v>
      </x:c>
      <x:c r="G798" s="51" t="str">
        <x:v>深圳艾云动智慧科技有限公司</x:v>
      </x:c>
      <x:c r="H798" s="52" t="n">
        <x:v>488.3737657884904</x:v>
      </x:c>
      <x:c r="I798" s="52" t="n">
        <x:v>466.1125</x:v>
      </x:c>
      <x:c r="J798" s="52" t="n">
        <x:v>315.4683333333333</x:v>
      </x:c>
      <x:c r="K798" s="52" t="n">
        <x:f>IFERROR(I798/H798,"")</x:f>
        <x:v>0.9544175642756956</x:v>
      </x:c>
      <x:c r="L798" s="52" t="n">
        <x:v>300</x:v>
      </x:c>
      <x:c r="M798" s="65" t="n">
        <x:f>IF(H798&lt;=L798,1,0)</x:f>
        <x:v>0</x:v>
      </x:c>
      <x:c r="N798" s="65" t="n">
        <x:f>IF(I798&lt;=L798,1,0)</x:f>
        <x:v>0</x:v>
      </x:c>
      <x:c r="O798" s="51" t="str">
        <x:f>IF(M798=N798,"不变",IF(N798=1,"由禁变允","由允变禁"))</x:f>
        <x:v>不变</x:v>
      </x:c>
      <x:c r="P798" s="51" t="str">
        <x:v>OSRM driving/car</x:v>
      </x:c>
      <x:c r="Q798" s="51" t="str">
        <x:v>2026-08-15</x:v>
      </x:c>
      <x:c r="R798" s="51" t="str">
        <x:v>C-开放路网计算；不是货车/危运合规路线</x:v>
      </x:c>
      <x:c r="S798" s="51" t="str">
        <x:v>https://routing.openstreetmap.de/routed-car/</x:v>
      </x:c>
    </x:row>
    <x:row r="799">
      <x:c r="A799" s="51" t="str">
        <x:v>A0795</x:v>
      </x:c>
      <x:c r="B799" s="51" t="str">
        <x:v>C15</x:v>
      </x:c>
      <x:c r="C799" s="51" t="str">
        <x:v>collection</x:v>
      </x:c>
      <x:c r="D799" s="51" t="str">
        <x:v>湛江虚拟回收/检测中心</x:v>
      </x:c>
      <x:c r="E799" s="51" t="str">
        <x:v>P17</x:v>
      </x:c>
      <x:c r="F799" s="51" t="str">
        <x:v>echelon</x:v>
      </x:c>
      <x:c r="G799" s="51" t="str">
        <x:v>深圳市荣高晟新能源科技有限公司</x:v>
      </x:c>
      <x:c r="H799" s="52" t="n">
        <x:v>488.3737657884904</x:v>
      </x:c>
      <x:c r="I799" s="52" t="n">
        <x:v>466.1125</x:v>
      </x:c>
      <x:c r="J799" s="52" t="n">
        <x:v>315.4683333333333</x:v>
      </x:c>
      <x:c r="K799" s="52" t="n">
        <x:f>IFERROR(I799/H799,"")</x:f>
        <x:v>0.9544175642756956</x:v>
      </x:c>
      <x:c r="L799" s="52" t="n">
        <x:v>300</x:v>
      </x:c>
      <x:c r="M799" s="65" t="n">
        <x:f>IF(H799&lt;=L799,1,0)</x:f>
        <x:v>0</x:v>
      </x:c>
      <x:c r="N799" s="65" t="n">
        <x:f>IF(I799&lt;=L799,1,0)</x:f>
        <x:v>0</x:v>
      </x:c>
      <x:c r="O799" s="51" t="str">
        <x:f>IF(M799=N799,"不变",IF(N799=1,"由禁变允","由允变禁"))</x:f>
        <x:v>不变</x:v>
      </x:c>
      <x:c r="P799" s="51" t="str">
        <x:v>OSRM driving/car</x:v>
      </x:c>
      <x:c r="Q799" s="51" t="str">
        <x:v>2026-08-15</x:v>
      </x:c>
      <x:c r="R799" s="51" t="str">
        <x:v>C-开放路网计算；不是货车/危运合规路线</x:v>
      </x:c>
      <x:c r="S799" s="51" t="str">
        <x:v>https://routing.openstreetmap.de/routed-car/</x:v>
      </x:c>
    </x:row>
    <x:row r="800">
      <x:c r="A800" s="51" t="str">
        <x:v>A0796</x:v>
      </x:c>
      <x:c r="B800" s="51" t="str">
        <x:v>C15</x:v>
      </x:c>
      <x:c r="C800" s="51" t="str">
        <x:v>collection</x:v>
      </x:c>
      <x:c r="D800" s="51" t="str">
        <x:v>湛江虚拟回收/检测中心</x:v>
      </x:c>
      <x:c r="E800" s="51" t="str">
        <x:v>P18</x:v>
      </x:c>
      <x:c r="F800" s="51" t="str">
        <x:v>echelon</x:v>
      </x:c>
      <x:c r="G800" s="51" t="str">
        <x:v>中商锂新能源科技（惠州）有限公司</x:v>
      </x:c>
      <x:c r="H800" s="52" t="n">
        <x:v>558.1215185443488</x:v>
      </x:c>
      <x:c r="I800" s="52" t="n">
        <x:v>532.7683000000001</x:v>
      </x:c>
      <x:c r="J800" s="52" t="n">
        <x:v>359.97333333333336</x:v>
      </x:c>
      <x:c r="K800" s="52" t="n">
        <x:f>IFERROR(I800/H800,"")</x:f>
        <x:v>0.9545740171235951</x:v>
      </x:c>
      <x:c r="L800" s="52" t="n">
        <x:v>300</x:v>
      </x:c>
      <x:c r="M800" s="65" t="n">
        <x:f>IF(H800&lt;=L800,1,0)</x:f>
        <x:v>0</x:v>
      </x:c>
      <x:c r="N800" s="65" t="n">
        <x:f>IF(I800&lt;=L800,1,0)</x:f>
        <x:v>0</x:v>
      </x:c>
      <x:c r="O800" s="51" t="str">
        <x:f>IF(M800=N800,"不变",IF(N800=1,"由禁变允","由允变禁"))</x:f>
        <x:v>不变</x:v>
      </x:c>
      <x:c r="P800" s="51" t="str">
        <x:v>OSRM driving/car</x:v>
      </x:c>
      <x:c r="Q800" s="51" t="str">
        <x:v>2026-08-15</x:v>
      </x:c>
      <x:c r="R800" s="51" t="str">
        <x:v>C-开放路网计算；不是货车/危运合规路线</x:v>
      </x:c>
      <x:c r="S800" s="51" t="str">
        <x:v>https://routing.openstreetmap.de/routed-car/</x:v>
      </x:c>
    </x:row>
    <x:row r="801">
      <x:c r="A801" s="51" t="str">
        <x:v>A0797</x:v>
      </x:c>
      <x:c r="B801" s="51" t="str">
        <x:v>C15</x:v>
      </x:c>
      <x:c r="C801" s="51" t="str">
        <x:v>collection</x:v>
      </x:c>
      <x:c r="D801" s="51" t="str">
        <x:v>湛江虚拟回收/检测中心</x:v>
      </x:c>
      <x:c r="E801" s="51" t="str">
        <x:v>P19</x:v>
      </x:c>
      <x:c r="F801" s="51" t="str">
        <x:v>recycling</x:v>
      </x:c>
      <x:c r="G801" s="51" t="str">
        <x:v>广东盛祥新材料科技有限公司</x:v>
      </x:c>
      <x:c r="H801" s="52" t="n">
        <x:v>636.9781427860692</x:v>
      </x:c>
      <x:c r="I801" s="52" t="n">
        <x:v>645.3444000000001</x:v>
      </x:c>
      <x:c r="J801" s="52" t="n">
        <x:v>438.71666666666664</x:v>
      </x:c>
      <x:c r="K801" s="52" t="n">
        <x:f>IFERROR(I801/H801,"")</x:f>
        <x:v>1.0131342924536435</x:v>
      </x:c>
      <x:c r="L801" s="52" t="n">
        <x:v>400</x:v>
      </x:c>
      <x:c r="M801" s="65" t="n">
        <x:f>IF(H801&lt;=L801,1,0)</x:f>
        <x:v>0</x:v>
      </x:c>
      <x:c r="N801" s="65" t="n">
        <x:f>IF(I801&lt;=L801,1,0)</x:f>
        <x:v>0</x:v>
      </x:c>
      <x:c r="O801" s="51" t="str">
        <x:f>IF(M801=N801,"不变",IF(N801=1,"由禁变允","由允变禁"))</x:f>
        <x:v>不变</x:v>
      </x:c>
      <x:c r="P801" s="51" t="str">
        <x:v>OSRM driving/car</x:v>
      </x:c>
      <x:c r="Q801" s="51" t="str">
        <x:v>2026-08-15</x:v>
      </x:c>
      <x:c r="R801" s="51" t="str">
        <x:v>C-开放路网计算；不是货车/危运合规路线</x:v>
      </x:c>
      <x:c r="S801" s="51" t="str">
        <x:v>https://routing.openstreetmap.de/routed-car/</x:v>
      </x:c>
    </x:row>
    <x:row r="802">
      <x:c r="A802" s="51" t="str">
        <x:v>A0798</x:v>
      </x:c>
      <x:c r="B802" s="51" t="str">
        <x:v>C15</x:v>
      </x:c>
      <x:c r="C802" s="51" t="str">
        <x:v>collection</x:v>
      </x:c>
      <x:c r="D802" s="51" t="str">
        <x:v>湛江虚拟回收/检测中心</x:v>
      </x:c>
      <x:c r="E802" s="51" t="str">
        <x:v>P20E</x:v>
      </x:c>
      <x:c r="F802" s="51" t="str">
        <x:v>echelon</x:v>
      </x:c>
      <x:c r="G802" s="51" t="str">
        <x:v>广东金晟新能源股份有限公司（梯次功能）</x:v>
      </x:c>
      <x:c r="H802" s="52" t="n">
        <x:v>351.9646269546589</x:v>
      </x:c>
      <x:c r="I802" s="52" t="n">
        <x:v>350.6076</x:v>
      </x:c>
      <x:c r="J802" s="52" t="n">
        <x:v>243.34</x:v>
      </x:c>
      <x:c r="K802" s="52" t="n">
        <x:f>IFERROR(I802/H802,"")</x:f>
        <x:v>0.9961444223347088</x:v>
      </x:c>
      <x:c r="L802" s="52" t="n">
        <x:v>300</x:v>
      </x:c>
      <x:c r="M802" s="65" t="n">
        <x:f>IF(H802&lt;=L802,1,0)</x:f>
        <x:v>0</x:v>
      </x:c>
      <x:c r="N802" s="65" t="n">
        <x:f>IF(I802&lt;=L802,1,0)</x:f>
        <x:v>0</x:v>
      </x:c>
      <x:c r="O802" s="51" t="str">
        <x:f>IF(M802=N802,"不变",IF(N802=1,"由禁变允","由允变禁"))</x:f>
        <x:v>不变</x:v>
      </x:c>
      <x:c r="P802" s="51" t="str">
        <x:v>OSRM driving/car</x:v>
      </x:c>
      <x:c r="Q802" s="51" t="str">
        <x:v>2026-08-15</x:v>
      </x:c>
      <x:c r="R802" s="51" t="str">
        <x:v>C-开放路网计算；不是货车/危运合规路线</x:v>
      </x:c>
      <x:c r="S802" s="51" t="str">
        <x:v>https://routing.openstreetmap.de/routed-car/</x:v>
      </x:c>
    </x:row>
    <x:row r="803">
      <x:c r="A803" s="51" t="str">
        <x:v>A0799</x:v>
      </x:c>
      <x:c r="B803" s="51" t="str">
        <x:v>C15</x:v>
      </x:c>
      <x:c r="C803" s="51" t="str">
        <x:v>collection</x:v>
      </x:c>
      <x:c r="D803" s="51" t="str">
        <x:v>湛江虚拟回收/检测中心</x:v>
      </x:c>
      <x:c r="E803" s="51" t="str">
        <x:v>P20R</x:v>
      </x:c>
      <x:c r="F803" s="51" t="str">
        <x:v>recycling</x:v>
      </x:c>
      <x:c r="G803" s="51" t="str">
        <x:v>广东金晟新能源股份有限公司（再生功能）</x:v>
      </x:c>
      <x:c r="H803" s="52" t="n">
        <x:v>351.9646269546589</x:v>
      </x:c>
      <x:c r="I803" s="52" t="n">
        <x:v>350.6076</x:v>
      </x:c>
      <x:c r="J803" s="52" t="n">
        <x:v>243.34</x:v>
      </x:c>
      <x:c r="K803" s="52" t="n">
        <x:f>IFERROR(I803/H803,"")</x:f>
        <x:v>0.9961444223347088</x:v>
      </x:c>
      <x:c r="L803" s="52" t="n">
        <x:v>400</x:v>
      </x:c>
      <x:c r="M803" s="65" t="n">
        <x:f>IF(H803&lt;=L803,1,0)</x:f>
        <x:v>1</x:v>
      </x:c>
      <x:c r="N803" s="65" t="n">
        <x:f>IF(I803&lt;=L803,1,0)</x:f>
        <x:v>1</x:v>
      </x:c>
      <x:c r="O803" s="51" t="str">
        <x:f>IF(M803=N803,"不变",IF(N803=1,"由禁变允","由允变禁"))</x:f>
        <x:v>不变</x:v>
      </x:c>
      <x:c r="P803" s="51" t="str">
        <x:v>OSRM driving/car</x:v>
      </x:c>
      <x:c r="Q803" s="51" t="str">
        <x:v>2026-08-15</x:v>
      </x:c>
      <x:c r="R803" s="51" t="str">
        <x:v>C-开放路网计算；不是货车/危运合规路线</x:v>
      </x:c>
      <x:c r="S803" s="51" t="str">
        <x:v>https://routing.openstreetmap.de/routed-car/</x:v>
      </x:c>
    </x:row>
    <x:row r="804">
      <x:c r="A804" s="51" t="str">
        <x:v>A0800</x:v>
      </x:c>
      <x:c r="B804" s="51" t="str">
        <x:v>C15</x:v>
      </x:c>
      <x:c r="C804" s="51" t="str">
        <x:v>collection</x:v>
      </x:c>
      <x:c r="D804" s="51" t="str">
        <x:v>湛江虚拟回收/检测中心</x:v>
      </x:c>
      <x:c r="E804" s="51" t="str">
        <x:v>P21E</x:v>
      </x:c>
      <x:c r="F804" s="51" t="str">
        <x:v>echelon</x:v>
      </x:c>
      <x:c r="G804" s="51" t="str">
        <x:v>广东瑞科美电源技术有限公司（梯次功能）</x:v>
      </x:c>
      <x:c r="H804" s="52" t="n">
        <x:v>413.4873083569706</x:v>
      </x:c>
      <x:c r="I804" s="52" t="n">
        <x:v>396.1833</x:v>
      </x:c>
      <x:c r="J804" s="52" t="n">
        <x:v>263.6166666666667</x:v>
      </x:c>
      <x:c r="K804" s="52" t="n">
        <x:f>IFERROR(I804/H804,"")</x:f>
        <x:v>0.9581510532312838</x:v>
      </x:c>
      <x:c r="L804" s="52" t="n">
        <x:v>300</x:v>
      </x:c>
      <x:c r="M804" s="65" t="n">
        <x:f>IF(H804&lt;=L804,1,0)</x:f>
        <x:v>0</x:v>
      </x:c>
      <x:c r="N804" s="65" t="n">
        <x:f>IF(I804&lt;=L804,1,0)</x:f>
        <x:v>0</x:v>
      </x:c>
      <x:c r="O804" s="51" t="str">
        <x:f>IF(M804=N804,"不变",IF(N804=1,"由禁变允","由允变禁"))</x:f>
        <x:v>不变</x:v>
      </x:c>
      <x:c r="P804" s="51" t="str">
        <x:v>OSRM driving/car</x:v>
      </x:c>
      <x:c r="Q804" s="51" t="str">
        <x:v>2026-08-15</x:v>
      </x:c>
      <x:c r="R804" s="51" t="str">
        <x:v>C-开放路网计算；不是货车/危运合规路线</x:v>
      </x:c>
      <x:c r="S804" s="51" t="str">
        <x:v>https://routing.openstreetmap.de/routed-car/</x:v>
      </x:c>
    </x:row>
    <x:row r="805">
      <x:c r="A805" s="51" t="str">
        <x:v>A0801</x:v>
      </x:c>
      <x:c r="B805" s="51" t="str">
        <x:v>C15</x:v>
      </x:c>
      <x:c r="C805" s="51" t="str">
        <x:v>collection</x:v>
      </x:c>
      <x:c r="D805" s="51" t="str">
        <x:v>湛江虚拟回收/检测中心</x:v>
      </x:c>
      <x:c r="E805" s="51" t="str">
        <x:v>P21R</x:v>
      </x:c>
      <x:c r="F805" s="51" t="str">
        <x:v>recycling</x:v>
      </x:c>
      <x:c r="G805" s="51" t="str">
        <x:v>广东瑞科美电源技术有限公司（再生功能）</x:v>
      </x:c>
      <x:c r="H805" s="52" t="n">
        <x:v>413.4873083569706</x:v>
      </x:c>
      <x:c r="I805" s="52" t="n">
        <x:v>396.1833</x:v>
      </x:c>
      <x:c r="J805" s="52" t="n">
        <x:v>263.6166666666667</x:v>
      </x:c>
      <x:c r="K805" s="52" t="n">
        <x:f>IFERROR(I805/H805,"")</x:f>
        <x:v>0.9581510532312838</x:v>
      </x:c>
      <x:c r="L805" s="52" t="n">
        <x:v>400</x:v>
      </x:c>
      <x:c r="M805" s="65" t="n">
        <x:f>IF(H805&lt;=L805,1,0)</x:f>
        <x:v>0</x:v>
      </x:c>
      <x:c r="N805" s="65" t="n">
        <x:f>IF(I805&lt;=L805,1,0)</x:f>
        <x:v>1</x:v>
      </x:c>
      <x:c r="O805" s="51" t="str">
        <x:f>IF(M805=N805,"不变",IF(N805=1,"由禁变允","由允变禁"))</x:f>
        <x:v>由禁变允</x:v>
      </x:c>
      <x:c r="P805" s="51" t="str">
        <x:v>OSRM driving/car</x:v>
      </x:c>
      <x:c r="Q805" s="51" t="str">
        <x:v>2026-08-15</x:v>
      </x:c>
      <x:c r="R805" s="51" t="str">
        <x:v>C-开放路网计算；不是货车/危运合规路线</x:v>
      </x:c>
      <x:c r="S805" s="51" t="str">
        <x:v>https://routing.openstreetmap.de/routed-car/</x:v>
      </x:c>
    </x:row>
    <x:row r="806">
      <x:c r="A806" s="51" t="str">
        <x:v>A0802</x:v>
      </x:c>
      <x:c r="B806" s="51" t="str">
        <x:v>C16</x:v>
      </x:c>
      <x:c r="C806" s="51" t="str">
        <x:v>collection</x:v>
      </x:c>
      <x:c r="D806" s="51" t="str">
        <x:v>茂名虚拟回收/检测中心</x:v>
      </x:c>
      <x:c r="E806" s="51" t="str">
        <x:v>P01</x:v>
      </x:c>
      <x:c r="F806" s="51" t="str">
        <x:v>recycling</x:v>
      </x:c>
      <x:c r="G806" s="51" t="str">
        <x:v>汕尾比亚迪废旧动力电池回收项目</x:v>
      </x:c>
      <x:c r="H806" s="52" t="n">
        <x:v>568.7841924114106</x:v>
      </x:c>
      <x:c r="I806" s="52" t="n">
        <x:v>538.6722</x:v>
      </x:c>
      <x:c r="J806" s="52" t="n">
        <x:v>370.38</x:v>
      </x:c>
      <x:c r="K806" s="52" t="n">
        <x:f>IFERROR(I806/H806,"")</x:f>
        <x:v>0.9470590202520429</x:v>
      </x:c>
      <x:c r="L806" s="52" t="n">
        <x:v>400</x:v>
      </x:c>
      <x:c r="M806" s="65" t="n">
        <x:f>IF(H806&lt;=L806,1,0)</x:f>
        <x:v>0</x:v>
      </x:c>
      <x:c r="N806" s="65" t="n">
        <x:f>IF(I806&lt;=L806,1,0)</x:f>
        <x:v>0</x:v>
      </x:c>
      <x:c r="O806" s="51" t="str">
        <x:f>IF(M806=N806,"不变",IF(N806=1,"由禁变允","由允变禁"))</x:f>
        <x:v>不变</x:v>
      </x:c>
      <x:c r="P806" s="51" t="str">
        <x:v>OSRM driving/car</x:v>
      </x:c>
      <x:c r="Q806" s="51" t="str">
        <x:v>2026-08-15</x:v>
      </x:c>
      <x:c r="R806" s="51" t="str">
        <x:v>C-开放路网计算；不是货车/危运合规路线</x:v>
      </x:c>
      <x:c r="S806" s="51" t="str">
        <x:v>https://routing.openstreetmap.de/routed-car/</x:v>
      </x:c>
    </x:row>
    <x:row r="807">
      <x:c r="A807" s="51" t="str">
        <x:v>A0803</x:v>
      </x:c>
      <x:c r="B807" s="51" t="str">
        <x:v>C16</x:v>
      </x:c>
      <x:c r="C807" s="51" t="str">
        <x:v>collection</x:v>
      </x:c>
      <x:c r="D807" s="51" t="str">
        <x:v>茂名虚拟回收/检测中心</x:v>
      </x:c>
      <x:c r="E807" s="51" t="str">
        <x:v>P02E</x:v>
      </x:c>
      <x:c r="F807" s="51" t="str">
        <x:v>echelon</x:v>
      </x:c>
      <x:c r="G807" s="51" t="str">
        <x:v>广东光华科技股份有限公司（梯次功能）</x:v>
      </x:c>
      <x:c r="H807" s="52" t="n">
        <x:v>744.5218279389317</x:v>
      </x:c>
      <x:c r="I807" s="52" t="n">
        <x:v>710.4196</x:v>
      </x:c>
      <x:c r="J807" s="52" t="n">
        <x:v>487.3833333333333</x:v>
      </x:c>
      <x:c r="K807" s="52" t="n">
        <x:f>IFERROR(I807/H807,"")</x:f>
        <x:v>0.9541957983510876</x:v>
      </x:c>
      <x:c r="L807" s="52" t="n">
        <x:v>300</x:v>
      </x:c>
      <x:c r="M807" s="65" t="n">
        <x:f>IF(H807&lt;=L807,1,0)</x:f>
        <x:v>0</x:v>
      </x:c>
      <x:c r="N807" s="65" t="n">
        <x:f>IF(I807&lt;=L807,1,0)</x:f>
        <x:v>0</x:v>
      </x:c>
      <x:c r="O807" s="51" t="str">
        <x:f>IF(M807=N807,"不变",IF(N807=1,"由禁变允","由允变禁"))</x:f>
        <x:v>不变</x:v>
      </x:c>
      <x:c r="P807" s="51" t="str">
        <x:v>OSRM driving/car</x:v>
      </x:c>
      <x:c r="Q807" s="51" t="str">
        <x:v>2026-08-15</x:v>
      </x:c>
      <x:c r="R807" s="51" t="str">
        <x:v>C-开放路网计算；不是货车/危运合规路线</x:v>
      </x:c>
      <x:c r="S807" s="51" t="str">
        <x:v>https://routing.openstreetmap.de/routed-car/</x:v>
      </x:c>
    </x:row>
    <x:row r="808">
      <x:c r="A808" s="51" t="str">
        <x:v>A0804</x:v>
      </x:c>
      <x:c r="B808" s="51" t="str">
        <x:v>C16</x:v>
      </x:c>
      <x:c r="C808" s="51" t="str">
        <x:v>collection</x:v>
      </x:c>
      <x:c r="D808" s="51" t="str">
        <x:v>茂名虚拟回收/检测中心</x:v>
      </x:c>
      <x:c r="E808" s="51" t="str">
        <x:v>P02R</x:v>
      </x:c>
      <x:c r="F808" s="51" t="str">
        <x:v>recycling</x:v>
      </x:c>
      <x:c r="G808" s="51" t="str">
        <x:v>广东光华科技股份有限公司（再生功能）</x:v>
      </x:c>
      <x:c r="H808" s="52" t="n">
        <x:v>744.5218279389317</x:v>
      </x:c>
      <x:c r="I808" s="52" t="n">
        <x:v>710.4196</x:v>
      </x:c>
      <x:c r="J808" s="52" t="n">
        <x:v>487.3833333333333</x:v>
      </x:c>
      <x:c r="K808" s="52" t="n">
        <x:f>IFERROR(I808/H808,"")</x:f>
        <x:v>0.9541957983510876</x:v>
      </x:c>
      <x:c r="L808" s="52" t="n">
        <x:v>400</x:v>
      </x:c>
      <x:c r="M808" s="65" t="n">
        <x:f>IF(H808&lt;=L808,1,0)</x:f>
        <x:v>0</x:v>
      </x:c>
      <x:c r="N808" s="65" t="n">
        <x:f>IF(I808&lt;=L808,1,0)</x:f>
        <x:v>0</x:v>
      </x:c>
      <x:c r="O808" s="51" t="str">
        <x:f>IF(M808=N808,"不变",IF(N808=1,"由禁变允","由允变禁"))</x:f>
        <x:v>不变</x:v>
      </x:c>
      <x:c r="P808" s="51" t="str">
        <x:v>OSRM driving/car</x:v>
      </x:c>
      <x:c r="Q808" s="51" t="str">
        <x:v>2026-08-15</x:v>
      </x:c>
      <x:c r="R808" s="51" t="str">
        <x:v>C-开放路网计算；不是货车/危运合规路线</x:v>
      </x:c>
      <x:c r="S808" s="51" t="str">
        <x:v>https://routing.openstreetmap.de/routed-car/</x:v>
      </x:c>
    </x:row>
    <x:row r="809">
      <x:c r="A809" s="51" t="str">
        <x:v>A0805</x:v>
      </x:c>
      <x:c r="B809" s="51" t="str">
        <x:v>C16</x:v>
      </x:c>
      <x:c r="C809" s="51" t="str">
        <x:v>collection</x:v>
      </x:c>
      <x:c r="D809" s="51" t="str">
        <x:v>茂名虚拟回收/检测中心</x:v>
      </x:c>
      <x:c r="E809" s="51" t="str">
        <x:v>P03</x:v>
      </x:c>
      <x:c r="F809" s="51" t="str">
        <x:v>echelon</x:v>
      </x:c>
      <x:c r="G809" s="51" t="str">
        <x:v>深圳深汕特别合作区乾泰技术有限公司</x:v>
      </x:c>
      <x:c r="H809" s="52" t="n">
        <x:v>594.1606647071775</x:v>
      </x:c>
      <x:c r="I809" s="52" t="n">
        <x:v>574.3204000000001</x:v>
      </x:c>
      <x:c r="J809" s="52" t="n">
        <x:v>404.3283333333333</x:v>
      </x:c>
      <x:c r="K809" s="52" t="n">
        <x:f>IFERROR(I809/H809,"")</x:f>
        <x:v>0.9666079128328776</x:v>
      </x:c>
      <x:c r="L809" s="52" t="n">
        <x:v>300</x:v>
      </x:c>
      <x:c r="M809" s="65" t="n">
        <x:f>IF(H809&lt;=L809,1,0)</x:f>
        <x:v>0</x:v>
      </x:c>
      <x:c r="N809" s="65" t="n">
        <x:f>IF(I809&lt;=L809,1,0)</x:f>
        <x:v>0</x:v>
      </x:c>
      <x:c r="O809" s="51" t="str">
        <x:f>IF(M809=N809,"不变",IF(N809=1,"由禁变允","由允变禁"))</x:f>
        <x:v>不变</x:v>
      </x:c>
      <x:c r="P809" s="51" t="str">
        <x:v>OSRM driving/car</x:v>
      </x:c>
      <x:c r="Q809" s="51" t="str">
        <x:v>2026-08-15</x:v>
      </x:c>
      <x:c r="R809" s="51" t="str">
        <x:v>C-开放路网计算；不是货车/危运合规路线</x:v>
      </x:c>
      <x:c r="S809" s="51" t="str">
        <x:v>https://routing.openstreetmap.de/routed-car/</x:v>
      </x:c>
    </x:row>
    <x:row r="810">
      <x:c r="A810" s="51" t="str">
        <x:v>A0806</x:v>
      </x:c>
      <x:c r="B810" s="51" t="str">
        <x:v>C16</x:v>
      </x:c>
      <x:c r="C810" s="51" t="str">
        <x:v>collection</x:v>
      </x:c>
      <x:c r="D810" s="51" t="str">
        <x:v>茂名虚拟回收/检测中心</x:v>
      </x:c>
      <x:c r="E810" s="51" t="str">
        <x:v>P04</x:v>
      </x:c>
      <x:c r="F810" s="51" t="str">
        <x:v>echelon</x:v>
      </x:c>
      <x:c r="G810" s="51" t="str">
        <x:v>珠海中力新能源科技有限公司</x:v>
      </x:c>
      <x:c r="H810" s="52" t="n">
        <x:v>337.94547424500036</x:v>
      </x:c>
      <x:c r="I810" s="52" t="n">
        <x:v>326.65770000000003</x:v>
      </x:c>
      <x:c r="J810" s="52" t="n">
        <x:v>227.54833333333332</x:v>
      </x:c>
      <x:c r="K810" s="52" t="n">
        <x:f>IFERROR(I810/H810,"")</x:f>
        <x:v>0.9665988299733317</x:v>
      </x:c>
      <x:c r="L810" s="52" t="n">
        <x:v>300</x:v>
      </x:c>
      <x:c r="M810" s="65" t="n">
        <x:f>IF(H810&lt;=L810,1,0)</x:f>
        <x:v>0</x:v>
      </x:c>
      <x:c r="N810" s="65" t="n">
        <x:f>IF(I810&lt;=L810,1,0)</x:f>
        <x:v>0</x:v>
      </x:c>
      <x:c r="O810" s="51" t="str">
        <x:f>IF(M810=N810,"不变",IF(N810=1,"由禁变允","由允变禁"))</x:f>
        <x:v>不变</x:v>
      </x:c>
      <x:c r="P810" s="51" t="str">
        <x:v>OSRM driving/car</x:v>
      </x:c>
      <x:c r="Q810" s="51" t="str">
        <x:v>2026-08-15</x:v>
      </x:c>
      <x:c r="R810" s="51" t="str">
        <x:v>C-开放路网计算；不是货车/危运合规路线</x:v>
      </x:c>
      <x:c r="S810" s="51" t="str">
        <x:v>https://routing.openstreetmap.de/routed-car/</x:v>
      </x:c>
    </x:row>
    <x:row r="811">
      <x:c r="A811" s="51" t="str">
        <x:v>A0807</x:v>
      </x:c>
      <x:c r="B811" s="51" t="str">
        <x:v>C16</x:v>
      </x:c>
      <x:c r="C811" s="51" t="str">
        <x:v>collection</x:v>
      </x:c>
      <x:c r="D811" s="51" t="str">
        <x:v>茂名虚拟回收/检测中心</x:v>
      </x:c>
      <x:c r="E811" s="51" t="str">
        <x:v>P05</x:v>
      </x:c>
      <x:c r="F811" s="51" t="str">
        <x:v>echelon</x:v>
      </x:c>
      <x:c r="G811" s="51" t="str">
        <x:v>惠州市恒创睿能环保科技有限公司</x:v>
      </x:c>
      <x:c r="H811" s="52" t="n">
        <x:v>472.0511550369907</x:v>
      </x:c>
      <x:c r="I811" s="52" t="n">
        <x:v>451.71070000000003</x:v>
      </x:c>
      <x:c r="J811" s="52" t="n">
        <x:v>309.9866666666667</x:v>
      </x:c>
      <x:c r="K811" s="52" t="n">
        <x:f>IFERROR(I811/H811,"")</x:f>
        <x:v>0.9569104856116776</x:v>
      </x:c>
      <x:c r="L811" s="52" t="n">
        <x:v>300</x:v>
      </x:c>
      <x:c r="M811" s="65" t="n">
        <x:f>IF(H811&lt;=L811,1,0)</x:f>
        <x:v>0</x:v>
      </x:c>
      <x:c r="N811" s="65" t="n">
        <x:f>IF(I811&lt;=L811,1,0)</x:f>
        <x:v>0</x:v>
      </x:c>
      <x:c r="O811" s="51" t="str">
        <x:f>IF(M811=N811,"不变",IF(N811=1,"由禁变允","由允变禁"))</x:f>
        <x:v>不变</x:v>
      </x:c>
      <x:c r="P811" s="51" t="str">
        <x:v>OSRM driving/car</x:v>
      </x:c>
      <x:c r="Q811" s="51" t="str">
        <x:v>2026-08-15</x:v>
      </x:c>
      <x:c r="R811" s="51" t="str">
        <x:v>C-开放路网计算；不是货车/危运合规路线</x:v>
      </x:c>
      <x:c r="S811" s="51" t="str">
        <x:v>https://routing.openstreetmap.de/routed-car/</x:v>
      </x:c>
    </x:row>
    <x:row r="812">
      <x:c r="A812" s="51" t="str">
        <x:v>A0808</x:v>
      </x:c>
      <x:c r="B812" s="51" t="str">
        <x:v>C16</x:v>
      </x:c>
      <x:c r="C812" s="51" t="str">
        <x:v>collection</x:v>
      </x:c>
      <x:c r="D812" s="51" t="str">
        <x:v>茂名虚拟回收/检测中心</x:v>
      </x:c>
      <x:c r="E812" s="51" t="str">
        <x:v>P06</x:v>
      </x:c>
      <x:c r="F812" s="51" t="str">
        <x:v>echelon</x:v>
      </x:c>
      <x:c r="G812" s="51" t="str">
        <x:v>江门市朗达锂电池有限公司</x:v>
      </x:c>
      <x:c r="H812" s="52" t="n">
        <x:v>293.09106494828376</x:v>
      </x:c>
      <x:c r="I812" s="52" t="n">
        <x:v>274.2217</x:v>
      </x:c>
      <x:c r="J812" s="52" t="n">
        <x:v>186.315</x:v>
      </x:c>
      <x:c r="K812" s="52" t="n">
        <x:f>IFERROR(I812/H812,"")</x:f>
        <x:v>0.9356194466330344</x:v>
      </x:c>
      <x:c r="L812" s="52" t="n">
        <x:v>300</x:v>
      </x:c>
      <x:c r="M812" s="65" t="n">
        <x:f>IF(H812&lt;=L812,1,0)</x:f>
        <x:v>1</x:v>
      </x:c>
      <x:c r="N812" s="65" t="n">
        <x:f>IF(I812&lt;=L812,1,0)</x:f>
        <x:v>1</x:v>
      </x:c>
      <x:c r="O812" s="51" t="str">
        <x:f>IF(M812=N812,"不变",IF(N812=1,"由禁变允","由允变禁"))</x:f>
        <x:v>不变</x:v>
      </x:c>
      <x:c r="P812" s="51" t="str">
        <x:v>OSRM driving/car</x:v>
      </x:c>
      <x:c r="Q812" s="51" t="str">
        <x:v>2026-08-15</x:v>
      </x:c>
      <x:c r="R812" s="51" t="str">
        <x:v>C-开放路网计算；不是货车/危运合规路线</x:v>
      </x:c>
      <x:c r="S812" s="51" t="str">
        <x:v>https://routing.openstreetmap.de/routed-car/</x:v>
      </x:c>
    </x:row>
    <x:row r="813">
      <x:c r="A813" s="51" t="str">
        <x:v>A0809</x:v>
      </x:c>
      <x:c r="B813" s="51" t="str">
        <x:v>C16</x:v>
      </x:c>
      <x:c r="C813" s="51" t="str">
        <x:v>collection</x:v>
      </x:c>
      <x:c r="D813" s="51" t="str">
        <x:v>茂名虚拟回收/检测中心</x:v>
      </x:c>
      <x:c r="E813" s="51" t="str">
        <x:v>P07</x:v>
      </x:c>
      <x:c r="F813" s="51" t="str">
        <x:v>echelon</x:v>
      </x:c>
      <x:c r="G813" s="51" t="str">
        <x:v>广东迪度新能源有限公司</x:v>
      </x:c>
      <x:c r="H813" s="52" t="n">
        <x:v>392.5078157037128</x:v>
      </x:c>
      <x:c r="I813" s="52" t="n">
        <x:v>383.7491</x:v>
      </x:c>
      <x:c r="J813" s="52" t="n">
        <x:v>259.1616666666667</x:v>
      </x:c>
      <x:c r="K813" s="52" t="n">
        <x:f>IFERROR(I813/H813,"")</x:f>
        <x:v>0.9776852451001271</x:v>
      </x:c>
      <x:c r="L813" s="52" t="n">
        <x:v>300</x:v>
      </x:c>
      <x:c r="M813" s="65" t="n">
        <x:f>IF(H813&lt;=L813,1,0)</x:f>
        <x:v>0</x:v>
      </x:c>
      <x:c r="N813" s="65" t="n">
        <x:f>IF(I813&lt;=L813,1,0)</x:f>
        <x:v>0</x:v>
      </x:c>
      <x:c r="O813" s="51" t="str">
        <x:f>IF(M813=N813,"不变",IF(N813=1,"由禁变允","由允变禁"))</x:f>
        <x:v>不变</x:v>
      </x:c>
      <x:c r="P813" s="51" t="str">
        <x:v>OSRM driving/car</x:v>
      </x:c>
      <x:c r="Q813" s="51" t="str">
        <x:v>2026-08-15</x:v>
      </x:c>
      <x:c r="R813" s="51" t="str">
        <x:v>C-开放路网计算；不是货车/危运合规路线</x:v>
      </x:c>
      <x:c r="S813" s="51" t="str">
        <x:v>https://routing.openstreetmap.de/routed-car/</x:v>
      </x:c>
    </x:row>
    <x:row r="814">
      <x:c r="A814" s="51" t="str">
        <x:v>A0810</x:v>
      </x:c>
      <x:c r="B814" s="51" t="str">
        <x:v>C16</x:v>
      </x:c>
      <x:c r="C814" s="51" t="str">
        <x:v>collection</x:v>
      </x:c>
      <x:c r="D814" s="51" t="str">
        <x:v>茂名虚拟回收/检测中心</x:v>
      </x:c>
      <x:c r="E814" s="51" t="str">
        <x:v>P08</x:v>
      </x:c>
      <x:c r="F814" s="51" t="str">
        <x:v>echelon</x:v>
      </x:c>
      <x:c r="G814" s="51" t="str">
        <x:v>东莞市博森新能源有限公司</x:v>
      </x:c>
      <x:c r="H814" s="52" t="n">
        <x:v>392.5078157037128</x:v>
      </x:c>
      <x:c r="I814" s="52" t="n">
        <x:v>383.7491</x:v>
      </x:c>
      <x:c r="J814" s="52" t="n">
        <x:v>259.1616666666667</x:v>
      </x:c>
      <x:c r="K814" s="52" t="n">
        <x:f>IFERROR(I814/H814,"")</x:f>
        <x:v>0.9776852451001271</x:v>
      </x:c>
      <x:c r="L814" s="52" t="n">
        <x:v>300</x:v>
      </x:c>
      <x:c r="M814" s="65" t="n">
        <x:f>IF(H814&lt;=L814,1,0)</x:f>
        <x:v>0</x:v>
      </x:c>
      <x:c r="N814" s="65" t="n">
        <x:f>IF(I814&lt;=L814,1,0)</x:f>
        <x:v>0</x:v>
      </x:c>
      <x:c r="O814" s="51" t="str">
        <x:f>IF(M814=N814,"不变",IF(N814=1,"由禁变允","由允变禁"))</x:f>
        <x:v>不变</x:v>
      </x:c>
      <x:c r="P814" s="51" t="str">
        <x:v>OSRM driving/car</x:v>
      </x:c>
      <x:c r="Q814" s="51" t="str">
        <x:v>2026-08-15</x:v>
      </x:c>
      <x:c r="R814" s="51" t="str">
        <x:v>C-开放路网计算；不是货车/危运合规路线</x:v>
      </x:c>
      <x:c r="S814" s="51" t="str">
        <x:v>https://routing.openstreetmap.de/routed-car/</x:v>
      </x:c>
    </x:row>
    <x:row r="815">
      <x:c r="A815" s="51" t="str">
        <x:v>A0811</x:v>
      </x:c>
      <x:c r="B815" s="51" t="str">
        <x:v>C16</x:v>
      </x:c>
      <x:c r="C815" s="51" t="str">
        <x:v>collection</x:v>
      </x:c>
      <x:c r="D815" s="51" t="str">
        <x:v>茂名虚拟回收/检测中心</x:v>
      </x:c>
      <x:c r="E815" s="51" t="str">
        <x:v>P09</x:v>
      </x:c>
      <x:c r="F815" s="51" t="str">
        <x:v>echelon</x:v>
      </x:c>
      <x:c r="G815" s="51" t="str">
        <x:v>广东宇阳新能源有限公司</x:v>
      </x:c>
      <x:c r="H815" s="52" t="n">
        <x:v>392.5078157037128</x:v>
      </x:c>
      <x:c r="I815" s="52" t="n">
        <x:v>383.7491</x:v>
      </x:c>
      <x:c r="J815" s="52" t="n">
        <x:v>259.1616666666667</x:v>
      </x:c>
      <x:c r="K815" s="52" t="n">
        <x:f>IFERROR(I815/H815,"")</x:f>
        <x:v>0.9776852451001271</x:v>
      </x:c>
      <x:c r="L815" s="52" t="n">
        <x:v>300</x:v>
      </x:c>
      <x:c r="M815" s="65" t="n">
        <x:f>IF(H815&lt;=L815,1,0)</x:f>
        <x:v>0</x:v>
      </x:c>
      <x:c r="N815" s="65" t="n">
        <x:f>IF(I815&lt;=L815,1,0)</x:f>
        <x:v>0</x:v>
      </x:c>
      <x:c r="O815" s="51" t="str">
        <x:f>IF(M815=N815,"不变",IF(N815=1,"由禁变允","由允变禁"))</x:f>
        <x:v>不变</x:v>
      </x:c>
      <x:c r="P815" s="51" t="str">
        <x:v>OSRM driving/car</x:v>
      </x:c>
      <x:c r="Q815" s="51" t="str">
        <x:v>2026-08-15</x:v>
      </x:c>
      <x:c r="R815" s="51" t="str">
        <x:v>C-开放路网计算；不是货车/危运合规路线</x:v>
      </x:c>
      <x:c r="S815" s="51" t="str">
        <x:v>https://routing.openstreetmap.de/routed-car/</x:v>
      </x:c>
    </x:row>
    <x:row r="816">
      <x:c r="A816" s="51" t="str">
        <x:v>A0812</x:v>
      </x:c>
      <x:c r="B816" s="51" t="str">
        <x:v>C16</x:v>
      </x:c>
      <x:c r="C816" s="51" t="str">
        <x:v>collection</x:v>
      </x:c>
      <x:c r="D816" s="51" t="str">
        <x:v>茂名虚拟回收/检测中心</x:v>
      </x:c>
      <x:c r="E816" s="51" t="str">
        <x:v>P10</x:v>
      </x:c>
      <x:c r="F816" s="51" t="str">
        <x:v>echelon</x:v>
      </x:c>
      <x:c r="G816" s="51" t="str">
        <x:v>广州广汽商贸再生资源有限公司</x:v>
      </x:c>
      <x:c r="H816" s="52" t="n">
        <x:v>348.28546413377285</x:v>
      </x:c>
      <x:c r="I816" s="52" t="n">
        <x:v>336.3432</x:v>
      </x:c>
      <x:c r="J816" s="52" t="n">
        <x:v>228.51666666666668</x:v>
      </x:c>
      <x:c r="K816" s="52" t="n">
        <x:f>IFERROR(I816/H816,"")</x:f>
        <x:v>0.9657112760549033</x:v>
      </x:c>
      <x:c r="L816" s="52" t="n">
        <x:v>300</x:v>
      </x:c>
      <x:c r="M816" s="65" t="n">
        <x:f>IF(H816&lt;=L816,1,0)</x:f>
        <x:v>0</x:v>
      </x:c>
      <x:c r="N816" s="65" t="n">
        <x:f>IF(I816&lt;=L816,1,0)</x:f>
        <x:v>0</x:v>
      </x:c>
      <x:c r="O816" s="51" t="str">
        <x:f>IF(M816=N816,"不变",IF(N816=1,"由禁变允","由允变禁"))</x:f>
        <x:v>不变</x:v>
      </x:c>
      <x:c r="P816" s="51" t="str">
        <x:v>OSRM driving/car</x:v>
      </x:c>
      <x:c r="Q816" s="51" t="str">
        <x:v>2026-08-15</x:v>
      </x:c>
      <x:c r="R816" s="51" t="str">
        <x:v>C-开放路网计算；不是货车/危运合规路线</x:v>
      </x:c>
      <x:c r="S816" s="51" t="str">
        <x:v>https://routing.openstreetmap.de/routed-car/</x:v>
      </x:c>
    </x:row>
    <x:row r="817">
      <x:c r="A817" s="51" t="str">
        <x:v>A0813</x:v>
      </x:c>
      <x:c r="B817" s="51" t="str">
        <x:v>C16</x:v>
      </x:c>
      <x:c r="C817" s="51" t="str">
        <x:v>collection</x:v>
      </x:c>
      <x:c r="D817" s="51" t="str">
        <x:v>茂名虚拟回收/检测中心</x:v>
      </x:c>
      <x:c r="E817" s="51" t="str">
        <x:v>P11</x:v>
      </x:c>
      <x:c r="F817" s="51" t="str">
        <x:v>echelon</x:v>
      </x:c>
      <x:c r="G817" s="51" t="str">
        <x:v>深圳市杰成镍钴新能源科技有限公司</x:v>
      </x:c>
      <x:c r="H817" s="52" t="n">
        <x:v>404.74229830480357</x:v>
      </x:c>
      <x:c r="I817" s="52" t="n">
        <x:v>385.05490000000003</x:v>
      </x:c>
      <x:c r="J817" s="52" t="n">
        <x:v>265.4816666666667</x:v>
      </x:c>
      <x:c r="K817" s="52" t="n">
        <x:f>IFERROR(I817/H817,"")</x:f>
        <x:v>0.9513581891804712</x:v>
      </x:c>
      <x:c r="L817" s="52" t="n">
        <x:v>300</x:v>
      </x:c>
      <x:c r="M817" s="65" t="n">
        <x:f>IF(H817&lt;=L817,1,0)</x:f>
        <x:v>0</x:v>
      </x:c>
      <x:c r="N817" s="65" t="n">
        <x:f>IF(I817&lt;=L817,1,0)</x:f>
        <x:v>0</x:v>
      </x:c>
      <x:c r="O817" s="51" t="str">
        <x:f>IF(M817=N817,"不变",IF(N817=1,"由禁变允","由允变禁"))</x:f>
        <x:v>不变</x:v>
      </x:c>
      <x:c r="P817" s="51" t="str">
        <x:v>OSRM driving/car</x:v>
      </x:c>
      <x:c r="Q817" s="51" t="str">
        <x:v>2026-08-15</x:v>
      </x:c>
      <x:c r="R817" s="51" t="str">
        <x:v>C-开放路网计算；不是货车/危运合规路线</x:v>
      </x:c>
      <x:c r="S817" s="51" t="str">
        <x:v>https://routing.openstreetmap.de/routed-car/</x:v>
      </x:c>
    </x:row>
    <x:row r="818">
      <x:c r="A818" s="51" t="str">
        <x:v>A0814</x:v>
      </x:c>
      <x:c r="B818" s="51" t="str">
        <x:v>C16</x:v>
      </x:c>
      <x:c r="C818" s="51" t="str">
        <x:v>collection</x:v>
      </x:c>
      <x:c r="D818" s="51" t="str">
        <x:v>茂名虚拟回收/检测中心</x:v>
      </x:c>
      <x:c r="E818" s="51" t="str">
        <x:v>P12</x:v>
      </x:c>
      <x:c r="F818" s="51" t="str">
        <x:v>recycling</x:v>
      </x:c>
      <x:c r="G818" s="51" t="str">
        <x:v>江门市恒创睿能环保科技有限公司</x:v>
      </x:c>
      <x:c r="H818" s="52" t="n">
        <x:v>293.09106494828376</x:v>
      </x:c>
      <x:c r="I818" s="52" t="n">
        <x:v>274.2217</x:v>
      </x:c>
      <x:c r="J818" s="52" t="n">
        <x:v>186.315</x:v>
      </x:c>
      <x:c r="K818" s="52" t="n">
        <x:f>IFERROR(I818/H818,"")</x:f>
        <x:v>0.9356194466330344</x:v>
      </x:c>
      <x:c r="L818" s="52" t="n">
        <x:v>400</x:v>
      </x:c>
      <x:c r="M818" s="65" t="n">
        <x:f>IF(H818&lt;=L818,1,0)</x:f>
        <x:v>1</x:v>
      </x:c>
      <x:c r="N818" s="65" t="n">
        <x:f>IF(I818&lt;=L818,1,0)</x:f>
        <x:v>1</x:v>
      </x:c>
      <x:c r="O818" s="51" t="str">
        <x:f>IF(M818=N818,"不变",IF(N818=1,"由禁变允","由允变禁"))</x:f>
        <x:v>不变</x:v>
      </x:c>
      <x:c r="P818" s="51" t="str">
        <x:v>OSRM driving/car</x:v>
      </x:c>
      <x:c r="Q818" s="51" t="str">
        <x:v>2026-08-15</x:v>
      </x:c>
      <x:c r="R818" s="51" t="str">
        <x:v>C-开放路网计算；不是货车/危运合规路线</x:v>
      </x:c>
      <x:c r="S818" s="51" t="str">
        <x:v>https://routing.openstreetmap.de/routed-car/</x:v>
      </x:c>
    </x:row>
    <x:row r="819">
      <x:c r="A819" s="51" t="str">
        <x:v>A0815</x:v>
      </x:c>
      <x:c r="B819" s="51" t="str">
        <x:v>C16</x:v>
      </x:c>
      <x:c r="C819" s="51" t="str">
        <x:v>collection</x:v>
      </x:c>
      <x:c r="D819" s="51" t="str">
        <x:v>茂名虚拟回收/检测中心</x:v>
      </x:c>
      <x:c r="E819" s="51" t="str">
        <x:v>P13</x:v>
      </x:c>
      <x:c r="F819" s="51" t="str">
        <x:v>recycling</x:v>
      </x:c>
      <x:c r="G819" s="51" t="str">
        <x:v>广东佳纳能源科技有限公司</x:v>
      </x:c>
      <x:c r="H819" s="52" t="n">
        <x:v>375.7877970270814</x:v>
      </x:c>
      <x:c r="I819" s="52" t="n">
        <x:v>363.3835</x:v>
      </x:c>
      <x:c r="J819" s="52" t="n">
        <x:v>262.87333333333333</x:v>
      </x:c>
      <x:c r="K819" s="52" t="n">
        <x:f>IFERROR(I819/H819,"")</x:f>
        <x:v>0.9669912191795109</x:v>
      </x:c>
      <x:c r="L819" s="52" t="n">
        <x:v>400</x:v>
      </x:c>
      <x:c r="M819" s="65" t="n">
        <x:f>IF(H819&lt;=L819,1,0)</x:f>
        <x:v>1</x:v>
      </x:c>
      <x:c r="N819" s="65" t="n">
        <x:f>IF(I819&lt;=L819,1,0)</x:f>
        <x:v>1</x:v>
      </x:c>
      <x:c r="O819" s="51" t="str">
        <x:f>IF(M819=N819,"不变",IF(N819=1,"由禁变允","由允变禁"))</x:f>
        <x:v>不变</x:v>
      </x:c>
      <x:c r="P819" s="51" t="str">
        <x:v>OSRM driving/car</x:v>
      </x:c>
      <x:c r="Q819" s="51" t="str">
        <x:v>2026-08-15</x:v>
      </x:c>
      <x:c r="R819" s="51" t="str">
        <x:v>C-开放路网计算；不是货车/危运合规路线</x:v>
      </x:c>
      <x:c r="S819" s="51" t="str">
        <x:v>https://routing.openstreetmap.de/routed-car/</x:v>
      </x:c>
    </x:row>
    <x:row r="820">
      <x:c r="A820" s="51" t="str">
        <x:v>A0816</x:v>
      </x:c>
      <x:c r="B820" s="51" t="str">
        <x:v>C16</x:v>
      </x:c>
      <x:c r="C820" s="51" t="str">
        <x:v>collection</x:v>
      </x:c>
      <x:c r="D820" s="51" t="str">
        <x:v>茂名虚拟回收/检测中心</x:v>
      </x:c>
      <x:c r="E820" s="51" t="str">
        <x:v>P14</x:v>
      </x:c>
      <x:c r="F820" s="51" t="str">
        <x:v>echelon</x:v>
      </x:c>
      <x:c r="G820" s="51" t="str">
        <x:v>格林美（深圳）循环科技有限公司</x:v>
      </x:c>
      <x:c r="H820" s="52" t="n">
        <x:v>404.74229830480357</x:v>
      </x:c>
      <x:c r="I820" s="52" t="n">
        <x:v>385.05490000000003</x:v>
      </x:c>
      <x:c r="J820" s="52" t="n">
        <x:v>265.4816666666667</x:v>
      </x:c>
      <x:c r="K820" s="52" t="n">
        <x:f>IFERROR(I820/H820,"")</x:f>
        <x:v>0.9513581891804712</x:v>
      </x:c>
      <x:c r="L820" s="52" t="n">
        <x:v>300</x:v>
      </x:c>
      <x:c r="M820" s="65" t="n">
        <x:f>IF(H820&lt;=L820,1,0)</x:f>
        <x:v>0</x:v>
      </x:c>
      <x:c r="N820" s="65" t="n">
        <x:f>IF(I820&lt;=L820,1,0)</x:f>
        <x:v>0</x:v>
      </x:c>
      <x:c r="O820" s="51" t="str">
        <x:f>IF(M820=N820,"不变",IF(N820=1,"由禁变允","由允变禁"))</x:f>
        <x:v>不变</x:v>
      </x:c>
      <x:c r="P820" s="51" t="str">
        <x:v>OSRM driving/car</x:v>
      </x:c>
      <x:c r="Q820" s="51" t="str">
        <x:v>2026-08-15</x:v>
      </x:c>
      <x:c r="R820" s="51" t="str">
        <x:v>C-开放路网计算；不是货车/危运合规路线</x:v>
      </x:c>
      <x:c r="S820" s="51" t="str">
        <x:v>https://routing.openstreetmap.de/routed-car/</x:v>
      </x:c>
    </x:row>
    <x:row r="821">
      <x:c r="A821" s="51" t="str">
        <x:v>A0817</x:v>
      </x:c>
      <x:c r="B821" s="51" t="str">
        <x:v>C16</x:v>
      </x:c>
      <x:c r="C821" s="51" t="str">
        <x:v>collection</x:v>
      </x:c>
      <x:c r="D821" s="51" t="str">
        <x:v>茂名虚拟回收/检测中心</x:v>
      </x:c>
      <x:c r="E821" s="51" t="str">
        <x:v>P15</x:v>
      </x:c>
      <x:c r="F821" s="51" t="str">
        <x:v>echelon</x:v>
      </x:c>
      <x:c r="G821" s="51" t="str">
        <x:v>绿循新能源科技（佛山）有限责任公司</x:v>
      </x:c>
      <x:c r="H821" s="52" t="n">
        <x:v>325.92386177012366</x:v>
      </x:c>
      <x:c r="I821" s="52" t="n">
        <x:v>315.12579999999997</x:v>
      </x:c>
      <x:c r="J821" s="52" t="n">
        <x:v>213.63</x:v>
      </x:c>
      <x:c r="K821" s="52" t="n">
        <x:f>IFERROR(I821/H821,"")</x:f>
        <x:v>0.9668693733822421</x:v>
      </x:c>
      <x:c r="L821" s="52" t="n">
        <x:v>300</x:v>
      </x:c>
      <x:c r="M821" s="65" t="n">
        <x:f>IF(H821&lt;=L821,1,0)</x:f>
        <x:v>0</x:v>
      </x:c>
      <x:c r="N821" s="65" t="n">
        <x:f>IF(I821&lt;=L821,1,0)</x:f>
        <x:v>0</x:v>
      </x:c>
      <x:c r="O821" s="51" t="str">
        <x:f>IF(M821=N821,"不变",IF(N821=1,"由禁变允","由允变禁"))</x:f>
        <x:v>不变</x:v>
      </x:c>
      <x:c r="P821" s="51" t="str">
        <x:v>OSRM driving/car</x:v>
      </x:c>
      <x:c r="Q821" s="51" t="str">
        <x:v>2026-08-15</x:v>
      </x:c>
      <x:c r="R821" s="51" t="str">
        <x:v>C-开放路网计算；不是货车/危运合规路线</x:v>
      </x:c>
      <x:c r="S821" s="51" t="str">
        <x:v>https://routing.openstreetmap.de/routed-car/</x:v>
      </x:c>
    </x:row>
    <x:row r="822">
      <x:c r="A822" s="51" t="str">
        <x:v>A0818</x:v>
      </x:c>
      <x:c r="B822" s="51" t="str">
        <x:v>C16</x:v>
      </x:c>
      <x:c r="C822" s="51" t="str">
        <x:v>collection</x:v>
      </x:c>
      <x:c r="D822" s="51" t="str">
        <x:v>茂名虚拟回收/检测中心</x:v>
      </x:c>
      <x:c r="E822" s="51" t="str">
        <x:v>P16</x:v>
      </x:c>
      <x:c r="F822" s="51" t="str">
        <x:v>echelon</x:v>
      </x:c>
      <x:c r="G822" s="51" t="str">
        <x:v>深圳艾云动智慧科技有限公司</x:v>
      </x:c>
      <x:c r="H822" s="52" t="n">
        <x:v>404.74229830480357</x:v>
      </x:c>
      <x:c r="I822" s="52" t="n">
        <x:v>385.05490000000003</x:v>
      </x:c>
      <x:c r="J822" s="52" t="n">
        <x:v>265.4816666666667</x:v>
      </x:c>
      <x:c r="K822" s="52" t="n">
        <x:f>IFERROR(I822/H822,"")</x:f>
        <x:v>0.9513581891804712</x:v>
      </x:c>
      <x:c r="L822" s="52" t="n">
        <x:v>300</x:v>
      </x:c>
      <x:c r="M822" s="65" t="n">
        <x:f>IF(H822&lt;=L822,1,0)</x:f>
        <x:v>0</x:v>
      </x:c>
      <x:c r="N822" s="65" t="n">
        <x:f>IF(I822&lt;=L822,1,0)</x:f>
        <x:v>0</x:v>
      </x:c>
      <x:c r="O822" s="51" t="str">
        <x:f>IF(M822=N822,"不变",IF(N822=1,"由禁变允","由允变禁"))</x:f>
        <x:v>不变</x:v>
      </x:c>
      <x:c r="P822" s="51" t="str">
        <x:v>OSRM driving/car</x:v>
      </x:c>
      <x:c r="Q822" s="51" t="str">
        <x:v>2026-08-15</x:v>
      </x:c>
      <x:c r="R822" s="51" t="str">
        <x:v>C-开放路网计算；不是货车/危运合规路线</x:v>
      </x:c>
      <x:c r="S822" s="51" t="str">
        <x:v>https://routing.openstreetmap.de/routed-car/</x:v>
      </x:c>
    </x:row>
    <x:row r="823">
      <x:c r="A823" s="51" t="str">
        <x:v>A0819</x:v>
      </x:c>
      <x:c r="B823" s="51" t="str">
        <x:v>C16</x:v>
      </x:c>
      <x:c r="C823" s="51" t="str">
        <x:v>collection</x:v>
      </x:c>
      <x:c r="D823" s="51" t="str">
        <x:v>茂名虚拟回收/检测中心</x:v>
      </x:c>
      <x:c r="E823" s="51" t="str">
        <x:v>P17</x:v>
      </x:c>
      <x:c r="F823" s="51" t="str">
        <x:v>echelon</x:v>
      </x:c>
      <x:c r="G823" s="51" t="str">
        <x:v>深圳市荣高晟新能源科技有限公司</x:v>
      </x:c>
      <x:c r="H823" s="52" t="n">
        <x:v>404.74229830480357</x:v>
      </x:c>
      <x:c r="I823" s="52" t="n">
        <x:v>385.05490000000003</x:v>
      </x:c>
      <x:c r="J823" s="52" t="n">
        <x:v>265.4816666666667</x:v>
      </x:c>
      <x:c r="K823" s="52" t="n">
        <x:f>IFERROR(I823/H823,"")</x:f>
        <x:v>0.9513581891804712</x:v>
      </x:c>
      <x:c r="L823" s="52" t="n">
        <x:v>300</x:v>
      </x:c>
      <x:c r="M823" s="65" t="n">
        <x:f>IF(H823&lt;=L823,1,0)</x:f>
        <x:v>0</x:v>
      </x:c>
      <x:c r="N823" s="65" t="n">
        <x:f>IF(I823&lt;=L823,1,0)</x:f>
        <x:v>0</x:v>
      </x:c>
      <x:c r="O823" s="51" t="str">
        <x:f>IF(M823=N823,"不变",IF(N823=1,"由禁变允","由允变禁"))</x:f>
        <x:v>不变</x:v>
      </x:c>
      <x:c r="P823" s="51" t="str">
        <x:v>OSRM driving/car</x:v>
      </x:c>
      <x:c r="Q823" s="51" t="str">
        <x:v>2026-08-15</x:v>
      </x:c>
      <x:c r="R823" s="51" t="str">
        <x:v>C-开放路网计算；不是货车/危运合规路线</x:v>
      </x:c>
      <x:c r="S823" s="51" t="str">
        <x:v>https://routing.openstreetmap.de/routed-car/</x:v>
      </x:c>
    </x:row>
    <x:row r="824">
      <x:c r="A824" s="51" t="str">
        <x:v>A0820</x:v>
      </x:c>
      <x:c r="B824" s="51" t="str">
        <x:v>C16</x:v>
      </x:c>
      <x:c r="C824" s="51" t="str">
        <x:v>collection</x:v>
      </x:c>
      <x:c r="D824" s="51" t="str">
        <x:v>茂名虚拟回收/检测中心</x:v>
      </x:c>
      <x:c r="E824" s="51" t="str">
        <x:v>P18</x:v>
      </x:c>
      <x:c r="F824" s="51" t="str">
        <x:v>echelon</x:v>
      </x:c>
      <x:c r="G824" s="51" t="str">
        <x:v>中商锂新能源科技（惠州）有限公司</x:v>
      </x:c>
      <x:c r="H824" s="52" t="n">
        <x:v>472.0511550369907</x:v>
      </x:c>
      <x:c r="I824" s="52" t="n">
        <x:v>451.71070000000003</x:v>
      </x:c>
      <x:c r="J824" s="52" t="n">
        <x:v>309.9866666666667</x:v>
      </x:c>
      <x:c r="K824" s="52" t="n">
        <x:f>IFERROR(I824/H824,"")</x:f>
        <x:v>0.9569104856116776</x:v>
      </x:c>
      <x:c r="L824" s="52" t="n">
        <x:v>300</x:v>
      </x:c>
      <x:c r="M824" s="65" t="n">
        <x:f>IF(H824&lt;=L824,1,0)</x:f>
        <x:v>0</x:v>
      </x:c>
      <x:c r="N824" s="65" t="n">
        <x:f>IF(I824&lt;=L824,1,0)</x:f>
        <x:v>0</x:v>
      </x:c>
      <x:c r="O824" s="51" t="str">
        <x:f>IF(M824=N824,"不变",IF(N824=1,"由禁变允","由允变禁"))</x:f>
        <x:v>不变</x:v>
      </x:c>
      <x:c r="P824" s="51" t="str">
        <x:v>OSRM driving/car</x:v>
      </x:c>
      <x:c r="Q824" s="51" t="str">
        <x:v>2026-08-15</x:v>
      </x:c>
      <x:c r="R824" s="51" t="str">
        <x:v>C-开放路网计算；不是货车/危运合规路线</x:v>
      </x:c>
      <x:c r="S824" s="51" t="str">
        <x:v>https://routing.openstreetmap.de/routed-car/</x:v>
      </x:c>
    </x:row>
    <x:row r="825">
      <x:c r="A825" s="51" t="str">
        <x:v>A0821</x:v>
      </x:c>
      <x:c r="B825" s="51" t="str">
        <x:v>C16</x:v>
      </x:c>
      <x:c r="C825" s="51" t="str">
        <x:v>collection</x:v>
      </x:c>
      <x:c r="D825" s="51" t="str">
        <x:v>茂名虚拟回收/检测中心</x:v>
      </x:c>
      <x:c r="E825" s="51" t="str">
        <x:v>P19</x:v>
      </x:c>
      <x:c r="F825" s="51" t="str">
        <x:v>recycling</x:v>
      </x:c>
      <x:c r="G825" s="51" t="str">
        <x:v>广东盛祥新材料科技有限公司</x:v>
      </x:c>
      <x:c r="H825" s="52" t="n">
        <x:v>551.5998500712193</x:v>
      </x:c>
      <x:c r="I825" s="52" t="n">
        <x:v>534.7389000000001</x:v>
      </x:c>
      <x:c r="J825" s="52" t="n">
        <x:v>385.06166666666667</x:v>
      </x:c>
      <x:c r="K825" s="52" t="n">
        <x:f>IFERROR(I825/H825,"")</x:f>
        <x:v>0.9694326420338181</x:v>
      </x:c>
      <x:c r="L825" s="52" t="n">
        <x:v>400</x:v>
      </x:c>
      <x:c r="M825" s="65" t="n">
        <x:f>IF(H825&lt;=L825,1,0)</x:f>
        <x:v>0</x:v>
      </x:c>
      <x:c r="N825" s="65" t="n">
        <x:f>IF(I825&lt;=L825,1,0)</x:f>
        <x:v>0</x:v>
      </x:c>
      <x:c r="O825" s="51" t="str">
        <x:f>IF(M825=N825,"不变",IF(N825=1,"由禁变允","由允变禁"))</x:f>
        <x:v>不变</x:v>
      </x:c>
      <x:c r="P825" s="51" t="str">
        <x:v>OSRM driving/car</x:v>
      </x:c>
      <x:c r="Q825" s="51" t="str">
        <x:v>2026-08-15</x:v>
      </x:c>
      <x:c r="R825" s="51" t="str">
        <x:v>C-开放路网计算；不是货车/危运合规路线</x:v>
      </x:c>
      <x:c r="S825" s="51" t="str">
        <x:v>https://routing.openstreetmap.de/routed-car/</x:v>
      </x:c>
    </x:row>
    <x:row r="826">
      <x:c r="A826" s="51" t="str">
        <x:v>A0822</x:v>
      </x:c>
      <x:c r="B826" s="51" t="str">
        <x:v>C16</x:v>
      </x:c>
      <x:c r="C826" s="51" t="str">
        <x:v>collection</x:v>
      </x:c>
      <x:c r="D826" s="51" t="str">
        <x:v>茂名虚拟回收/检测中心</x:v>
      </x:c>
      <x:c r="E826" s="51" t="str">
        <x:v>P20E</x:v>
      </x:c>
      <x:c r="F826" s="51" t="str">
        <x:v>echelon</x:v>
      </x:c>
      <x:c r="G826" s="51" t="str">
        <x:v>广东金晟新能源股份有限公司（梯次功能）</x:v>
      </x:c>
      <x:c r="H826" s="52" t="n">
        <x:v>264.97558445306174</x:v>
      </x:c>
      <x:c r="I826" s="52" t="n">
        <x:v>256.1699</x:v>
      </x:c>
      <x:c r="J826" s="52" t="n">
        <x:v>186.63500000000002</x:v>
      </x:c>
      <x:c r="K826" s="52" t="n">
        <x:f>IFERROR(I826/H826,"")</x:f>
        <x:v>0.9667679402566933</x:v>
      </x:c>
      <x:c r="L826" s="52" t="n">
        <x:v>300</x:v>
      </x:c>
      <x:c r="M826" s="65" t="n">
        <x:f>IF(H826&lt;=L826,1,0)</x:f>
        <x:v>1</x:v>
      </x:c>
      <x:c r="N826" s="65" t="n">
        <x:f>IF(I826&lt;=L826,1,0)</x:f>
        <x:v>1</x:v>
      </x:c>
      <x:c r="O826" s="51" t="str">
        <x:f>IF(M826=N826,"不变",IF(N826=1,"由禁变允","由允变禁"))</x:f>
        <x:v>不变</x:v>
      </x:c>
      <x:c r="P826" s="51" t="str">
        <x:v>OSRM driving/car</x:v>
      </x:c>
      <x:c r="Q826" s="51" t="str">
        <x:v>2026-08-15</x:v>
      </x:c>
      <x:c r="R826" s="51" t="str">
        <x:v>C-开放路网计算；不是货车/危运合规路线</x:v>
      </x:c>
      <x:c r="S826" s="51" t="str">
        <x:v>https://routing.openstreetmap.de/routed-car/</x:v>
      </x:c>
    </x:row>
    <x:row r="827">
      <x:c r="A827" s="51" t="str">
        <x:v>A0823</x:v>
      </x:c>
      <x:c r="B827" s="51" t="str">
        <x:v>C16</x:v>
      </x:c>
      <x:c r="C827" s="51" t="str">
        <x:v>collection</x:v>
      </x:c>
      <x:c r="D827" s="51" t="str">
        <x:v>茂名虚拟回收/检测中心</x:v>
      </x:c>
      <x:c r="E827" s="51" t="str">
        <x:v>P20R</x:v>
      </x:c>
      <x:c r="F827" s="51" t="str">
        <x:v>recycling</x:v>
      </x:c>
      <x:c r="G827" s="51" t="str">
        <x:v>广东金晟新能源股份有限公司（再生功能）</x:v>
      </x:c>
      <x:c r="H827" s="52" t="n">
        <x:v>264.97558445306174</x:v>
      </x:c>
      <x:c r="I827" s="52" t="n">
        <x:v>256.1699</x:v>
      </x:c>
      <x:c r="J827" s="52" t="n">
        <x:v>186.63500000000002</x:v>
      </x:c>
      <x:c r="K827" s="52" t="n">
        <x:f>IFERROR(I827/H827,"")</x:f>
        <x:v>0.9667679402566933</x:v>
      </x:c>
      <x:c r="L827" s="52" t="n">
        <x:v>400</x:v>
      </x:c>
      <x:c r="M827" s="65" t="n">
        <x:f>IF(H827&lt;=L827,1,0)</x:f>
        <x:v>1</x:v>
      </x:c>
      <x:c r="N827" s="65" t="n">
        <x:f>IF(I827&lt;=L827,1,0)</x:f>
        <x:v>1</x:v>
      </x:c>
      <x:c r="O827" s="51" t="str">
        <x:f>IF(M827=N827,"不变",IF(N827=1,"由禁变允","由允变禁"))</x:f>
        <x:v>不变</x:v>
      </x:c>
      <x:c r="P827" s="51" t="str">
        <x:v>OSRM driving/car</x:v>
      </x:c>
      <x:c r="Q827" s="51" t="str">
        <x:v>2026-08-15</x:v>
      </x:c>
      <x:c r="R827" s="51" t="str">
        <x:v>C-开放路网计算；不是货车/危运合规路线</x:v>
      </x:c>
      <x:c r="S827" s="51" t="str">
        <x:v>https://routing.openstreetmap.de/routed-car/</x:v>
      </x:c>
    </x:row>
    <x:row r="828">
      <x:c r="A828" s="51" t="str">
        <x:v>A0824</x:v>
      </x:c>
      <x:c r="B828" s="51" t="str">
        <x:v>C16</x:v>
      </x:c>
      <x:c r="C828" s="51" t="str">
        <x:v>collection</x:v>
      </x:c>
      <x:c r="D828" s="51" t="str">
        <x:v>茂名虚拟回收/检测中心</x:v>
      </x:c>
      <x:c r="E828" s="51" t="str">
        <x:v>P21E</x:v>
      </x:c>
      <x:c r="F828" s="51" t="str">
        <x:v>echelon</x:v>
      </x:c>
      <x:c r="G828" s="51" t="str">
        <x:v>广东瑞科美电源技术有限公司（梯次功能）</x:v>
      </x:c>
      <x:c r="H828" s="52" t="n">
        <x:v>325.92386177012366</x:v>
      </x:c>
      <x:c r="I828" s="52" t="n">
        <x:v>315.12579999999997</x:v>
      </x:c>
      <x:c r="J828" s="52" t="n">
        <x:v>213.63</x:v>
      </x:c>
      <x:c r="K828" s="52" t="n">
        <x:f>IFERROR(I828/H828,"")</x:f>
        <x:v>0.9668693733822421</x:v>
      </x:c>
      <x:c r="L828" s="52" t="n">
        <x:v>300</x:v>
      </x:c>
      <x:c r="M828" s="65" t="n">
        <x:f>IF(H828&lt;=L828,1,0)</x:f>
        <x:v>0</x:v>
      </x:c>
      <x:c r="N828" s="65" t="n">
        <x:f>IF(I828&lt;=L828,1,0)</x:f>
        <x:v>0</x:v>
      </x:c>
      <x:c r="O828" s="51" t="str">
        <x:f>IF(M828=N828,"不变",IF(N828=1,"由禁变允","由允变禁"))</x:f>
        <x:v>不变</x:v>
      </x:c>
      <x:c r="P828" s="51" t="str">
        <x:v>OSRM driving/car</x:v>
      </x:c>
      <x:c r="Q828" s="51" t="str">
        <x:v>2026-08-15</x:v>
      </x:c>
      <x:c r="R828" s="51" t="str">
        <x:v>C-开放路网计算；不是货车/危运合规路线</x:v>
      </x:c>
      <x:c r="S828" s="51" t="str">
        <x:v>https://routing.openstreetmap.de/routed-car/</x:v>
      </x:c>
    </x:row>
    <x:row r="829">
      <x:c r="A829" s="51" t="str">
        <x:v>A0825</x:v>
      </x:c>
      <x:c r="B829" s="51" t="str">
        <x:v>C16</x:v>
      </x:c>
      <x:c r="C829" s="51" t="str">
        <x:v>collection</x:v>
      </x:c>
      <x:c r="D829" s="51" t="str">
        <x:v>茂名虚拟回收/检测中心</x:v>
      </x:c>
      <x:c r="E829" s="51" t="str">
        <x:v>P21R</x:v>
      </x:c>
      <x:c r="F829" s="51" t="str">
        <x:v>recycling</x:v>
      </x:c>
      <x:c r="G829" s="51" t="str">
        <x:v>广东瑞科美电源技术有限公司（再生功能）</x:v>
      </x:c>
      <x:c r="H829" s="52" t="n">
        <x:v>325.92386177012366</x:v>
      </x:c>
      <x:c r="I829" s="52" t="n">
        <x:v>315.12579999999997</x:v>
      </x:c>
      <x:c r="J829" s="52" t="n">
        <x:v>213.63</x:v>
      </x:c>
      <x:c r="K829" s="52" t="n">
        <x:f>IFERROR(I829/H829,"")</x:f>
        <x:v>0.9668693733822421</x:v>
      </x:c>
      <x:c r="L829" s="52" t="n">
        <x:v>400</x:v>
      </x:c>
      <x:c r="M829" s="65" t="n">
        <x:f>IF(H829&lt;=L829,1,0)</x:f>
        <x:v>1</x:v>
      </x:c>
      <x:c r="N829" s="65" t="n">
        <x:f>IF(I829&lt;=L829,1,0)</x:f>
        <x:v>1</x:v>
      </x:c>
      <x:c r="O829" s="51" t="str">
        <x:f>IF(M829=N829,"不变",IF(N829=1,"由禁变允","由允变禁"))</x:f>
        <x:v>不变</x:v>
      </x:c>
      <x:c r="P829" s="51" t="str">
        <x:v>OSRM driving/car</x:v>
      </x:c>
      <x:c r="Q829" s="51" t="str">
        <x:v>2026-08-15</x:v>
      </x:c>
      <x:c r="R829" s="51" t="str">
        <x:v>C-开放路网计算；不是货车/危运合规路线</x:v>
      </x:c>
      <x:c r="S829" s="51" t="str">
        <x:v>https://routing.openstreetmap.de/routed-car/</x:v>
      </x:c>
    </x:row>
    <x:row r="830">
      <x:c r="A830" s="51" t="str">
        <x:v>A0826</x:v>
      </x:c>
      <x:c r="B830" s="51" t="str">
        <x:v>C17</x:v>
      </x:c>
      <x:c r="C830" s="51" t="str">
        <x:v>collection</x:v>
      </x:c>
      <x:c r="D830" s="51" t="str">
        <x:v>肇庆虚拟回收/检测中心</x:v>
      </x:c>
      <x:c r="E830" s="51" t="str">
        <x:v>P01</x:v>
      </x:c>
      <x:c r="F830" s="51" t="str">
        <x:v>recycling</x:v>
      </x:c>
      <x:c r="G830" s="51" t="str">
        <x:v>汕尾比亚迪废旧动力电池回收项目</x:v>
      </x:c>
      <x:c r="H830" s="52" t="n">
        <x:v>356.1012752762718</x:v>
      </x:c>
      <x:c r="I830" s="52" t="n">
        <x:v>358.1613</x:v>
      </x:c>
      <x:c r="J830" s="52" t="n">
        <x:v>250.07666666666668</x:v>
      </x:c>
      <x:c r="K830" s="52" t="n">
        <x:f>IFERROR(I830/H830,"")</x:f>
        <x:v>1.005784940596267</x:v>
      </x:c>
      <x:c r="L830" s="52" t="n">
        <x:v>400</x:v>
      </x:c>
      <x:c r="M830" s="65" t="n">
        <x:f>IF(H830&lt;=L830,1,0)</x:f>
        <x:v>1</x:v>
      </x:c>
      <x:c r="N830" s="65" t="n">
        <x:f>IF(I830&lt;=L830,1,0)</x:f>
        <x:v>1</x:v>
      </x:c>
      <x:c r="O830" s="51" t="str">
        <x:f>IF(M830=N830,"不变",IF(N830=1,"由禁变允","由允变禁"))</x:f>
        <x:v>不变</x:v>
      </x:c>
      <x:c r="P830" s="51" t="str">
        <x:v>OSRM driving/car</x:v>
      </x:c>
      <x:c r="Q830" s="51" t="str">
        <x:v>2026-08-15</x:v>
      </x:c>
      <x:c r="R830" s="51" t="str">
        <x:v>C-开放路网计算；不是货车/危运合规路线</x:v>
      </x:c>
      <x:c r="S830" s="51" t="str">
        <x:v>https://routing.openstreetmap.de/routed-car/</x:v>
      </x:c>
    </x:row>
    <x:row r="831">
      <x:c r="A831" s="51" t="str">
        <x:v>A0827</x:v>
      </x:c>
      <x:c r="B831" s="51" t="str">
        <x:v>C17</x:v>
      </x:c>
      <x:c r="C831" s="51" t="str">
        <x:v>collection</x:v>
      </x:c>
      <x:c r="D831" s="51" t="str">
        <x:v>肇庆虚拟回收/检测中心</x:v>
      </x:c>
      <x:c r="E831" s="51" t="str">
        <x:v>P02E</x:v>
      </x:c>
      <x:c r="F831" s="51" t="str">
        <x:v>echelon</x:v>
      </x:c>
      <x:c r="G831" s="51" t="str">
        <x:v>广东光华科技股份有限公司（梯次功能）</x:v>
      </x:c>
      <x:c r="H831" s="52" t="n">
        <x:v>518.7961723587362</x:v>
      </x:c>
      <x:c r="I831" s="52" t="n">
        <x:v>510.1762</x:v>
      </x:c>
      <x:c r="J831" s="52" t="n">
        <x:v>357.9583333333333</x:v>
      </x:c>
      <x:c r="K831" s="52" t="n">
        <x:f>IFERROR(I831/H831,"")</x:f>
        <x:v>0.9833846646949129</x:v>
      </x:c>
      <x:c r="L831" s="52" t="n">
        <x:v>300</x:v>
      </x:c>
      <x:c r="M831" s="65" t="n">
        <x:f>IF(H831&lt;=L831,1,0)</x:f>
        <x:v>0</x:v>
      </x:c>
      <x:c r="N831" s="65" t="n">
        <x:f>IF(I831&lt;=L831,1,0)</x:f>
        <x:v>0</x:v>
      </x:c>
      <x:c r="O831" s="51" t="str">
        <x:f>IF(M831=N831,"不变",IF(N831=1,"由禁变允","由允变禁"))</x:f>
        <x:v>不变</x:v>
      </x:c>
      <x:c r="P831" s="51" t="str">
        <x:v>OSRM driving/car</x:v>
      </x:c>
      <x:c r="Q831" s="51" t="str">
        <x:v>2026-08-15</x:v>
      </x:c>
      <x:c r="R831" s="51" t="str">
        <x:v>C-开放路网计算；不是货车/危运合规路线</x:v>
      </x:c>
      <x:c r="S831" s="51" t="str">
        <x:v>https://routing.openstreetmap.de/routed-car/</x:v>
      </x:c>
    </x:row>
    <x:row r="832">
      <x:c r="A832" s="51" t="str">
        <x:v>A0828</x:v>
      </x:c>
      <x:c r="B832" s="51" t="str">
        <x:v>C17</x:v>
      </x:c>
      <x:c r="C832" s="51" t="str">
        <x:v>collection</x:v>
      </x:c>
      <x:c r="D832" s="51" t="str">
        <x:v>肇庆虚拟回收/检测中心</x:v>
      </x:c>
      <x:c r="E832" s="51" t="str">
        <x:v>P02R</x:v>
      </x:c>
      <x:c r="F832" s="51" t="str">
        <x:v>recycling</x:v>
      </x:c>
      <x:c r="G832" s="51" t="str">
        <x:v>广东光华科技股份有限公司（再生功能）</x:v>
      </x:c>
      <x:c r="H832" s="52" t="n">
        <x:v>518.7961723587362</x:v>
      </x:c>
      <x:c r="I832" s="52" t="n">
        <x:v>510.1762</x:v>
      </x:c>
      <x:c r="J832" s="52" t="n">
        <x:v>357.9583333333333</x:v>
      </x:c>
      <x:c r="K832" s="52" t="n">
        <x:f>IFERROR(I832/H832,"")</x:f>
        <x:v>0.9833846646949129</x:v>
      </x:c>
      <x:c r="L832" s="52" t="n">
        <x:v>400</x:v>
      </x:c>
      <x:c r="M832" s="65" t="n">
        <x:f>IF(H832&lt;=L832,1,0)</x:f>
        <x:v>0</x:v>
      </x:c>
      <x:c r="N832" s="65" t="n">
        <x:f>IF(I832&lt;=L832,1,0)</x:f>
        <x:v>0</x:v>
      </x:c>
      <x:c r="O832" s="51" t="str">
        <x:f>IF(M832=N832,"不变",IF(N832=1,"由禁变允","由允变禁"))</x:f>
        <x:v>不变</x:v>
      </x:c>
      <x:c r="P832" s="51" t="str">
        <x:v>OSRM driving/car</x:v>
      </x:c>
      <x:c r="Q832" s="51" t="str">
        <x:v>2026-08-15</x:v>
      </x:c>
      <x:c r="R832" s="51" t="str">
        <x:v>C-开放路网计算；不是货车/危运合规路线</x:v>
      </x:c>
      <x:c r="S832" s="51" t="str">
        <x:v>https://routing.openstreetmap.de/routed-car/</x:v>
      </x:c>
    </x:row>
    <x:row r="833">
      <x:c r="A833" s="51" t="str">
        <x:v>A0829</x:v>
      </x:c>
      <x:c r="B833" s="51" t="str">
        <x:v>C17</x:v>
      </x:c>
      <x:c r="C833" s="51" t="str">
        <x:v>collection</x:v>
      </x:c>
      <x:c r="D833" s="51" t="str">
        <x:v>肇庆虚拟回收/检测中心</x:v>
      </x:c>
      <x:c r="E833" s="51" t="str">
        <x:v>P03</x:v>
      </x:c>
      <x:c r="F833" s="51" t="str">
        <x:v>echelon</x:v>
      </x:c>
      <x:c r="G833" s="51" t="str">
        <x:v>深圳深汕特别合作区乾泰技术有限公司</x:v>
      </x:c>
      <x:c r="H833" s="52" t="n">
        <x:v>374.5160449794057</x:v>
      </x:c>
      <x:c r="I833" s="52" t="n">
        <x:v>371.8442</x:v>
      </x:c>
      <x:c r="J833" s="52" t="n">
        <x:v>278.31666666666666</x:v>
      </x:c>
      <x:c r="K833" s="52" t="n">
        <x:f>IFERROR(I833/H833,"")</x:f>
        <x:v>0.9928658731308758</x:v>
      </x:c>
      <x:c r="L833" s="52" t="n">
        <x:v>300</x:v>
      </x:c>
      <x:c r="M833" s="65" t="n">
        <x:f>IF(H833&lt;=L833,1,0)</x:f>
        <x:v>0</x:v>
      </x:c>
      <x:c r="N833" s="65" t="n">
        <x:f>IF(I833&lt;=L833,1,0)</x:f>
        <x:v>0</x:v>
      </x:c>
      <x:c r="O833" s="51" t="str">
        <x:f>IF(M833=N833,"不变",IF(N833=1,"由禁变允","由允变禁"))</x:f>
        <x:v>不变</x:v>
      </x:c>
      <x:c r="P833" s="51" t="str">
        <x:v>OSRM driving/car</x:v>
      </x:c>
      <x:c r="Q833" s="51" t="str">
        <x:v>2026-08-15</x:v>
      </x:c>
      <x:c r="R833" s="51" t="str">
        <x:v>C-开放路网计算；不是货车/危运合规路线</x:v>
      </x:c>
      <x:c r="S833" s="51" t="str">
        <x:v>https://routing.openstreetmap.de/routed-car/</x:v>
      </x:c>
    </x:row>
    <x:row r="834">
      <x:c r="A834" s="51" t="str">
        <x:v>A0830</x:v>
      </x:c>
      <x:c r="B834" s="51" t="str">
        <x:v>C17</x:v>
      </x:c>
      <x:c r="C834" s="51" t="str">
        <x:v>collection</x:v>
      </x:c>
      <x:c r="D834" s="51" t="str">
        <x:v>肇庆虚拟回收/检测中心</x:v>
      </x:c>
      <x:c r="E834" s="51" t="str">
        <x:v>P04</x:v>
      </x:c>
      <x:c r="F834" s="51" t="str">
        <x:v>echelon</x:v>
      </x:c>
      <x:c r="G834" s="51" t="str">
        <x:v>珠海中力新能源科技有限公司</x:v>
      </x:c>
      <x:c r="H834" s="52" t="n">
        <x:v>171.67709725824648</x:v>
      </x:c>
      <x:c r="I834" s="52" t="n">
        <x:v>183.4304</x:v>
      </x:c>
      <x:c r="J834" s="52" t="n">
        <x:v>136.80666666666667</x:v>
      </x:c>
      <x:c r="K834" s="52" t="n">
        <x:f>IFERROR(I834/H834,"")</x:f>
        <x:v>1.0684616814325183</x:v>
      </x:c>
      <x:c r="L834" s="52" t="n">
        <x:v>300</x:v>
      </x:c>
      <x:c r="M834" s="65" t="n">
        <x:f>IF(H834&lt;=L834,1,0)</x:f>
        <x:v>1</x:v>
      </x:c>
      <x:c r="N834" s="65" t="n">
        <x:f>IF(I834&lt;=L834,1,0)</x:f>
        <x:v>1</x:v>
      </x:c>
      <x:c r="O834" s="51" t="str">
        <x:f>IF(M834=N834,"不变",IF(N834=1,"由禁变允","由允变禁"))</x:f>
        <x:v>不变</x:v>
      </x:c>
      <x:c r="P834" s="51" t="str">
        <x:v>OSRM driving/car</x:v>
      </x:c>
      <x:c r="Q834" s="51" t="str">
        <x:v>2026-08-15</x:v>
      </x:c>
      <x:c r="R834" s="51" t="str">
        <x:v>C-开放路网计算；不是货车/危运合规路线</x:v>
      </x:c>
      <x:c r="S834" s="51" t="str">
        <x:v>https://routing.openstreetmap.de/routed-car/</x:v>
      </x:c>
    </x:row>
    <x:row r="835">
      <x:c r="A835" s="51" t="str">
        <x:v>A0831</x:v>
      </x:c>
      <x:c r="B835" s="51" t="str">
        <x:v>C17</x:v>
      </x:c>
      <x:c r="C835" s="51" t="str">
        <x:v>collection</x:v>
      </x:c>
      <x:c r="D835" s="51" t="str">
        <x:v>肇庆虚拟回收/检测中心</x:v>
      </x:c>
      <x:c r="E835" s="51" t="str">
        <x:v>P05</x:v>
      </x:c>
      <x:c r="F835" s="51" t="str">
        <x:v>echelon</x:v>
      </x:c>
      <x:c r="G835" s="51" t="str">
        <x:v>惠州市恒创睿能环保科技有限公司</x:v>
      </x:c>
      <x:c r="H835" s="52" t="n">
        <x:v>239.7967570099756</x:v>
      </x:c>
      <x:c r="I835" s="52" t="n">
        <x:v>236.063</x:v>
      </x:c>
      <x:c r="J835" s="52" t="n">
        <x:v>168.925</x:v>
      </x:c>
      <x:c r="K835" s="52" t="n">
        <x:f>IFERROR(I835/H835,"")</x:f>
        <x:v>0.984429493307033</x:v>
      </x:c>
      <x:c r="L835" s="52" t="n">
        <x:v>300</x:v>
      </x:c>
      <x:c r="M835" s="65" t="n">
        <x:f>IF(H835&lt;=L835,1,0)</x:f>
        <x:v>1</x:v>
      </x:c>
      <x:c r="N835" s="65" t="n">
        <x:f>IF(I835&lt;=L835,1,0)</x:f>
        <x:v>1</x:v>
      </x:c>
      <x:c r="O835" s="51" t="str">
        <x:f>IF(M835=N835,"不变",IF(N835=1,"由禁变允","由允变禁"))</x:f>
        <x:v>不变</x:v>
      </x:c>
      <x:c r="P835" s="51" t="str">
        <x:v>OSRM driving/car</x:v>
      </x:c>
      <x:c r="Q835" s="51" t="str">
        <x:v>2026-08-15</x:v>
      </x:c>
      <x:c r="R835" s="51" t="str">
        <x:v>C-开放路网计算；不是货车/危运合规路线</x:v>
      </x:c>
      <x:c r="S835" s="51" t="str">
        <x:v>https://routing.openstreetmap.de/routed-car/</x:v>
      </x:c>
    </x:row>
    <x:row r="836">
      <x:c r="A836" s="51" t="str">
        <x:v>A0832</x:v>
      </x:c>
      <x:c r="B836" s="51" t="str">
        <x:v>C17</x:v>
      </x:c>
      <x:c r="C836" s="51" t="str">
        <x:v>collection</x:v>
      </x:c>
      <x:c r="D836" s="51" t="str">
        <x:v>肇庆虚拟回收/检测中心</x:v>
      </x:c>
      <x:c r="E836" s="51" t="str">
        <x:v>P06</x:v>
      </x:c>
      <x:c r="F836" s="51" t="str">
        <x:v>echelon</x:v>
      </x:c>
      <x:c r="G836" s="51" t="str">
        <x:v>江门市朗达锂电池有限公司</x:v>
      </x:c>
      <x:c r="H836" s="52" t="n">
        <x:v>98.20082167156956</x:v>
      </x:c>
      <x:c r="I836" s="52" t="n">
        <x:v>101.9135</x:v>
      </x:c>
      <x:c r="J836" s="52" t="n">
        <x:v>83.305</x:v>
      </x:c>
      <x:c r="K836" s="52" t="n">
        <x:f>IFERROR(I836/H836,"")</x:f>
        <x:v>1.037806998609924</x:v>
      </x:c>
      <x:c r="L836" s="52" t="n">
        <x:v>300</x:v>
      </x:c>
      <x:c r="M836" s="65" t="n">
        <x:f>IF(H836&lt;=L836,1,0)</x:f>
        <x:v>1</x:v>
      </x:c>
      <x:c r="N836" s="65" t="n">
        <x:f>IF(I836&lt;=L836,1,0)</x:f>
        <x:v>1</x:v>
      </x:c>
      <x:c r="O836" s="51" t="str">
        <x:f>IF(M836=N836,"不变",IF(N836=1,"由禁变允","由允变禁"))</x:f>
        <x:v>不变</x:v>
      </x:c>
      <x:c r="P836" s="51" t="str">
        <x:v>OSRM driving/car</x:v>
      </x:c>
      <x:c r="Q836" s="51" t="str">
        <x:v>2026-08-15</x:v>
      </x:c>
      <x:c r="R836" s="51" t="str">
        <x:v>C-开放路网计算；不是货车/危运合规路线</x:v>
      </x:c>
      <x:c r="S836" s="51" t="str">
        <x:v>https://routing.openstreetmap.de/routed-car/</x:v>
      </x:c>
    </x:row>
    <x:row r="837">
      <x:c r="A837" s="51" t="str">
        <x:v>A0833</x:v>
      </x:c>
      <x:c r="B837" s="51" t="str">
        <x:v>C17</x:v>
      </x:c>
      <x:c r="C837" s="51" t="str">
        <x:v>collection</x:v>
      </x:c>
      <x:c r="D837" s="51" t="str">
        <x:v>肇庆虚拟回收/检测中心</x:v>
      </x:c>
      <x:c r="E837" s="51" t="str">
        <x:v>P07</x:v>
      </x:c>
      <x:c r="F837" s="51" t="str">
        <x:v>echelon</x:v>
      </x:c>
      <x:c r="G837" s="51" t="str">
        <x:v>广东迪度新能源有限公司</x:v>
      </x:c>
      <x:c r="H837" s="52" t="n">
        <x:v>157.83268942296343</x:v>
      </x:c>
      <x:c r="I837" s="52" t="n">
        <x:v>156.82410000000002</x:v>
      </x:c>
      <x:c r="J837" s="52" t="n">
        <x:v>122.795</x:v>
      </x:c>
      <x:c r="K837" s="52" t="n">
        <x:f>IFERROR(I837/H837,"")</x:f>
        <x:v>0.9936097558328961</x:v>
      </x:c>
      <x:c r="L837" s="52" t="n">
        <x:v>300</x:v>
      </x:c>
      <x:c r="M837" s="65" t="n">
        <x:f>IF(H837&lt;=L837,1,0)</x:f>
        <x:v>1</x:v>
      </x:c>
      <x:c r="N837" s="65" t="n">
        <x:f>IF(I837&lt;=L837,1,0)</x:f>
        <x:v>1</x:v>
      </x:c>
      <x:c r="O837" s="51" t="str">
        <x:f>IF(M837=N837,"不变",IF(N837=1,"由禁变允","由允变禁"))</x:f>
        <x:v>不变</x:v>
      </x:c>
      <x:c r="P837" s="51" t="str">
        <x:v>OSRM driving/car</x:v>
      </x:c>
      <x:c r="Q837" s="51" t="str">
        <x:v>2026-08-15</x:v>
      </x:c>
      <x:c r="R837" s="51" t="str">
        <x:v>C-开放路网计算；不是货车/危运合规路线</x:v>
      </x:c>
      <x:c r="S837" s="51" t="str">
        <x:v>https://routing.openstreetmap.de/routed-car/</x:v>
      </x:c>
    </x:row>
    <x:row r="838">
      <x:c r="A838" s="51" t="str">
        <x:v>A0834</x:v>
      </x:c>
      <x:c r="B838" s="51" t="str">
        <x:v>C17</x:v>
      </x:c>
      <x:c r="C838" s="51" t="str">
        <x:v>collection</x:v>
      </x:c>
      <x:c r="D838" s="51" t="str">
        <x:v>肇庆虚拟回收/检测中心</x:v>
      </x:c>
      <x:c r="E838" s="51" t="str">
        <x:v>P08</x:v>
      </x:c>
      <x:c r="F838" s="51" t="str">
        <x:v>echelon</x:v>
      </x:c>
      <x:c r="G838" s="51" t="str">
        <x:v>东莞市博森新能源有限公司</x:v>
      </x:c>
      <x:c r="H838" s="52" t="n">
        <x:v>157.83268942296343</x:v>
      </x:c>
      <x:c r="I838" s="52" t="n">
        <x:v>156.82410000000002</x:v>
      </x:c>
      <x:c r="J838" s="52" t="n">
        <x:v>122.795</x:v>
      </x:c>
      <x:c r="K838" s="52" t="n">
        <x:f>IFERROR(I838/H838,"")</x:f>
        <x:v>0.9936097558328961</x:v>
      </x:c>
      <x:c r="L838" s="52" t="n">
        <x:v>300</x:v>
      </x:c>
      <x:c r="M838" s="65" t="n">
        <x:f>IF(H838&lt;=L838,1,0)</x:f>
        <x:v>1</x:v>
      </x:c>
      <x:c r="N838" s="65" t="n">
        <x:f>IF(I838&lt;=L838,1,0)</x:f>
        <x:v>1</x:v>
      </x:c>
      <x:c r="O838" s="51" t="str">
        <x:f>IF(M838=N838,"不变",IF(N838=1,"由禁变允","由允变禁"))</x:f>
        <x:v>不变</x:v>
      </x:c>
      <x:c r="P838" s="51" t="str">
        <x:v>OSRM driving/car</x:v>
      </x:c>
      <x:c r="Q838" s="51" t="str">
        <x:v>2026-08-15</x:v>
      </x:c>
      <x:c r="R838" s="51" t="str">
        <x:v>C-开放路网计算；不是货车/危运合规路线</x:v>
      </x:c>
      <x:c r="S838" s="51" t="str">
        <x:v>https://routing.openstreetmap.de/routed-car/</x:v>
      </x:c>
    </x:row>
    <x:row r="839">
      <x:c r="A839" s="51" t="str">
        <x:v>A0835</x:v>
      </x:c>
      <x:c r="B839" s="51" t="str">
        <x:v>C17</x:v>
      </x:c>
      <x:c r="C839" s="51" t="str">
        <x:v>collection</x:v>
      </x:c>
      <x:c r="D839" s="51" t="str">
        <x:v>肇庆虚拟回收/检测中心</x:v>
      </x:c>
      <x:c r="E839" s="51" t="str">
        <x:v>P09</x:v>
      </x:c>
      <x:c r="F839" s="51" t="str">
        <x:v>echelon</x:v>
      </x:c>
      <x:c r="G839" s="51" t="str">
        <x:v>广东宇阳新能源有限公司</x:v>
      </x:c>
      <x:c r="H839" s="52" t="n">
        <x:v>157.83268942296343</x:v>
      </x:c>
      <x:c r="I839" s="52" t="n">
        <x:v>156.82410000000002</x:v>
      </x:c>
      <x:c r="J839" s="52" t="n">
        <x:v>122.795</x:v>
      </x:c>
      <x:c r="K839" s="52" t="n">
        <x:f>IFERROR(I839/H839,"")</x:f>
        <x:v>0.9936097558328961</x:v>
      </x:c>
      <x:c r="L839" s="52" t="n">
        <x:v>300</x:v>
      </x:c>
      <x:c r="M839" s="65" t="n">
        <x:f>IF(H839&lt;=L839,1,0)</x:f>
        <x:v>1</x:v>
      </x:c>
      <x:c r="N839" s="65" t="n">
        <x:f>IF(I839&lt;=L839,1,0)</x:f>
        <x:v>1</x:v>
      </x:c>
      <x:c r="O839" s="51" t="str">
        <x:f>IF(M839=N839,"不变",IF(N839=1,"由禁变允","由允变禁"))</x:f>
        <x:v>不变</x:v>
      </x:c>
      <x:c r="P839" s="51" t="str">
        <x:v>OSRM driving/car</x:v>
      </x:c>
      <x:c r="Q839" s="51" t="str">
        <x:v>2026-08-15</x:v>
      </x:c>
      <x:c r="R839" s="51" t="str">
        <x:v>C-开放路网计算；不是货车/危运合规路线</x:v>
      </x:c>
      <x:c r="S839" s="51" t="str">
        <x:v>https://routing.openstreetmap.de/routed-car/</x:v>
      </x:c>
    </x:row>
    <x:row r="840">
      <x:c r="A840" s="51" t="str">
        <x:v>A0836</x:v>
      </x:c>
      <x:c r="B840" s="51" t="str">
        <x:v>C17</x:v>
      </x:c>
      <x:c r="C840" s="51" t="str">
        <x:v>collection</x:v>
      </x:c>
      <x:c r="D840" s="51" t="str">
        <x:v>肇庆虚拟回收/检测中心</x:v>
      </x:c>
      <x:c r="E840" s="51" t="str">
        <x:v>P10</x:v>
      </x:c>
      <x:c r="F840" s="51" t="str">
        <x:v>echelon</x:v>
      </x:c>
      <x:c r="G840" s="51" t="str">
        <x:v>广州广汽商贸再生资源有限公司</x:v>
      </x:c>
      <x:c r="H840" s="52" t="n">
        <x:v>98.58397364775895</x:v>
      </x:c>
      <x:c r="I840" s="52" t="n">
        <x:v>97.8653</x:v>
      </x:c>
      <x:c r="J840" s="52" t="n">
        <x:v>81.24499999999999</x:v>
      </x:c>
      <x:c r="K840" s="52" t="n">
        <x:f>IFERROR(I840/H840,"")</x:f>
        <x:v>0.992710035706952</x:v>
      </x:c>
      <x:c r="L840" s="52" t="n">
        <x:v>300</x:v>
      </x:c>
      <x:c r="M840" s="65" t="n">
        <x:f>IF(H840&lt;=L840,1,0)</x:f>
        <x:v>1</x:v>
      </x:c>
      <x:c r="N840" s="65" t="n">
        <x:f>IF(I840&lt;=L840,1,0)</x:f>
        <x:v>1</x:v>
      </x:c>
      <x:c r="O840" s="51" t="str">
        <x:f>IF(M840=N840,"不变",IF(N840=1,"由禁变允","由允变禁"))</x:f>
        <x:v>不变</x:v>
      </x:c>
      <x:c r="P840" s="51" t="str">
        <x:v>OSRM driving/car</x:v>
      </x:c>
      <x:c r="Q840" s="51" t="str">
        <x:v>2026-08-15</x:v>
      </x:c>
      <x:c r="R840" s="51" t="str">
        <x:v>C-开放路网计算；不是货车/危运合规路线</x:v>
      </x:c>
      <x:c r="S840" s="51" t="str">
        <x:v>https://routing.openstreetmap.de/routed-car/</x:v>
      </x:c>
    </x:row>
    <x:row r="841">
      <x:c r="A841" s="51" t="str">
        <x:v>A0837</x:v>
      </x:c>
      <x:c r="B841" s="51" t="str">
        <x:v>C17</x:v>
      </x:c>
      <x:c r="C841" s="51" t="str">
        <x:v>collection</x:v>
      </x:c>
      <x:c r="D841" s="51" t="str">
        <x:v>肇庆虚拟回收/检测中心</x:v>
      </x:c>
      <x:c r="E841" s="51" t="str">
        <x:v>P11</x:v>
      </x:c>
      <x:c r="F841" s="51" t="str">
        <x:v>echelon</x:v>
      </x:c>
      <x:c r="G841" s="51" t="str">
        <x:v>深圳市杰成镍钴新能源科技有限公司</x:v>
      </x:c>
      <x:c r="H841" s="52" t="n">
        <x:v>207.3785732131572</x:v>
      </x:c>
      <x:c r="I841" s="52" t="n">
        <x:v>227.31560000000002</x:v>
      </x:c>
      <x:c r="J841" s="52" t="n">
        <x:v>165.75833333333333</x:v>
      </x:c>
      <x:c r="K841" s="52" t="n">
        <x:f>IFERROR(I841/H841,"")</x:f>
        <x:v>1.096138315921145</x:v>
      </x:c>
      <x:c r="L841" s="52" t="n">
        <x:v>300</x:v>
      </x:c>
      <x:c r="M841" s="65" t="n">
        <x:f>IF(H841&lt;=L841,1,0)</x:f>
        <x:v>1</x:v>
      </x:c>
      <x:c r="N841" s="65" t="n">
        <x:f>IF(I841&lt;=L841,1,0)</x:f>
        <x:v>1</x:v>
      </x:c>
      <x:c r="O841" s="51" t="str">
        <x:f>IF(M841=N841,"不变",IF(N841=1,"由禁变允","由允变禁"))</x:f>
        <x:v>不变</x:v>
      </x:c>
      <x:c r="P841" s="51" t="str">
        <x:v>OSRM driving/car</x:v>
      </x:c>
      <x:c r="Q841" s="51" t="str">
        <x:v>2026-08-15</x:v>
      </x:c>
      <x:c r="R841" s="51" t="str">
        <x:v>C-开放路网计算；不是货车/危运合规路线</x:v>
      </x:c>
      <x:c r="S841" s="51" t="str">
        <x:v>https://routing.openstreetmap.de/routed-car/</x:v>
      </x:c>
    </x:row>
    <x:row r="842">
      <x:c r="A842" s="51" t="str">
        <x:v>A0838</x:v>
      </x:c>
      <x:c r="B842" s="51" t="str">
        <x:v>C17</x:v>
      </x:c>
      <x:c r="C842" s="51" t="str">
        <x:v>collection</x:v>
      </x:c>
      <x:c r="D842" s="51" t="str">
        <x:v>肇庆虚拟回收/检测中心</x:v>
      </x:c>
      <x:c r="E842" s="51" t="str">
        <x:v>P12</x:v>
      </x:c>
      <x:c r="F842" s="51" t="str">
        <x:v>recycling</x:v>
      </x:c>
      <x:c r="G842" s="51" t="str">
        <x:v>江门市恒创睿能环保科技有限公司</x:v>
      </x:c>
      <x:c r="H842" s="52" t="n">
        <x:v>98.20082167156956</x:v>
      </x:c>
      <x:c r="I842" s="52" t="n">
        <x:v>101.9135</x:v>
      </x:c>
      <x:c r="J842" s="52" t="n">
        <x:v>83.305</x:v>
      </x:c>
      <x:c r="K842" s="52" t="n">
        <x:f>IFERROR(I842/H842,"")</x:f>
        <x:v>1.037806998609924</x:v>
      </x:c>
      <x:c r="L842" s="52" t="n">
        <x:v>400</x:v>
      </x:c>
      <x:c r="M842" s="65" t="n">
        <x:f>IF(H842&lt;=L842,1,0)</x:f>
        <x:v>1</x:v>
      </x:c>
      <x:c r="N842" s="65" t="n">
        <x:f>IF(I842&lt;=L842,1,0)</x:f>
        <x:v>1</x:v>
      </x:c>
      <x:c r="O842" s="51" t="str">
        <x:f>IF(M842=N842,"不变",IF(N842=1,"由禁变允","由允变禁"))</x:f>
        <x:v>不变</x:v>
      </x:c>
      <x:c r="P842" s="51" t="str">
        <x:v>OSRM driving/car</x:v>
      </x:c>
      <x:c r="Q842" s="51" t="str">
        <x:v>2026-08-15</x:v>
      </x:c>
      <x:c r="R842" s="51" t="str">
        <x:v>C-开放路网计算；不是货车/危运合规路线</x:v>
      </x:c>
      <x:c r="S842" s="51" t="str">
        <x:v>https://routing.openstreetmap.de/routed-car/</x:v>
      </x:c>
    </x:row>
    <x:row r="843">
      <x:c r="A843" s="51" t="str">
        <x:v>A0839</x:v>
      </x:c>
      <x:c r="B843" s="51" t="str">
        <x:v>C17</x:v>
      </x:c>
      <x:c r="C843" s="51" t="str">
        <x:v>collection</x:v>
      </x:c>
      <x:c r="D843" s="51" t="str">
        <x:v>肇庆虚拟回收/检测中心</x:v>
      </x:c>
      <x:c r="E843" s="51" t="str">
        <x:v>P13</x:v>
      </x:c>
      <x:c r="F843" s="51" t="str">
        <x:v>recycling</x:v>
      </x:c>
      <x:c r="G843" s="51" t="str">
        <x:v>广东佳纳能源科技有限公司</x:v>
      </x:c>
      <x:c r="H843" s="52" t="n">
        <x:v>111.19371737991149</x:v>
      </x:c>
      <x:c r="I843" s="52" t="n">
        <x:v>111.92</x:v>
      </x:c>
      <x:c r="J843" s="52" t="n">
        <x:v>91.99666666666667</x:v>
      </x:c>
      <x:c r="K843" s="52" t="n">
        <x:f>IFERROR(I843/H843,"")</x:f>
        <x:v>1.006531687555755</x:v>
      </x:c>
      <x:c r="L843" s="52" t="n">
        <x:v>400</x:v>
      </x:c>
      <x:c r="M843" s="65" t="n">
        <x:f>IF(H843&lt;=L843,1,0)</x:f>
        <x:v>1</x:v>
      </x:c>
      <x:c r="N843" s="65" t="n">
        <x:f>IF(I843&lt;=L843,1,0)</x:f>
        <x:v>1</x:v>
      </x:c>
      <x:c r="O843" s="51" t="str">
        <x:f>IF(M843=N843,"不变",IF(N843=1,"由禁变允","由允变禁"))</x:f>
        <x:v>不变</x:v>
      </x:c>
      <x:c r="P843" s="51" t="str">
        <x:v>OSRM driving/car</x:v>
      </x:c>
      <x:c r="Q843" s="51" t="str">
        <x:v>2026-08-15</x:v>
      </x:c>
      <x:c r="R843" s="51" t="str">
        <x:v>C-开放路网计算；不是货车/危运合规路线</x:v>
      </x:c>
      <x:c r="S843" s="51" t="str">
        <x:v>https://routing.openstreetmap.de/routed-car/</x:v>
      </x:c>
    </x:row>
    <x:row r="844">
      <x:c r="A844" s="51" t="str">
        <x:v>A0840</x:v>
      </x:c>
      <x:c r="B844" s="51" t="str">
        <x:v>C17</x:v>
      </x:c>
      <x:c r="C844" s="51" t="str">
        <x:v>collection</x:v>
      </x:c>
      <x:c r="D844" s="51" t="str">
        <x:v>肇庆虚拟回收/检测中心</x:v>
      </x:c>
      <x:c r="E844" s="51" t="str">
        <x:v>P14</x:v>
      </x:c>
      <x:c r="F844" s="51" t="str">
        <x:v>echelon</x:v>
      </x:c>
      <x:c r="G844" s="51" t="str">
        <x:v>格林美（深圳）循环科技有限公司</x:v>
      </x:c>
      <x:c r="H844" s="52" t="n">
        <x:v>207.3785732131572</x:v>
      </x:c>
      <x:c r="I844" s="52" t="n">
        <x:v>227.31560000000002</x:v>
      </x:c>
      <x:c r="J844" s="52" t="n">
        <x:v>165.75833333333333</x:v>
      </x:c>
      <x:c r="K844" s="52" t="n">
        <x:f>IFERROR(I844/H844,"")</x:f>
        <x:v>1.096138315921145</x:v>
      </x:c>
      <x:c r="L844" s="52" t="n">
        <x:v>300</x:v>
      </x:c>
      <x:c r="M844" s="65" t="n">
        <x:f>IF(H844&lt;=L844,1,0)</x:f>
        <x:v>1</x:v>
      </x:c>
      <x:c r="N844" s="65" t="n">
        <x:f>IF(I844&lt;=L844,1,0)</x:f>
        <x:v>1</x:v>
      </x:c>
      <x:c r="O844" s="51" t="str">
        <x:f>IF(M844=N844,"不变",IF(N844=1,"由禁变允","由允变禁"))</x:f>
        <x:v>不变</x:v>
      </x:c>
      <x:c r="P844" s="51" t="str">
        <x:v>OSRM driving/car</x:v>
      </x:c>
      <x:c r="Q844" s="51" t="str">
        <x:v>2026-08-15</x:v>
      </x:c>
      <x:c r="R844" s="51" t="str">
        <x:v>C-开放路网计算；不是货车/危运合规路线</x:v>
      </x:c>
      <x:c r="S844" s="51" t="str">
        <x:v>https://routing.openstreetmap.de/routed-car/</x:v>
      </x:c>
    </x:row>
    <x:row r="845">
      <x:c r="A845" s="51" t="str">
        <x:v>A0841</x:v>
      </x:c>
      <x:c r="B845" s="51" t="str">
        <x:v>C17</x:v>
      </x:c>
      <x:c r="C845" s="51" t="str">
        <x:v>collection</x:v>
      </x:c>
      <x:c r="D845" s="51" t="str">
        <x:v>肇庆虚拟回收/检测中心</x:v>
      </x:c>
      <x:c r="E845" s="51" t="str">
        <x:v>P15</x:v>
      </x:c>
      <x:c r="F845" s="51" t="str">
        <x:v>echelon</x:v>
      </x:c>
      <x:c r="G845" s="51" t="str">
        <x:v>绿循新能源科技（佛山）有限责任公司</x:v>
      </x:c>
      <x:c r="H845" s="52" t="n">
        <x:v>80.57782241114403</x:v>
      </x:c>
      <x:c r="I845" s="52" t="n">
        <x:v>84.96539999999999</x:v>
      </x:c>
      <x:c r="J845" s="52" t="n">
        <x:v>73.87833333333333</x:v>
      </x:c>
      <x:c r="K845" s="52" t="n">
        <x:f>IFERROR(I845/H845,"")</x:f>
        <x:v>1.054451429159609</x:v>
      </x:c>
      <x:c r="L845" s="52" t="n">
        <x:v>300</x:v>
      </x:c>
      <x:c r="M845" s="65" t="n">
        <x:f>IF(H845&lt;=L845,1,0)</x:f>
        <x:v>1</x:v>
      </x:c>
      <x:c r="N845" s="65" t="n">
        <x:f>IF(I845&lt;=L845,1,0)</x:f>
        <x:v>1</x:v>
      </x:c>
      <x:c r="O845" s="51" t="str">
        <x:f>IF(M845=N845,"不变",IF(N845=1,"由禁变允","由允变禁"))</x:f>
        <x:v>不变</x:v>
      </x:c>
      <x:c r="P845" s="51" t="str">
        <x:v>OSRM driving/car</x:v>
      </x:c>
      <x:c r="Q845" s="51" t="str">
        <x:v>2026-08-15</x:v>
      </x:c>
      <x:c r="R845" s="51" t="str">
        <x:v>C-开放路网计算；不是货车/危运合规路线</x:v>
      </x:c>
      <x:c r="S845" s="51" t="str">
        <x:v>https://routing.openstreetmap.de/routed-car/</x:v>
      </x:c>
    </x:row>
    <x:row r="846">
      <x:c r="A846" s="51" t="str">
        <x:v>A0842</x:v>
      </x:c>
      <x:c r="B846" s="51" t="str">
        <x:v>C17</x:v>
      </x:c>
      <x:c r="C846" s="51" t="str">
        <x:v>collection</x:v>
      </x:c>
      <x:c r="D846" s="51" t="str">
        <x:v>肇庆虚拟回收/检测中心</x:v>
      </x:c>
      <x:c r="E846" s="51" t="str">
        <x:v>P16</x:v>
      </x:c>
      <x:c r="F846" s="51" t="str">
        <x:v>echelon</x:v>
      </x:c>
      <x:c r="G846" s="51" t="str">
        <x:v>深圳艾云动智慧科技有限公司</x:v>
      </x:c>
      <x:c r="H846" s="52" t="n">
        <x:v>207.3785732131572</x:v>
      </x:c>
      <x:c r="I846" s="52" t="n">
        <x:v>227.31560000000002</x:v>
      </x:c>
      <x:c r="J846" s="52" t="n">
        <x:v>165.75833333333333</x:v>
      </x:c>
      <x:c r="K846" s="52" t="n">
        <x:f>IFERROR(I846/H846,"")</x:f>
        <x:v>1.096138315921145</x:v>
      </x:c>
      <x:c r="L846" s="52" t="n">
        <x:v>300</x:v>
      </x:c>
      <x:c r="M846" s="65" t="n">
        <x:f>IF(H846&lt;=L846,1,0)</x:f>
        <x:v>1</x:v>
      </x:c>
      <x:c r="N846" s="65" t="n">
        <x:f>IF(I846&lt;=L846,1,0)</x:f>
        <x:v>1</x:v>
      </x:c>
      <x:c r="O846" s="51" t="str">
        <x:f>IF(M846=N846,"不变",IF(N846=1,"由禁变允","由允变禁"))</x:f>
        <x:v>不变</x:v>
      </x:c>
      <x:c r="P846" s="51" t="str">
        <x:v>OSRM driving/car</x:v>
      </x:c>
      <x:c r="Q846" s="51" t="str">
        <x:v>2026-08-15</x:v>
      </x:c>
      <x:c r="R846" s="51" t="str">
        <x:v>C-开放路网计算；不是货车/危运合规路线</x:v>
      </x:c>
      <x:c r="S846" s="51" t="str">
        <x:v>https://routing.openstreetmap.de/routed-car/</x:v>
      </x:c>
    </x:row>
    <x:row r="847">
      <x:c r="A847" s="51" t="str">
        <x:v>A0843</x:v>
      </x:c>
      <x:c r="B847" s="51" t="str">
        <x:v>C17</x:v>
      </x:c>
      <x:c r="C847" s="51" t="str">
        <x:v>collection</x:v>
      </x:c>
      <x:c r="D847" s="51" t="str">
        <x:v>肇庆虚拟回收/检测中心</x:v>
      </x:c>
      <x:c r="E847" s="51" t="str">
        <x:v>P17</x:v>
      </x:c>
      <x:c r="F847" s="51" t="str">
        <x:v>echelon</x:v>
      </x:c>
      <x:c r="G847" s="51" t="str">
        <x:v>深圳市荣高晟新能源科技有限公司</x:v>
      </x:c>
      <x:c r="H847" s="52" t="n">
        <x:v>207.3785732131572</x:v>
      </x:c>
      <x:c r="I847" s="52" t="n">
        <x:v>227.31560000000002</x:v>
      </x:c>
      <x:c r="J847" s="52" t="n">
        <x:v>165.75833333333333</x:v>
      </x:c>
      <x:c r="K847" s="52" t="n">
        <x:f>IFERROR(I847/H847,"")</x:f>
        <x:v>1.096138315921145</x:v>
      </x:c>
      <x:c r="L847" s="52" t="n">
        <x:v>300</x:v>
      </x:c>
      <x:c r="M847" s="65" t="n">
        <x:f>IF(H847&lt;=L847,1,0)</x:f>
        <x:v>1</x:v>
      </x:c>
      <x:c r="N847" s="65" t="n">
        <x:f>IF(I847&lt;=L847,1,0)</x:f>
        <x:v>1</x:v>
      </x:c>
      <x:c r="O847" s="51" t="str">
        <x:f>IF(M847=N847,"不变",IF(N847=1,"由禁变允","由允变禁"))</x:f>
        <x:v>不变</x:v>
      </x:c>
      <x:c r="P847" s="51" t="str">
        <x:v>OSRM driving/car</x:v>
      </x:c>
      <x:c r="Q847" s="51" t="str">
        <x:v>2026-08-15</x:v>
      </x:c>
      <x:c r="R847" s="51" t="str">
        <x:v>C-开放路网计算；不是货车/危运合规路线</x:v>
      </x:c>
      <x:c r="S847" s="51" t="str">
        <x:v>https://routing.openstreetmap.de/routed-car/</x:v>
      </x:c>
    </x:row>
    <x:row r="848">
      <x:c r="A848" s="51" t="str">
        <x:v>A0844</x:v>
      </x:c>
      <x:c r="B848" s="51" t="str">
        <x:v>C17</x:v>
      </x:c>
      <x:c r="C848" s="51" t="str">
        <x:v>collection</x:v>
      </x:c>
      <x:c r="D848" s="51" t="str">
        <x:v>肇庆虚拟回收/检测中心</x:v>
      </x:c>
      <x:c r="E848" s="51" t="str">
        <x:v>P18</x:v>
      </x:c>
      <x:c r="F848" s="51" t="str">
        <x:v>echelon</x:v>
      </x:c>
      <x:c r="G848" s="51" t="str">
        <x:v>中商锂新能源科技（惠州）有限公司</x:v>
      </x:c>
      <x:c r="H848" s="52" t="n">
        <x:v>239.7967570099756</x:v>
      </x:c>
      <x:c r="I848" s="52" t="n">
        <x:v>236.063</x:v>
      </x:c>
      <x:c r="J848" s="52" t="n">
        <x:v>168.925</x:v>
      </x:c>
      <x:c r="K848" s="52" t="n">
        <x:f>IFERROR(I848/H848,"")</x:f>
        <x:v>0.984429493307033</x:v>
      </x:c>
      <x:c r="L848" s="52" t="n">
        <x:v>300</x:v>
      </x:c>
      <x:c r="M848" s="65" t="n">
        <x:f>IF(H848&lt;=L848,1,0)</x:f>
        <x:v>1</x:v>
      </x:c>
      <x:c r="N848" s="65" t="n">
        <x:f>IF(I848&lt;=L848,1,0)</x:f>
        <x:v>1</x:v>
      </x:c>
      <x:c r="O848" s="51" t="str">
        <x:f>IF(M848=N848,"不变",IF(N848=1,"由禁变允","由允变禁"))</x:f>
        <x:v>不变</x:v>
      </x:c>
      <x:c r="P848" s="51" t="str">
        <x:v>OSRM driving/car</x:v>
      </x:c>
      <x:c r="Q848" s="51" t="str">
        <x:v>2026-08-15</x:v>
      </x:c>
      <x:c r="R848" s="51" t="str">
        <x:v>C-开放路网计算；不是货车/危运合规路线</x:v>
      </x:c>
      <x:c r="S848" s="51" t="str">
        <x:v>https://routing.openstreetmap.de/routed-car/</x:v>
      </x:c>
    </x:row>
    <x:row r="849">
      <x:c r="A849" s="51" t="str">
        <x:v>A0845</x:v>
      </x:c>
      <x:c r="B849" s="51" t="str">
        <x:v>C17</x:v>
      </x:c>
      <x:c r="C849" s="51" t="str">
        <x:v>collection</x:v>
      </x:c>
      <x:c r="D849" s="51" t="str">
        <x:v>肇庆虚拟回收/检测中心</x:v>
      </x:c>
      <x:c r="E849" s="51" t="str">
        <x:v>P19</x:v>
      </x:c>
      <x:c r="F849" s="51" t="str">
        <x:v>recycling</x:v>
      </x:c>
      <x:c r="G849" s="51" t="str">
        <x:v>广东盛祥新材料科技有限公司</x:v>
      </x:c>
      <x:c r="H849" s="52" t="n">
        <x:v>289.43307246740227</x:v>
      </x:c>
      <x:c r="I849" s="52" t="n">
        <x:v>284.1009</x:v>
      </x:c>
      <x:c r="J849" s="52" t="n">
        <x:v>215.84</x:v>
      </x:c>
      <x:c r="K849" s="52" t="n">
        <x:f>IFERROR(I849/H849,"")</x:f>
        <x:v>0.9815771832087268</x:v>
      </x:c>
      <x:c r="L849" s="52" t="n">
        <x:v>400</x:v>
      </x:c>
      <x:c r="M849" s="65" t="n">
        <x:f>IF(H849&lt;=L849,1,0)</x:f>
        <x:v>1</x:v>
      </x:c>
      <x:c r="N849" s="65" t="n">
        <x:f>IF(I849&lt;=L849,1,0)</x:f>
        <x:v>1</x:v>
      </x:c>
      <x:c r="O849" s="51" t="str">
        <x:f>IF(M849=N849,"不变",IF(N849=1,"由禁变允","由允变禁"))</x:f>
        <x:v>不变</x:v>
      </x:c>
      <x:c r="P849" s="51" t="str">
        <x:v>OSRM driving/car</x:v>
      </x:c>
      <x:c r="Q849" s="51" t="str">
        <x:v>2026-08-15</x:v>
      </x:c>
      <x:c r="R849" s="51" t="str">
        <x:v>C-开放路网计算；不是货车/危运合规路线</x:v>
      </x:c>
      <x:c r="S849" s="51" t="str">
        <x:v>https://routing.openstreetmap.de/routed-car/</x:v>
      </x:c>
    </x:row>
    <x:row r="850">
      <x:c r="A850" s="51" t="str">
        <x:v>A0846</x:v>
      </x:c>
      <x:c r="B850" s="51" t="str">
        <x:v>C17</x:v>
      </x:c>
      <x:c r="C850" s="51" t="str">
        <x:v>collection</x:v>
      </x:c>
      <x:c r="D850" s="51" t="str">
        <x:v>肇庆虚拟回收/检测中心</x:v>
      </x:c>
      <x:c r="E850" s="51" t="str">
        <x:v>P20E</x:v>
      </x:c>
      <x:c r="F850" s="51" t="str">
        <x:v>echelon</x:v>
      </x:c>
      <x:c r="G850" s="51" t="str">
        <x:v>广东金晟新能源股份有限公司（梯次功能）</x:v>
      </x:c>
      <x:c r="H850" s="52" t="n">
        <x:v>0</x:v>
      </x:c>
      <x:c r="I850" s="52" t="n">
        <x:v>0</x:v>
      </x:c>
      <x:c r="J850" s="52" t="n">
        <x:v>0</x:v>
      </x:c>
      <x:c r="K850" s="52" t="str">
        <x:f>IFERROR(I850/H850,"")</x:f>
      </x:c>
      <x:c r="L850" s="52" t="n">
        <x:v>300</x:v>
      </x:c>
      <x:c r="M850" s="65" t="n">
        <x:f>IF(H850&lt;=L850,1,0)</x:f>
        <x:v>1</x:v>
      </x:c>
      <x:c r="N850" s="65" t="n">
        <x:f>IF(I850&lt;=L850,1,0)</x:f>
        <x:v>1</x:v>
      </x:c>
      <x:c r="O850" s="51" t="str">
        <x:f>IF(M850=N850,"不变",IF(N850=1,"由禁变允","由允变禁"))</x:f>
        <x:v>不变</x:v>
      </x:c>
      <x:c r="P850" s="51" t="str">
        <x:v>OSRM driving/car</x:v>
      </x:c>
      <x:c r="Q850" s="51" t="str">
        <x:v>2026-08-15</x:v>
      </x:c>
      <x:c r="R850" s="51" t="str">
        <x:v>C-开放路网计算；不是货车/危运合规路线</x:v>
      </x:c>
      <x:c r="S850" s="51" t="str">
        <x:v>https://routing.openstreetmap.de/routed-car/</x:v>
      </x:c>
    </x:row>
    <x:row r="851">
      <x:c r="A851" s="51" t="str">
        <x:v>A0847</x:v>
      </x:c>
      <x:c r="B851" s="51" t="str">
        <x:v>C17</x:v>
      </x:c>
      <x:c r="C851" s="51" t="str">
        <x:v>collection</x:v>
      </x:c>
      <x:c r="D851" s="51" t="str">
        <x:v>肇庆虚拟回收/检测中心</x:v>
      </x:c>
      <x:c r="E851" s="51" t="str">
        <x:v>P20R</x:v>
      </x:c>
      <x:c r="F851" s="51" t="str">
        <x:v>recycling</x:v>
      </x:c>
      <x:c r="G851" s="51" t="str">
        <x:v>广东金晟新能源股份有限公司（再生功能）</x:v>
      </x:c>
      <x:c r="H851" s="52" t="n">
        <x:v>0</x:v>
      </x:c>
      <x:c r="I851" s="52" t="n">
        <x:v>0</x:v>
      </x:c>
      <x:c r="J851" s="52" t="n">
        <x:v>0</x:v>
      </x:c>
      <x:c r="K851" s="52" t="str">
        <x:f>IFERROR(I851/H851,"")</x:f>
      </x:c>
      <x:c r="L851" s="52" t="n">
        <x:v>400</x:v>
      </x:c>
      <x:c r="M851" s="65" t="n">
        <x:f>IF(H851&lt;=L851,1,0)</x:f>
        <x:v>1</x:v>
      </x:c>
      <x:c r="N851" s="65" t="n">
        <x:f>IF(I851&lt;=L851,1,0)</x:f>
        <x:v>1</x:v>
      </x:c>
      <x:c r="O851" s="51" t="str">
        <x:f>IF(M851=N851,"不变",IF(N851=1,"由禁变允","由允变禁"))</x:f>
        <x:v>不变</x:v>
      </x:c>
      <x:c r="P851" s="51" t="str">
        <x:v>OSRM driving/car</x:v>
      </x:c>
      <x:c r="Q851" s="51" t="str">
        <x:v>2026-08-15</x:v>
      </x:c>
      <x:c r="R851" s="51" t="str">
        <x:v>C-开放路网计算；不是货车/危运合规路线</x:v>
      </x:c>
      <x:c r="S851" s="51" t="str">
        <x:v>https://routing.openstreetmap.de/routed-car/</x:v>
      </x:c>
    </x:row>
    <x:row r="852">
      <x:c r="A852" s="51" t="str">
        <x:v>A0848</x:v>
      </x:c>
      <x:c r="B852" s="51" t="str">
        <x:v>C17</x:v>
      </x:c>
      <x:c r="C852" s="51" t="str">
        <x:v>collection</x:v>
      </x:c>
      <x:c r="D852" s="51" t="str">
        <x:v>肇庆虚拟回收/检测中心</x:v>
      </x:c>
      <x:c r="E852" s="51" t="str">
        <x:v>P21E</x:v>
      </x:c>
      <x:c r="F852" s="51" t="str">
        <x:v>echelon</x:v>
      </x:c>
      <x:c r="G852" s="51" t="str">
        <x:v>广东瑞科美电源技术有限公司（梯次功能）</x:v>
      </x:c>
      <x:c r="H852" s="52" t="n">
        <x:v>80.57782241114403</x:v>
      </x:c>
      <x:c r="I852" s="52" t="n">
        <x:v>84.96539999999999</x:v>
      </x:c>
      <x:c r="J852" s="52" t="n">
        <x:v>73.87833333333333</x:v>
      </x:c>
      <x:c r="K852" s="52" t="n">
        <x:f>IFERROR(I852/H852,"")</x:f>
        <x:v>1.054451429159609</x:v>
      </x:c>
      <x:c r="L852" s="52" t="n">
        <x:v>300</x:v>
      </x:c>
      <x:c r="M852" s="65" t="n">
        <x:f>IF(H852&lt;=L852,1,0)</x:f>
        <x:v>1</x:v>
      </x:c>
      <x:c r="N852" s="65" t="n">
        <x:f>IF(I852&lt;=L852,1,0)</x:f>
        <x:v>1</x:v>
      </x:c>
      <x:c r="O852" s="51" t="str">
        <x:f>IF(M852=N852,"不变",IF(N852=1,"由禁变允","由允变禁"))</x:f>
        <x:v>不变</x:v>
      </x:c>
      <x:c r="P852" s="51" t="str">
        <x:v>OSRM driving/car</x:v>
      </x:c>
      <x:c r="Q852" s="51" t="str">
        <x:v>2026-08-15</x:v>
      </x:c>
      <x:c r="R852" s="51" t="str">
        <x:v>C-开放路网计算；不是货车/危运合规路线</x:v>
      </x:c>
      <x:c r="S852" s="51" t="str">
        <x:v>https://routing.openstreetmap.de/routed-car/</x:v>
      </x:c>
    </x:row>
    <x:row r="853">
      <x:c r="A853" s="51" t="str">
        <x:v>A0849</x:v>
      </x:c>
      <x:c r="B853" s="51" t="str">
        <x:v>C17</x:v>
      </x:c>
      <x:c r="C853" s="51" t="str">
        <x:v>collection</x:v>
      </x:c>
      <x:c r="D853" s="51" t="str">
        <x:v>肇庆虚拟回收/检测中心</x:v>
      </x:c>
      <x:c r="E853" s="51" t="str">
        <x:v>P21R</x:v>
      </x:c>
      <x:c r="F853" s="51" t="str">
        <x:v>recycling</x:v>
      </x:c>
      <x:c r="G853" s="51" t="str">
        <x:v>广东瑞科美电源技术有限公司（再生功能）</x:v>
      </x:c>
      <x:c r="H853" s="52" t="n">
        <x:v>80.57782241114403</x:v>
      </x:c>
      <x:c r="I853" s="52" t="n">
        <x:v>84.96539999999999</x:v>
      </x:c>
      <x:c r="J853" s="52" t="n">
        <x:v>73.87833333333333</x:v>
      </x:c>
      <x:c r="K853" s="52" t="n">
        <x:f>IFERROR(I853/H853,"")</x:f>
        <x:v>1.054451429159609</x:v>
      </x:c>
      <x:c r="L853" s="52" t="n">
        <x:v>400</x:v>
      </x:c>
      <x:c r="M853" s="65" t="n">
        <x:f>IF(H853&lt;=L853,1,0)</x:f>
        <x:v>1</x:v>
      </x:c>
      <x:c r="N853" s="65" t="n">
        <x:f>IF(I853&lt;=L853,1,0)</x:f>
        <x:v>1</x:v>
      </x:c>
      <x:c r="O853" s="51" t="str">
        <x:f>IF(M853=N853,"不变",IF(N853=1,"由禁变允","由允变禁"))</x:f>
        <x:v>不变</x:v>
      </x:c>
      <x:c r="P853" s="51" t="str">
        <x:v>OSRM driving/car</x:v>
      </x:c>
      <x:c r="Q853" s="51" t="str">
        <x:v>2026-08-15</x:v>
      </x:c>
      <x:c r="R853" s="51" t="str">
        <x:v>C-开放路网计算；不是货车/危运合规路线</x:v>
      </x:c>
      <x:c r="S853" s="51" t="str">
        <x:v>https://routing.openstreetmap.de/routed-car/</x:v>
      </x:c>
    </x:row>
    <x:row r="854">
      <x:c r="A854" s="51" t="str">
        <x:v>A0850</x:v>
      </x:c>
      <x:c r="B854" s="51" t="str">
        <x:v>C18</x:v>
      </x:c>
      <x:c r="C854" s="51" t="str">
        <x:v>collection</x:v>
      </x:c>
      <x:c r="D854" s="51" t="str">
        <x:v>清远虚拟回收/检测中心</x:v>
      </x:c>
      <x:c r="E854" s="51" t="str">
        <x:v>P01</x:v>
      </x:c>
      <x:c r="F854" s="51" t="str">
        <x:v>recycling</x:v>
      </x:c>
      <x:c r="G854" s="51" t="str">
        <x:v>汕尾比亚迪废旧动力电池回收项目</x:v>
      </x:c>
      <x:c r="H854" s="52" t="n">
        <x:v>303.5147954453087</x:v>
      </x:c>
      <x:c r="I854" s="52" t="n">
        <x:v>307.1555</x:v>
      </x:c>
      <x:c r="J854" s="52" t="n">
        <x:v>215.72666666666666</x:v>
      </x:c>
      <x:c r="K854" s="52" t="n">
        <x:f>IFERROR(I854/H854,"")</x:f>
        <x:v>1.0119951468901203</x:v>
      </x:c>
      <x:c r="L854" s="52" t="n">
        <x:v>400</x:v>
      </x:c>
      <x:c r="M854" s="65" t="n">
        <x:f>IF(H854&lt;=L854,1,0)</x:f>
        <x:v>1</x:v>
      </x:c>
      <x:c r="N854" s="65" t="n">
        <x:f>IF(I854&lt;=L854,1,0)</x:f>
        <x:v>1</x:v>
      </x:c>
      <x:c r="O854" s="51" t="str">
        <x:f>IF(M854=N854,"不变",IF(N854=1,"由禁变允","由允变禁"))</x:f>
        <x:v>不变</x:v>
      </x:c>
      <x:c r="P854" s="51" t="str">
        <x:v>OSRM driving/car</x:v>
      </x:c>
      <x:c r="Q854" s="51" t="str">
        <x:v>2026-08-15</x:v>
      </x:c>
      <x:c r="R854" s="51" t="str">
        <x:v>C-开放路网计算；不是货车/危运合规路线</x:v>
      </x:c>
      <x:c r="S854" s="51" t="str">
        <x:v>https://routing.openstreetmap.de/routed-car/</x:v>
      </x:c>
    </x:row>
    <x:row r="855">
      <x:c r="A855" s="51" t="str">
        <x:v>A0851</x:v>
      </x:c>
      <x:c r="B855" s="51" t="str">
        <x:v>C18</x:v>
      </x:c>
      <x:c r="C855" s="51" t="str">
        <x:v>collection</x:v>
      </x:c>
      <x:c r="D855" s="51" t="str">
        <x:v>清远虚拟回收/检测中心</x:v>
      </x:c>
      <x:c r="E855" s="51" t="str">
        <x:v>P02E</x:v>
      </x:c>
      <x:c r="F855" s="51" t="str">
        <x:v>echelon</x:v>
      </x:c>
      <x:c r="G855" s="51" t="str">
        <x:v>广东光华科技股份有限公司（梯次功能）</x:v>
      </x:c>
      <x:c r="H855" s="52" t="n">
        <x:v>445.8822972488896</x:v>
      </x:c>
      <x:c r="I855" s="52" t="n">
        <x:v>427.3829</x:v>
      </x:c>
      <x:c r="J855" s="52" t="n">
        <x:v>305.58</x:v>
      </x:c>
      <x:c r="K855" s="52" t="n">
        <x:f>IFERROR(I855/H855,"")</x:f>
        <x:v>0.9585105814627951</x:v>
      </x:c>
      <x:c r="L855" s="52" t="n">
        <x:v>300</x:v>
      </x:c>
      <x:c r="M855" s="65" t="n">
        <x:f>IF(H855&lt;=L855,1,0)</x:f>
        <x:v>0</x:v>
      </x:c>
      <x:c r="N855" s="65" t="n">
        <x:f>IF(I855&lt;=L855,1,0)</x:f>
        <x:v>0</x:v>
      </x:c>
      <x:c r="O855" s="51" t="str">
        <x:f>IF(M855=N855,"不变",IF(N855=1,"由禁变允","由允变禁"))</x:f>
        <x:v>不变</x:v>
      </x:c>
      <x:c r="P855" s="51" t="str">
        <x:v>OSRM driving/car</x:v>
      </x:c>
      <x:c r="Q855" s="51" t="str">
        <x:v>2026-08-15</x:v>
      </x:c>
      <x:c r="R855" s="51" t="str">
        <x:v>C-开放路网计算；不是货车/危运合规路线</x:v>
      </x:c>
      <x:c r="S855" s="51" t="str">
        <x:v>https://routing.openstreetmap.de/routed-car/</x:v>
      </x:c>
    </x:row>
    <x:row r="856">
      <x:c r="A856" s="51" t="str">
        <x:v>A0852</x:v>
      </x:c>
      <x:c r="B856" s="51" t="str">
        <x:v>C18</x:v>
      </x:c>
      <x:c r="C856" s="51" t="str">
        <x:v>collection</x:v>
      </x:c>
      <x:c r="D856" s="51" t="str">
        <x:v>清远虚拟回收/检测中心</x:v>
      </x:c>
      <x:c r="E856" s="51" t="str">
        <x:v>P02R</x:v>
      </x:c>
      <x:c r="F856" s="51" t="str">
        <x:v>recycling</x:v>
      </x:c>
      <x:c r="G856" s="51" t="str">
        <x:v>广东光华科技股份有限公司（再生功能）</x:v>
      </x:c>
      <x:c r="H856" s="52" t="n">
        <x:v>445.8822972488896</x:v>
      </x:c>
      <x:c r="I856" s="52" t="n">
        <x:v>427.3829</x:v>
      </x:c>
      <x:c r="J856" s="52" t="n">
        <x:v>305.58</x:v>
      </x:c>
      <x:c r="K856" s="52" t="n">
        <x:f>IFERROR(I856/H856,"")</x:f>
        <x:v>0.9585105814627951</x:v>
      </x:c>
      <x:c r="L856" s="52" t="n">
        <x:v>400</x:v>
      </x:c>
      <x:c r="M856" s="65" t="n">
        <x:f>IF(H856&lt;=L856,1,0)</x:f>
        <x:v>0</x:v>
      </x:c>
      <x:c r="N856" s="65" t="n">
        <x:f>IF(I856&lt;=L856,1,0)</x:f>
        <x:v>0</x:v>
      </x:c>
      <x:c r="O856" s="51" t="str">
        <x:f>IF(M856=N856,"不变",IF(N856=1,"由禁变允","由允变禁"))</x:f>
        <x:v>不变</x:v>
      </x:c>
      <x:c r="P856" s="51" t="str">
        <x:v>OSRM driving/car</x:v>
      </x:c>
      <x:c r="Q856" s="51" t="str">
        <x:v>2026-08-15</x:v>
      </x:c>
      <x:c r="R856" s="51" t="str">
        <x:v>C-开放路网计算；不是货车/危运合规路线</x:v>
      </x:c>
      <x:c r="S856" s="51" t="str">
        <x:v>https://routing.openstreetmap.de/routed-car/</x:v>
      </x:c>
    </x:row>
    <x:row r="857">
      <x:c r="A857" s="51" t="str">
        <x:v>A0853</x:v>
      </x:c>
      <x:c r="B857" s="51" t="str">
        <x:v>C18</x:v>
      </x:c>
      <x:c r="C857" s="51" t="str">
        <x:v>collection</x:v>
      </x:c>
      <x:c r="D857" s="51" t="str">
        <x:v>清远虚拟回收/检测中心</x:v>
      </x:c>
      <x:c r="E857" s="51" t="str">
        <x:v>P03</x:v>
      </x:c>
      <x:c r="F857" s="51" t="str">
        <x:v>echelon</x:v>
      </x:c>
      <x:c r="G857" s="51" t="str">
        <x:v>深圳深汕特别合作区乾泰技术有限公司</x:v>
      </x:c>
      <x:c r="H857" s="52" t="n">
        <x:v>314.3082033676746</x:v>
      </x:c>
      <x:c r="I857" s="52" t="n">
        <x:v>320.83840000000004</x:v>
      </x:c>
      <x:c r="J857" s="52" t="n">
        <x:v>243.96666666666667</x:v>
      </x:c>
      <x:c r="K857" s="52" t="n">
        <x:f>IFERROR(I857/H857,"")</x:f>
        <x:v>1.0207764116951363</x:v>
      </x:c>
      <x:c r="L857" s="52" t="n">
        <x:v>300</x:v>
      </x:c>
      <x:c r="M857" s="65" t="n">
        <x:f>IF(H857&lt;=L857,1,0)</x:f>
        <x:v>0</x:v>
      </x:c>
      <x:c r="N857" s="65" t="n">
        <x:f>IF(I857&lt;=L857,1,0)</x:f>
        <x:v>0</x:v>
      </x:c>
      <x:c r="O857" s="51" t="str">
        <x:f>IF(M857=N857,"不变",IF(N857=1,"由禁变允","由允变禁"))</x:f>
        <x:v>不变</x:v>
      </x:c>
      <x:c r="P857" s="51" t="str">
        <x:v>OSRM driving/car</x:v>
      </x:c>
      <x:c r="Q857" s="51" t="str">
        <x:v>2026-08-15</x:v>
      </x:c>
      <x:c r="R857" s="51" t="str">
        <x:v>C-开放路网计算；不是货车/危运合规路线</x:v>
      </x:c>
      <x:c r="S857" s="51" t="str">
        <x:v>https://routing.openstreetmap.de/routed-car/</x:v>
      </x:c>
    </x:row>
    <x:row r="858">
      <x:c r="A858" s="51" t="str">
        <x:v>A0854</x:v>
      </x:c>
      <x:c r="B858" s="51" t="str">
        <x:v>C18</x:v>
      </x:c>
      <x:c r="C858" s="51" t="str">
        <x:v>collection</x:v>
      </x:c>
      <x:c r="D858" s="51" t="str">
        <x:v>清远虚拟回收/检测中心</x:v>
      </x:c>
      <x:c r="E858" s="51" t="str">
        <x:v>P04</x:v>
      </x:c>
      <x:c r="F858" s="51" t="str">
        <x:v>echelon</x:v>
      </x:c>
      <x:c r="G858" s="51" t="str">
        <x:v>珠海中力新能源科技有限公司</x:v>
      </x:c>
      <x:c r="H858" s="52" t="n">
        <x:v>198.69550482506634</x:v>
      </x:c>
      <x:c r="I858" s="52" t="n">
        <x:v>199.00279999999998</x:v>
      </x:c>
      <x:c r="J858" s="52" t="n">
        <x:v>146.87</x:v>
      </x:c>
      <x:c r="K858" s="52" t="n">
        <x:f>IFERROR(I858/H858,"")</x:f>
        <x:v>1.001546563296458</x:v>
      </x:c>
      <x:c r="L858" s="52" t="n">
        <x:v>300</x:v>
      </x:c>
      <x:c r="M858" s="65" t="n">
        <x:f>IF(H858&lt;=L858,1,0)</x:f>
        <x:v>1</x:v>
      </x:c>
      <x:c r="N858" s="65" t="n">
        <x:f>IF(I858&lt;=L858,1,0)</x:f>
        <x:v>1</x:v>
      </x:c>
      <x:c r="O858" s="51" t="str">
        <x:f>IF(M858=N858,"不变",IF(N858=1,"由禁变允","由允变禁"))</x:f>
        <x:v>不变</x:v>
      </x:c>
      <x:c r="P858" s="51" t="str">
        <x:v>OSRM driving/car</x:v>
      </x:c>
      <x:c r="Q858" s="51" t="str">
        <x:v>2026-08-15</x:v>
      </x:c>
      <x:c r="R858" s="51" t="str">
        <x:v>C-开放路网计算；不是货车/危运合规路线</x:v>
      </x:c>
      <x:c r="S858" s="51" t="str">
        <x:v>https://routing.openstreetmap.de/routed-car/</x:v>
      </x:c>
    </x:row>
    <x:row r="859">
      <x:c r="A859" s="51" t="str">
        <x:v>A0855</x:v>
      </x:c>
      <x:c r="B859" s="51" t="str">
        <x:v>C18</x:v>
      </x:c>
      <x:c r="C859" s="51" t="str">
        <x:v>collection</x:v>
      </x:c>
      <x:c r="D859" s="51" t="str">
        <x:v>清远虚拟回收/检测中心</x:v>
      </x:c>
      <x:c r="E859" s="51" t="str">
        <x:v>P05</x:v>
      </x:c>
      <x:c r="F859" s="51" t="str">
        <x:v>echelon</x:v>
      </x:c>
      <x:c r="G859" s="51" t="str">
        <x:v>惠州市恒创睿能环保科技有限公司</x:v>
      </x:c>
      <x:c r="H859" s="52" t="n">
        <x:v>183.368389563571</x:v>
      </x:c>
      <x:c r="I859" s="52" t="n">
        <x:v>185.05720000000002</x:v>
      </x:c>
      <x:c r="J859" s="52" t="n">
        <x:v>134.575</x:v>
      </x:c>
      <x:c r="K859" s="52" t="n">
        <x:f>IFERROR(I859/H859,"")</x:f>
        <x:v>1.0092099322050465</x:v>
      </x:c>
      <x:c r="L859" s="52" t="n">
        <x:v>300</x:v>
      </x:c>
      <x:c r="M859" s="65" t="n">
        <x:f>IF(H859&lt;=L859,1,0)</x:f>
        <x:v>1</x:v>
      </x:c>
      <x:c r="N859" s="65" t="n">
        <x:f>IF(I859&lt;=L859,1,0)</x:f>
        <x:v>1</x:v>
      </x:c>
      <x:c r="O859" s="51" t="str">
        <x:f>IF(M859=N859,"不变",IF(N859=1,"由禁变允","由允变禁"))</x:f>
        <x:v>不变</x:v>
      </x:c>
      <x:c r="P859" s="51" t="str">
        <x:v>OSRM driving/car</x:v>
      </x:c>
      <x:c r="Q859" s="51" t="str">
        <x:v>2026-08-15</x:v>
      </x:c>
      <x:c r="R859" s="51" t="str">
        <x:v>C-开放路网计算；不是货车/危运合规路线</x:v>
      </x:c>
      <x:c r="S859" s="51" t="str">
        <x:v>https://routing.openstreetmap.de/routed-car/</x:v>
      </x:c>
    </x:row>
    <x:row r="860">
      <x:c r="A860" s="51" t="str">
        <x:v>A0856</x:v>
      </x:c>
      <x:c r="B860" s="51" t="str">
        <x:v>C18</x:v>
      </x:c>
      <x:c r="C860" s="51" t="str">
        <x:v>collection</x:v>
      </x:c>
      <x:c r="D860" s="51" t="str">
        <x:v>清远虚拟回收/检测中心</x:v>
      </x:c>
      <x:c r="E860" s="51" t="str">
        <x:v>P06</x:v>
      </x:c>
      <x:c r="F860" s="51" t="str">
        <x:v>echelon</x:v>
      </x:c>
      <x:c r="G860" s="51" t="str">
        <x:v>江门市朗达锂电池有限公司</x:v>
      </x:c>
      <x:c r="H860" s="52" t="n">
        <x:v>147.02898541450745</x:v>
      </x:c>
      <x:c r="I860" s="52" t="n">
        <x:v>142.3946</x:v>
      </x:c>
      <x:c r="J860" s="52" t="n">
        <x:v>113.225</x:v>
      </x:c>
      <x:c r="K860" s="52" t="n">
        <x:f>IFERROR(I860/H860,"")</x:f>
        <x:v>0.9684797837552773</x:v>
      </x:c>
      <x:c r="L860" s="52" t="n">
        <x:v>300</x:v>
      </x:c>
      <x:c r="M860" s="65" t="n">
        <x:f>IF(H860&lt;=L860,1,0)</x:f>
        <x:v>1</x:v>
      </x:c>
      <x:c r="N860" s="65" t="n">
        <x:f>IF(I860&lt;=L860,1,0)</x:f>
        <x:v>1</x:v>
      </x:c>
      <x:c r="O860" s="51" t="str">
        <x:f>IF(M860=N860,"不变",IF(N860=1,"由禁变允","由允变禁"))</x:f>
        <x:v>不变</x:v>
      </x:c>
      <x:c r="P860" s="51" t="str">
        <x:v>OSRM driving/car</x:v>
      </x:c>
      <x:c r="Q860" s="51" t="str">
        <x:v>2026-08-15</x:v>
      </x:c>
      <x:c r="R860" s="51" t="str">
        <x:v>C-开放路网计算；不是货车/危运合规路线</x:v>
      </x:c>
      <x:c r="S860" s="51" t="str">
        <x:v>https://routing.openstreetmap.de/routed-car/</x:v>
      </x:c>
    </x:row>
    <x:row r="861">
      <x:c r="A861" s="51" t="str">
        <x:v>A0857</x:v>
      </x:c>
      <x:c r="B861" s="51" t="str">
        <x:v>C18</x:v>
      </x:c>
      <x:c r="C861" s="51" t="str">
        <x:v>collection</x:v>
      </x:c>
      <x:c r="D861" s="51" t="str">
        <x:v>清远虚拟回收/检测中心</x:v>
      </x:c>
      <x:c r="E861" s="51" t="str">
        <x:v>P07</x:v>
      </x:c>
      <x:c r="F861" s="51" t="str">
        <x:v>echelon</x:v>
      </x:c>
      <x:c r="G861" s="51" t="str">
        <x:v>广东迪度新能源有限公司</x:v>
      </x:c>
      <x:c r="H861" s="52" t="n">
        <x:v>122.93685817460485</x:v>
      </x:c>
      <x:c r="I861" s="52" t="n">
        <x:v>136.18220000000002</x:v>
      </x:c>
      <x:c r="J861" s="52" t="n">
        <x:v>101.675</x:v>
      </x:c>
      <x:c r="K861" s="52" t="n">
        <x:f>IFERROR(I861/H861,"")</x:f>
        <x:v>1.1077410145506001</x:v>
      </x:c>
      <x:c r="L861" s="52" t="n">
        <x:v>300</x:v>
      </x:c>
      <x:c r="M861" s="65" t="n">
        <x:f>IF(H861&lt;=L861,1,0)</x:f>
        <x:v>1</x:v>
      </x:c>
      <x:c r="N861" s="65" t="n">
        <x:f>IF(I861&lt;=L861,1,0)</x:f>
        <x:v>1</x:v>
      </x:c>
      <x:c r="O861" s="51" t="str">
        <x:f>IF(M861=N861,"不变",IF(N861=1,"由禁变允","由允变禁"))</x:f>
        <x:v>不变</x:v>
      </x:c>
      <x:c r="P861" s="51" t="str">
        <x:v>OSRM driving/car</x:v>
      </x:c>
      <x:c r="Q861" s="51" t="str">
        <x:v>2026-08-15</x:v>
      </x:c>
      <x:c r="R861" s="51" t="str">
        <x:v>C-开放路网计算；不是货车/危运合规路线</x:v>
      </x:c>
      <x:c r="S861" s="51" t="str">
        <x:v>https://routing.openstreetmap.de/routed-car/</x:v>
      </x:c>
    </x:row>
    <x:row r="862">
      <x:c r="A862" s="51" t="str">
        <x:v>A0858</x:v>
      </x:c>
      <x:c r="B862" s="51" t="str">
        <x:v>C18</x:v>
      </x:c>
      <x:c r="C862" s="51" t="str">
        <x:v>collection</x:v>
      </x:c>
      <x:c r="D862" s="51" t="str">
        <x:v>清远虚拟回收/检测中心</x:v>
      </x:c>
      <x:c r="E862" s="51" t="str">
        <x:v>P08</x:v>
      </x:c>
      <x:c r="F862" s="51" t="str">
        <x:v>echelon</x:v>
      </x:c>
      <x:c r="G862" s="51" t="str">
        <x:v>东莞市博森新能源有限公司</x:v>
      </x:c>
      <x:c r="H862" s="52" t="n">
        <x:v>122.93685817460485</x:v>
      </x:c>
      <x:c r="I862" s="52" t="n">
        <x:v>136.18220000000002</x:v>
      </x:c>
      <x:c r="J862" s="52" t="n">
        <x:v>101.675</x:v>
      </x:c>
      <x:c r="K862" s="52" t="n">
        <x:f>IFERROR(I862/H862,"")</x:f>
        <x:v>1.1077410145506001</x:v>
      </x:c>
      <x:c r="L862" s="52" t="n">
        <x:v>300</x:v>
      </x:c>
      <x:c r="M862" s="65" t="n">
        <x:f>IF(H862&lt;=L862,1,0)</x:f>
        <x:v>1</x:v>
      </x:c>
      <x:c r="N862" s="65" t="n">
        <x:f>IF(I862&lt;=L862,1,0)</x:f>
        <x:v>1</x:v>
      </x:c>
      <x:c r="O862" s="51" t="str">
        <x:f>IF(M862=N862,"不变",IF(N862=1,"由禁变允","由允变禁"))</x:f>
        <x:v>不变</x:v>
      </x:c>
      <x:c r="P862" s="51" t="str">
        <x:v>OSRM driving/car</x:v>
      </x:c>
      <x:c r="Q862" s="51" t="str">
        <x:v>2026-08-15</x:v>
      </x:c>
      <x:c r="R862" s="51" t="str">
        <x:v>C-开放路网计算；不是货车/危运合规路线</x:v>
      </x:c>
      <x:c r="S862" s="51" t="str">
        <x:v>https://routing.openstreetmap.de/routed-car/</x:v>
      </x:c>
    </x:row>
    <x:row r="863">
      <x:c r="A863" s="51" t="str">
        <x:v>A0859</x:v>
      </x:c>
      <x:c r="B863" s="51" t="str">
        <x:v>C18</x:v>
      </x:c>
      <x:c r="C863" s="51" t="str">
        <x:v>collection</x:v>
      </x:c>
      <x:c r="D863" s="51" t="str">
        <x:v>清远虚拟回收/检测中心</x:v>
      </x:c>
      <x:c r="E863" s="51" t="str">
        <x:v>P09</x:v>
      </x:c>
      <x:c r="F863" s="51" t="str">
        <x:v>echelon</x:v>
      </x:c>
      <x:c r="G863" s="51" t="str">
        <x:v>广东宇阳新能源有限公司</x:v>
      </x:c>
      <x:c r="H863" s="52" t="n">
        <x:v>122.93685817460485</x:v>
      </x:c>
      <x:c r="I863" s="52" t="n">
        <x:v>136.18220000000002</x:v>
      </x:c>
      <x:c r="J863" s="52" t="n">
        <x:v>101.675</x:v>
      </x:c>
      <x:c r="K863" s="52" t="n">
        <x:f>IFERROR(I863/H863,"")</x:f>
        <x:v>1.1077410145506001</x:v>
      </x:c>
      <x:c r="L863" s="52" t="n">
        <x:v>300</x:v>
      </x:c>
      <x:c r="M863" s="65" t="n">
        <x:f>IF(H863&lt;=L863,1,0)</x:f>
        <x:v>1</x:v>
      </x:c>
      <x:c r="N863" s="65" t="n">
        <x:f>IF(I863&lt;=L863,1,0)</x:f>
        <x:v>1</x:v>
      </x:c>
      <x:c r="O863" s="51" t="str">
        <x:f>IF(M863=N863,"不变",IF(N863=1,"由禁变允","由允变禁"))</x:f>
        <x:v>不变</x:v>
      </x:c>
      <x:c r="P863" s="51" t="str">
        <x:v>OSRM driving/car</x:v>
      </x:c>
      <x:c r="Q863" s="51" t="str">
        <x:v>2026-08-15</x:v>
      </x:c>
      <x:c r="R863" s="51" t="str">
        <x:v>C-开放路网计算；不是货车/危运合规路线</x:v>
      </x:c>
      <x:c r="S863" s="51" t="str">
        <x:v>https://routing.openstreetmap.de/routed-car/</x:v>
      </x:c>
    </x:row>
    <x:row r="864">
      <x:c r="A864" s="51" t="str">
        <x:v>A0860</x:v>
      </x:c>
      <x:c r="B864" s="51" t="str">
        <x:v>C18</x:v>
      </x:c>
      <x:c r="C864" s="51" t="str">
        <x:v>collection</x:v>
      </x:c>
      <x:c r="D864" s="51" t="str">
        <x:v>清远虚拟回收/检测中心</x:v>
      </x:c>
      <x:c r="E864" s="51" t="str">
        <x:v>P10</x:v>
      </x:c>
      <x:c r="F864" s="51" t="str">
        <x:v>echelon</x:v>
      </x:c>
      <x:c r="G864" s="51" t="str">
        <x:v>广州广汽商贸再生资源有限公司</x:v>
      </x:c>
      <x:c r="H864" s="52" t="n">
        <x:v>78.25907590976536</x:v>
      </x:c>
      <x:c r="I864" s="52" t="n">
        <x:v>77.3604</x:v>
      </x:c>
      <x:c r="J864" s="52" t="n">
        <x:v>58.531666666666666</x:v>
      </x:c>
      <x:c r="K864" s="52" t="n">
        <x:f>IFERROR(I864/H864,"")</x:f>
        <x:v>0.988516655744804</x:v>
      </x:c>
      <x:c r="L864" s="52" t="n">
        <x:v>300</x:v>
      </x:c>
      <x:c r="M864" s="65" t="n">
        <x:f>IF(H864&lt;=L864,1,0)</x:f>
        <x:v>1</x:v>
      </x:c>
      <x:c r="N864" s="65" t="n">
        <x:f>IF(I864&lt;=L864,1,0)</x:f>
        <x:v>1</x:v>
      </x:c>
      <x:c r="O864" s="51" t="str">
        <x:f>IF(M864=N864,"不变",IF(N864=1,"由禁变允","由允变禁"))</x:f>
        <x:v>不变</x:v>
      </x:c>
      <x:c r="P864" s="51" t="str">
        <x:v>OSRM driving/car</x:v>
      </x:c>
      <x:c r="Q864" s="51" t="str">
        <x:v>2026-08-15</x:v>
      </x:c>
      <x:c r="R864" s="51" t="str">
        <x:v>C-开放路网计算；不是货车/危运合规路线</x:v>
      </x:c>
      <x:c r="S864" s="51" t="str">
        <x:v>https://routing.openstreetmap.de/routed-car/</x:v>
      </x:c>
    </x:row>
    <x:row r="865">
      <x:c r="A865" s="51" t="str">
        <x:v>A0861</x:v>
      </x:c>
      <x:c r="B865" s="51" t="str">
        <x:v>C18</x:v>
      </x:c>
      <x:c r="C865" s="51" t="str">
        <x:v>collection</x:v>
      </x:c>
      <x:c r="D865" s="51" t="str">
        <x:v>清远虚拟回收/检测中心</x:v>
      </x:c>
      <x:c r="E865" s="51" t="str">
        <x:v>P11</x:v>
      </x:c>
      <x:c r="F865" s="51" t="str">
        <x:v>echelon</x:v>
      </x:c>
      <x:c r="G865" s="51" t="str">
        <x:v>深圳市杰成镍钴新能源科技有限公司</x:v>
      </x:c>
      <x:c r="H865" s="52" t="n">
        <x:v>195.61734579697602</x:v>
      </x:c>
      <x:c r="I865" s="52" t="n">
        <x:v>204.8805</x:v>
      </x:c>
      <x:c r="J865" s="52" t="n">
        <x:v>143.91666666666666</x:v>
      </x:c>
      <x:c r="K865" s="52" t="n">
        <x:f>IFERROR(I865/H865,"")</x:f>
        <x:v>1.0473534397743944</x:v>
      </x:c>
      <x:c r="L865" s="52" t="n">
        <x:v>300</x:v>
      </x:c>
      <x:c r="M865" s="65" t="n">
        <x:f>IF(H865&lt;=L865,1,0)</x:f>
        <x:v>1</x:v>
      </x:c>
      <x:c r="N865" s="65" t="n">
        <x:f>IF(I865&lt;=L865,1,0)</x:f>
        <x:v>1</x:v>
      </x:c>
      <x:c r="O865" s="51" t="str">
        <x:f>IF(M865=N865,"不变",IF(N865=1,"由禁变允","由允变禁"))</x:f>
        <x:v>不变</x:v>
      </x:c>
      <x:c r="P865" s="51" t="str">
        <x:v>OSRM driving/car</x:v>
      </x:c>
      <x:c r="Q865" s="51" t="str">
        <x:v>2026-08-15</x:v>
      </x:c>
      <x:c r="R865" s="51" t="str">
        <x:v>C-开放路网计算；不是货车/危运合规路线</x:v>
      </x:c>
      <x:c r="S865" s="51" t="str">
        <x:v>https://routing.openstreetmap.de/routed-car/</x:v>
      </x:c>
    </x:row>
    <x:row r="866">
      <x:c r="A866" s="51" t="str">
        <x:v>A0862</x:v>
      </x:c>
      <x:c r="B866" s="51" t="str">
        <x:v>C18</x:v>
      </x:c>
      <x:c r="C866" s="51" t="str">
        <x:v>collection</x:v>
      </x:c>
      <x:c r="D866" s="51" t="str">
        <x:v>清远虚拟回收/检测中心</x:v>
      </x:c>
      <x:c r="E866" s="51" t="str">
        <x:v>P12</x:v>
      </x:c>
      <x:c r="F866" s="51" t="str">
        <x:v>recycling</x:v>
      </x:c>
      <x:c r="G866" s="51" t="str">
        <x:v>江门市恒创睿能环保科技有限公司</x:v>
      </x:c>
      <x:c r="H866" s="52" t="n">
        <x:v>147.02898541450745</x:v>
      </x:c>
      <x:c r="I866" s="52" t="n">
        <x:v>142.3946</x:v>
      </x:c>
      <x:c r="J866" s="52" t="n">
        <x:v>113.225</x:v>
      </x:c>
      <x:c r="K866" s="52" t="n">
        <x:f>IFERROR(I866/H866,"")</x:f>
        <x:v>0.9684797837552773</x:v>
      </x:c>
      <x:c r="L866" s="52" t="n">
        <x:v>400</x:v>
      </x:c>
      <x:c r="M866" s="65" t="n">
        <x:f>IF(H866&lt;=L866,1,0)</x:f>
        <x:v>1</x:v>
      </x:c>
      <x:c r="N866" s="65" t="n">
        <x:f>IF(I866&lt;=L866,1,0)</x:f>
        <x:v>1</x:v>
      </x:c>
      <x:c r="O866" s="51" t="str">
        <x:f>IF(M866=N866,"不变",IF(N866=1,"由禁变允","由允变禁"))</x:f>
        <x:v>不变</x:v>
      </x:c>
      <x:c r="P866" s="51" t="str">
        <x:v>OSRM driving/car</x:v>
      </x:c>
      <x:c r="Q866" s="51" t="str">
        <x:v>2026-08-15</x:v>
      </x:c>
      <x:c r="R866" s="51" t="str">
        <x:v>C-开放路网计算；不是货车/危运合规路线</x:v>
      </x:c>
      <x:c r="S866" s="51" t="str">
        <x:v>https://routing.openstreetmap.de/routed-car/</x:v>
      </x:c>
    </x:row>
    <x:row r="867">
      <x:c r="A867" s="51" t="str">
        <x:v>A0863</x:v>
      </x:c>
      <x:c r="B867" s="51" t="str">
        <x:v>C18</x:v>
      </x:c>
      <x:c r="C867" s="51" t="str">
        <x:v>collection</x:v>
      </x:c>
      <x:c r="D867" s="51" t="str">
        <x:v>清远虚拟回收/检测中心</x:v>
      </x:c>
      <x:c r="E867" s="51" t="str">
        <x:v>P13</x:v>
      </x:c>
      <x:c r="F867" s="51" t="str">
        <x:v>recycling</x:v>
      </x:c>
      <x:c r="G867" s="51" t="str">
        <x:v>广东佳纳能源科技有限公司</x:v>
      </x:c>
      <x:c r="H867" s="52" t="n">
        <x:v>0</x:v>
      </x:c>
      <x:c r="I867" s="52" t="n">
        <x:v>0</x:v>
      </x:c>
      <x:c r="J867" s="52" t="n">
        <x:v>0</x:v>
      </x:c>
      <x:c r="K867" s="52" t="str">
        <x:f>IFERROR(I867/H867,"")</x:f>
      </x:c>
      <x:c r="L867" s="52" t="n">
        <x:v>400</x:v>
      </x:c>
      <x:c r="M867" s="65" t="n">
        <x:f>IF(H867&lt;=L867,1,0)</x:f>
        <x:v>1</x:v>
      </x:c>
      <x:c r="N867" s="65" t="n">
        <x:f>IF(I867&lt;=L867,1,0)</x:f>
        <x:v>1</x:v>
      </x:c>
      <x:c r="O867" s="51" t="str">
        <x:f>IF(M867=N867,"不变",IF(N867=1,"由禁变允","由允变禁"))</x:f>
        <x:v>不变</x:v>
      </x:c>
      <x:c r="P867" s="51" t="str">
        <x:v>OSRM driving/car</x:v>
      </x:c>
      <x:c r="Q867" s="51" t="str">
        <x:v>2026-08-15</x:v>
      </x:c>
      <x:c r="R867" s="51" t="str">
        <x:v>C-开放路网计算；不是货车/危运合规路线</x:v>
      </x:c>
      <x:c r="S867" s="51" t="str">
        <x:v>https://routing.openstreetmap.de/routed-car/</x:v>
      </x:c>
    </x:row>
    <x:row r="868">
      <x:c r="A868" s="51" t="str">
        <x:v>A0864</x:v>
      </x:c>
      <x:c r="B868" s="51" t="str">
        <x:v>C18</x:v>
      </x:c>
      <x:c r="C868" s="51" t="str">
        <x:v>collection</x:v>
      </x:c>
      <x:c r="D868" s="51" t="str">
        <x:v>清远虚拟回收/检测中心</x:v>
      </x:c>
      <x:c r="E868" s="51" t="str">
        <x:v>P14</x:v>
      </x:c>
      <x:c r="F868" s="51" t="str">
        <x:v>echelon</x:v>
      </x:c>
      <x:c r="G868" s="51" t="str">
        <x:v>格林美（深圳）循环科技有限公司</x:v>
      </x:c>
      <x:c r="H868" s="52" t="n">
        <x:v>195.61734579697602</x:v>
      </x:c>
      <x:c r="I868" s="52" t="n">
        <x:v>204.8805</x:v>
      </x:c>
      <x:c r="J868" s="52" t="n">
        <x:v>143.91666666666666</x:v>
      </x:c>
      <x:c r="K868" s="52" t="n">
        <x:f>IFERROR(I868/H868,"")</x:f>
        <x:v>1.0473534397743944</x:v>
      </x:c>
      <x:c r="L868" s="52" t="n">
        <x:v>300</x:v>
      </x:c>
      <x:c r="M868" s="65" t="n">
        <x:f>IF(H868&lt;=L868,1,0)</x:f>
        <x:v>1</x:v>
      </x:c>
      <x:c r="N868" s="65" t="n">
        <x:f>IF(I868&lt;=L868,1,0)</x:f>
        <x:v>1</x:v>
      </x:c>
      <x:c r="O868" s="51" t="str">
        <x:f>IF(M868=N868,"不变",IF(N868=1,"由禁变允","由允变禁"))</x:f>
        <x:v>不变</x:v>
      </x:c>
      <x:c r="P868" s="51" t="str">
        <x:v>OSRM driving/car</x:v>
      </x:c>
      <x:c r="Q868" s="51" t="str">
        <x:v>2026-08-15</x:v>
      </x:c>
      <x:c r="R868" s="51" t="str">
        <x:v>C-开放路网计算；不是货车/危运合规路线</x:v>
      </x:c>
      <x:c r="S868" s="51" t="str">
        <x:v>https://routing.openstreetmap.de/routed-car/</x:v>
      </x:c>
    </x:row>
    <x:row r="869">
      <x:c r="A869" s="51" t="str">
        <x:v>A0865</x:v>
      </x:c>
      <x:c r="B869" s="51" t="str">
        <x:v>C18</x:v>
      </x:c>
      <x:c r="C869" s="51" t="str">
        <x:v>collection</x:v>
      </x:c>
      <x:c r="D869" s="51" t="str">
        <x:v>清远虚拟回收/检测中心</x:v>
      </x:c>
      <x:c r="E869" s="51" t="str">
        <x:v>P15</x:v>
      </x:c>
      <x:c r="F869" s="51" t="str">
        <x:v>echelon</x:v>
      </x:c>
      <x:c r="G869" s="51" t="str">
        <x:v>绿循新能源科技（佛山）有限责任公司</x:v>
      </x:c>
      <x:c r="H869" s="52" t="n">
        <x:v>88.3391479847887</x:v>
      </x:c>
      <x:c r="I869" s="52" t="n">
        <x:v>94.902</x:v>
      </x:c>
      <x:c r="J869" s="52" t="n">
        <x:v>73.80666666666666</x:v>
      </x:c>
      <x:c r="K869" s="52" t="n">
        <x:f>IFERROR(I869/H869,"")</x:f>
        <x:v>1.074291547574597</x:v>
      </x:c>
      <x:c r="L869" s="52" t="n">
        <x:v>300</x:v>
      </x:c>
      <x:c r="M869" s="65" t="n">
        <x:f>IF(H869&lt;=L869,1,0)</x:f>
        <x:v>1</x:v>
      </x:c>
      <x:c r="N869" s="65" t="n">
        <x:f>IF(I869&lt;=L869,1,0)</x:f>
        <x:v>1</x:v>
      </x:c>
      <x:c r="O869" s="51" t="str">
        <x:f>IF(M869=N869,"不变",IF(N869=1,"由禁变允","由允变禁"))</x:f>
        <x:v>不变</x:v>
      </x:c>
      <x:c r="P869" s="51" t="str">
        <x:v>OSRM driving/car</x:v>
      </x:c>
      <x:c r="Q869" s="51" t="str">
        <x:v>2026-08-15</x:v>
      </x:c>
      <x:c r="R869" s="51" t="str">
        <x:v>C-开放路网计算；不是货车/危运合规路线</x:v>
      </x:c>
      <x:c r="S869" s="51" t="str">
        <x:v>https://routing.openstreetmap.de/routed-car/</x:v>
      </x:c>
    </x:row>
    <x:row r="870">
      <x:c r="A870" s="51" t="str">
        <x:v>A0866</x:v>
      </x:c>
      <x:c r="B870" s="51" t="str">
        <x:v>C18</x:v>
      </x:c>
      <x:c r="C870" s="51" t="str">
        <x:v>collection</x:v>
      </x:c>
      <x:c r="D870" s="51" t="str">
        <x:v>清远虚拟回收/检测中心</x:v>
      </x:c>
      <x:c r="E870" s="51" t="str">
        <x:v>P16</x:v>
      </x:c>
      <x:c r="F870" s="51" t="str">
        <x:v>echelon</x:v>
      </x:c>
      <x:c r="G870" s="51" t="str">
        <x:v>深圳艾云动智慧科技有限公司</x:v>
      </x:c>
      <x:c r="H870" s="52" t="n">
        <x:v>195.61734579697602</x:v>
      </x:c>
      <x:c r="I870" s="52" t="n">
        <x:v>204.8805</x:v>
      </x:c>
      <x:c r="J870" s="52" t="n">
        <x:v>143.91666666666666</x:v>
      </x:c>
      <x:c r="K870" s="52" t="n">
        <x:f>IFERROR(I870/H870,"")</x:f>
        <x:v>1.0473534397743944</x:v>
      </x:c>
      <x:c r="L870" s="52" t="n">
        <x:v>300</x:v>
      </x:c>
      <x:c r="M870" s="65" t="n">
        <x:f>IF(H870&lt;=L870,1,0)</x:f>
        <x:v>1</x:v>
      </x:c>
      <x:c r="N870" s="65" t="n">
        <x:f>IF(I870&lt;=L870,1,0)</x:f>
        <x:v>1</x:v>
      </x:c>
      <x:c r="O870" s="51" t="str">
        <x:f>IF(M870=N870,"不变",IF(N870=1,"由禁变允","由允变禁"))</x:f>
        <x:v>不变</x:v>
      </x:c>
      <x:c r="P870" s="51" t="str">
        <x:v>OSRM driving/car</x:v>
      </x:c>
      <x:c r="Q870" s="51" t="str">
        <x:v>2026-08-15</x:v>
      </x:c>
      <x:c r="R870" s="51" t="str">
        <x:v>C-开放路网计算；不是货车/危运合规路线</x:v>
      </x:c>
      <x:c r="S870" s="51" t="str">
        <x:v>https://routing.openstreetmap.de/routed-car/</x:v>
      </x:c>
    </x:row>
    <x:row r="871">
      <x:c r="A871" s="51" t="str">
        <x:v>A0867</x:v>
      </x:c>
      <x:c r="B871" s="51" t="str">
        <x:v>C18</x:v>
      </x:c>
      <x:c r="C871" s="51" t="str">
        <x:v>collection</x:v>
      </x:c>
      <x:c r="D871" s="51" t="str">
        <x:v>清远虚拟回收/检测中心</x:v>
      </x:c>
      <x:c r="E871" s="51" t="str">
        <x:v>P17</x:v>
      </x:c>
      <x:c r="F871" s="51" t="str">
        <x:v>echelon</x:v>
      </x:c>
      <x:c r="G871" s="51" t="str">
        <x:v>深圳市荣高晟新能源科技有限公司</x:v>
      </x:c>
      <x:c r="H871" s="52" t="n">
        <x:v>195.61734579697602</x:v>
      </x:c>
      <x:c r="I871" s="52" t="n">
        <x:v>204.8805</x:v>
      </x:c>
      <x:c r="J871" s="52" t="n">
        <x:v>143.91666666666666</x:v>
      </x:c>
      <x:c r="K871" s="52" t="n">
        <x:f>IFERROR(I871/H871,"")</x:f>
        <x:v>1.0473534397743944</x:v>
      </x:c>
      <x:c r="L871" s="52" t="n">
        <x:v>300</x:v>
      </x:c>
      <x:c r="M871" s="65" t="n">
        <x:f>IF(H871&lt;=L871,1,0)</x:f>
        <x:v>1</x:v>
      </x:c>
      <x:c r="N871" s="65" t="n">
        <x:f>IF(I871&lt;=L871,1,0)</x:f>
        <x:v>1</x:v>
      </x:c>
      <x:c r="O871" s="51" t="str">
        <x:f>IF(M871=N871,"不变",IF(N871=1,"由禁变允","由允变禁"))</x:f>
        <x:v>不变</x:v>
      </x:c>
      <x:c r="P871" s="51" t="str">
        <x:v>OSRM driving/car</x:v>
      </x:c>
      <x:c r="Q871" s="51" t="str">
        <x:v>2026-08-15</x:v>
      </x:c>
      <x:c r="R871" s="51" t="str">
        <x:v>C-开放路网计算；不是货车/危运合规路线</x:v>
      </x:c>
      <x:c r="S871" s="51" t="str">
        <x:v>https://routing.openstreetmap.de/routed-car/</x:v>
      </x:c>
    </x:row>
    <x:row r="872">
      <x:c r="A872" s="51" t="str">
        <x:v>A0868</x:v>
      </x:c>
      <x:c r="B872" s="51" t="str">
        <x:v>C18</x:v>
      </x:c>
      <x:c r="C872" s="51" t="str">
        <x:v>collection</x:v>
      </x:c>
      <x:c r="D872" s="51" t="str">
        <x:v>清远虚拟回收/检测中心</x:v>
      </x:c>
      <x:c r="E872" s="51" t="str">
        <x:v>P18</x:v>
      </x:c>
      <x:c r="F872" s="51" t="str">
        <x:v>echelon</x:v>
      </x:c>
      <x:c r="G872" s="51" t="str">
        <x:v>中商锂新能源科技（惠州）有限公司</x:v>
      </x:c>
      <x:c r="H872" s="52" t="n">
        <x:v>183.368389563571</x:v>
      </x:c>
      <x:c r="I872" s="52" t="n">
        <x:v>185.05720000000002</x:v>
      </x:c>
      <x:c r="J872" s="52" t="n">
        <x:v>134.575</x:v>
      </x:c>
      <x:c r="K872" s="52" t="n">
        <x:f>IFERROR(I872/H872,"")</x:f>
        <x:v>1.0092099322050465</x:v>
      </x:c>
      <x:c r="L872" s="52" t="n">
        <x:v>300</x:v>
      </x:c>
      <x:c r="M872" s="65" t="n">
        <x:f>IF(H872&lt;=L872,1,0)</x:f>
        <x:v>1</x:v>
      </x:c>
      <x:c r="N872" s="65" t="n">
        <x:f>IF(I872&lt;=L872,1,0)</x:f>
        <x:v>1</x:v>
      </x:c>
      <x:c r="O872" s="51" t="str">
        <x:f>IF(M872=N872,"不变",IF(N872=1,"由禁变允","由允变禁"))</x:f>
        <x:v>不变</x:v>
      </x:c>
      <x:c r="P872" s="51" t="str">
        <x:v>OSRM driving/car</x:v>
      </x:c>
      <x:c r="Q872" s="51" t="str">
        <x:v>2026-08-15</x:v>
      </x:c>
      <x:c r="R872" s="51" t="str">
        <x:v>C-开放路网计算；不是货车/危运合规路线</x:v>
      </x:c>
      <x:c r="S872" s="51" t="str">
        <x:v>https://routing.openstreetmap.de/routed-car/</x:v>
      </x:c>
    </x:row>
    <x:row r="873">
      <x:c r="A873" s="51" t="str">
        <x:v>A0869</x:v>
      </x:c>
      <x:c r="B873" s="51" t="str">
        <x:v>C18</x:v>
      </x:c>
      <x:c r="C873" s="51" t="str">
        <x:v>collection</x:v>
      </x:c>
      <x:c r="D873" s="51" t="str">
        <x:v>清远虚拟回收/检测中心</x:v>
      </x:c>
      <x:c r="E873" s="51" t="str">
        <x:v>P19</x:v>
      </x:c>
      <x:c r="F873" s="51" t="str">
        <x:v>recycling</x:v>
      </x:c>
      <x:c r="G873" s="51" t="str">
        <x:v>广东盛祥新材料科技有限公司</x:v>
      </x:c>
      <x:c r="H873" s="52" t="n">
        <x:v>179.19087548833554</x:v>
      </x:c>
      <x:c r="I873" s="52" t="n">
        <x:v>180.8531</x:v>
      </x:c>
      <x:c r="J873" s="52" t="n">
        <x:v>141.05</x:v>
      </x:c>
      <x:c r="K873" s="52" t="n">
        <x:f>IFERROR(I873/H873,"")</x:f>
        <x:v>1.0092762787565748</x:v>
      </x:c>
      <x:c r="L873" s="52" t="n">
        <x:v>400</x:v>
      </x:c>
      <x:c r="M873" s="65" t="n">
        <x:f>IF(H873&lt;=L873,1,0)</x:f>
        <x:v>1</x:v>
      </x:c>
      <x:c r="N873" s="65" t="n">
        <x:f>IF(I873&lt;=L873,1,0)</x:f>
        <x:v>1</x:v>
      </x:c>
      <x:c r="O873" s="51" t="str">
        <x:f>IF(M873=N873,"不变",IF(N873=1,"由禁变允","由允变禁"))</x:f>
        <x:v>不变</x:v>
      </x:c>
      <x:c r="P873" s="51" t="str">
        <x:v>OSRM driving/car</x:v>
      </x:c>
      <x:c r="Q873" s="51" t="str">
        <x:v>2026-08-15</x:v>
      </x:c>
      <x:c r="R873" s="51" t="str">
        <x:v>C-开放路网计算；不是货车/危运合规路线</x:v>
      </x:c>
      <x:c r="S873" s="51" t="str">
        <x:v>https://routing.openstreetmap.de/routed-car/</x:v>
      </x:c>
    </x:row>
    <x:row r="874">
      <x:c r="A874" s="51" t="str">
        <x:v>A0870</x:v>
      </x:c>
      <x:c r="B874" s="51" t="str">
        <x:v>C18</x:v>
      </x:c>
      <x:c r="C874" s="51" t="str">
        <x:v>collection</x:v>
      </x:c>
      <x:c r="D874" s="51" t="str">
        <x:v>清远虚拟回收/检测中心</x:v>
      </x:c>
      <x:c r="E874" s="51" t="str">
        <x:v>P20E</x:v>
      </x:c>
      <x:c r="F874" s="51" t="str">
        <x:v>echelon</x:v>
      </x:c>
      <x:c r="G874" s="51" t="str">
        <x:v>广东金晟新能源股份有限公司（梯次功能）</x:v>
      </x:c>
      <x:c r="H874" s="52" t="n">
        <x:v>111.19371737991149</x:v>
      </x:c>
      <x:c r="I874" s="52" t="n">
        <x:v>109.3077</x:v>
      </x:c>
      <x:c r="J874" s="52" t="n">
        <x:v>89.50333333333333</x:v>
      </x:c>
      <x:c r="K874" s="52" t="n">
        <x:f>IFERROR(I874/H874,"")</x:f>
        <x:v>0.9830384537512348</x:v>
      </x:c>
      <x:c r="L874" s="52" t="n">
        <x:v>300</x:v>
      </x:c>
      <x:c r="M874" s="65" t="n">
        <x:f>IF(H874&lt;=L874,1,0)</x:f>
        <x:v>1</x:v>
      </x:c>
      <x:c r="N874" s="65" t="n">
        <x:f>IF(I874&lt;=L874,1,0)</x:f>
        <x:v>1</x:v>
      </x:c>
      <x:c r="O874" s="51" t="str">
        <x:f>IF(M874=N874,"不变",IF(N874=1,"由禁变允","由允变禁"))</x:f>
        <x:v>不变</x:v>
      </x:c>
      <x:c r="P874" s="51" t="str">
        <x:v>OSRM driving/car</x:v>
      </x:c>
      <x:c r="Q874" s="51" t="str">
        <x:v>2026-08-15</x:v>
      </x:c>
      <x:c r="R874" s="51" t="str">
        <x:v>C-开放路网计算；不是货车/危运合规路线</x:v>
      </x:c>
      <x:c r="S874" s="51" t="str">
        <x:v>https://routing.openstreetmap.de/routed-car/</x:v>
      </x:c>
    </x:row>
    <x:row r="875">
      <x:c r="A875" s="51" t="str">
        <x:v>A0871</x:v>
      </x:c>
      <x:c r="B875" s="51" t="str">
        <x:v>C18</x:v>
      </x:c>
      <x:c r="C875" s="51" t="str">
        <x:v>collection</x:v>
      </x:c>
      <x:c r="D875" s="51" t="str">
        <x:v>清远虚拟回收/检测中心</x:v>
      </x:c>
      <x:c r="E875" s="51" t="str">
        <x:v>P20R</x:v>
      </x:c>
      <x:c r="F875" s="51" t="str">
        <x:v>recycling</x:v>
      </x:c>
      <x:c r="G875" s="51" t="str">
        <x:v>广东金晟新能源股份有限公司（再生功能）</x:v>
      </x:c>
      <x:c r="H875" s="52" t="n">
        <x:v>111.19371737991149</x:v>
      </x:c>
      <x:c r="I875" s="52" t="n">
        <x:v>109.3077</x:v>
      </x:c>
      <x:c r="J875" s="52" t="n">
        <x:v>89.50333333333333</x:v>
      </x:c>
      <x:c r="K875" s="52" t="n">
        <x:f>IFERROR(I875/H875,"")</x:f>
        <x:v>0.9830384537512348</x:v>
      </x:c>
      <x:c r="L875" s="52" t="n">
        <x:v>400</x:v>
      </x:c>
      <x:c r="M875" s="65" t="n">
        <x:f>IF(H875&lt;=L875,1,0)</x:f>
        <x:v>1</x:v>
      </x:c>
      <x:c r="N875" s="65" t="n">
        <x:f>IF(I875&lt;=L875,1,0)</x:f>
        <x:v>1</x:v>
      </x:c>
      <x:c r="O875" s="51" t="str">
        <x:f>IF(M875=N875,"不变",IF(N875=1,"由禁变允","由允变禁"))</x:f>
        <x:v>不变</x:v>
      </x:c>
      <x:c r="P875" s="51" t="str">
        <x:v>OSRM driving/car</x:v>
      </x:c>
      <x:c r="Q875" s="51" t="str">
        <x:v>2026-08-15</x:v>
      </x:c>
      <x:c r="R875" s="51" t="str">
        <x:v>C-开放路网计算；不是货车/危运合规路线</x:v>
      </x:c>
      <x:c r="S875" s="51" t="str">
        <x:v>https://routing.openstreetmap.de/routed-car/</x:v>
      </x:c>
    </x:row>
    <x:row r="876">
      <x:c r="A876" s="51" t="str">
        <x:v>A0872</x:v>
      </x:c>
      <x:c r="B876" s="51" t="str">
        <x:v>C18</x:v>
      </x:c>
      <x:c r="C876" s="51" t="str">
        <x:v>collection</x:v>
      </x:c>
      <x:c r="D876" s="51" t="str">
        <x:v>清远虚拟回收/检测中心</x:v>
      </x:c>
      <x:c r="E876" s="51" t="str">
        <x:v>P21E</x:v>
      </x:c>
      <x:c r="F876" s="51" t="str">
        <x:v>echelon</x:v>
      </x:c>
      <x:c r="G876" s="51" t="str">
        <x:v>广东瑞科美电源技术有限公司（梯次功能）</x:v>
      </x:c>
      <x:c r="H876" s="52" t="n">
        <x:v>88.3391479847887</x:v>
      </x:c>
      <x:c r="I876" s="52" t="n">
        <x:v>94.902</x:v>
      </x:c>
      <x:c r="J876" s="52" t="n">
        <x:v>73.80666666666666</x:v>
      </x:c>
      <x:c r="K876" s="52" t="n">
        <x:f>IFERROR(I876/H876,"")</x:f>
        <x:v>1.074291547574597</x:v>
      </x:c>
      <x:c r="L876" s="52" t="n">
        <x:v>300</x:v>
      </x:c>
      <x:c r="M876" s="65" t="n">
        <x:f>IF(H876&lt;=L876,1,0)</x:f>
        <x:v>1</x:v>
      </x:c>
      <x:c r="N876" s="65" t="n">
        <x:f>IF(I876&lt;=L876,1,0)</x:f>
        <x:v>1</x:v>
      </x:c>
      <x:c r="O876" s="51" t="str">
        <x:f>IF(M876=N876,"不变",IF(N876=1,"由禁变允","由允变禁"))</x:f>
        <x:v>不变</x:v>
      </x:c>
      <x:c r="P876" s="51" t="str">
        <x:v>OSRM driving/car</x:v>
      </x:c>
      <x:c r="Q876" s="51" t="str">
        <x:v>2026-08-15</x:v>
      </x:c>
      <x:c r="R876" s="51" t="str">
        <x:v>C-开放路网计算；不是货车/危运合规路线</x:v>
      </x:c>
      <x:c r="S876" s="51" t="str">
        <x:v>https://routing.openstreetmap.de/routed-car/</x:v>
      </x:c>
    </x:row>
    <x:row r="877">
      <x:c r="A877" s="51" t="str">
        <x:v>A0873</x:v>
      </x:c>
      <x:c r="B877" s="51" t="str">
        <x:v>C18</x:v>
      </x:c>
      <x:c r="C877" s="51" t="str">
        <x:v>collection</x:v>
      </x:c>
      <x:c r="D877" s="51" t="str">
        <x:v>清远虚拟回收/检测中心</x:v>
      </x:c>
      <x:c r="E877" s="51" t="str">
        <x:v>P21R</x:v>
      </x:c>
      <x:c r="F877" s="51" t="str">
        <x:v>recycling</x:v>
      </x:c>
      <x:c r="G877" s="51" t="str">
        <x:v>广东瑞科美电源技术有限公司（再生功能）</x:v>
      </x:c>
      <x:c r="H877" s="52" t="n">
        <x:v>88.3391479847887</x:v>
      </x:c>
      <x:c r="I877" s="52" t="n">
        <x:v>94.902</x:v>
      </x:c>
      <x:c r="J877" s="52" t="n">
        <x:v>73.80666666666666</x:v>
      </x:c>
      <x:c r="K877" s="52" t="n">
        <x:f>IFERROR(I877/H877,"")</x:f>
        <x:v>1.074291547574597</x:v>
      </x:c>
      <x:c r="L877" s="52" t="n">
        <x:v>400</x:v>
      </x:c>
      <x:c r="M877" s="65" t="n">
        <x:f>IF(H877&lt;=L877,1,0)</x:f>
        <x:v>1</x:v>
      </x:c>
      <x:c r="N877" s="65" t="n">
        <x:f>IF(I877&lt;=L877,1,0)</x:f>
        <x:v>1</x:v>
      </x:c>
      <x:c r="O877" s="51" t="str">
        <x:f>IF(M877=N877,"不变",IF(N877=1,"由禁变允","由允变禁"))</x:f>
        <x:v>不变</x:v>
      </x:c>
      <x:c r="P877" s="51" t="str">
        <x:v>OSRM driving/car</x:v>
      </x:c>
      <x:c r="Q877" s="51" t="str">
        <x:v>2026-08-15</x:v>
      </x:c>
      <x:c r="R877" s="51" t="str">
        <x:v>C-开放路网计算；不是货车/危运合规路线</x:v>
      </x:c>
      <x:c r="S877" s="51" t="str">
        <x:v>https://routing.openstreetmap.de/routed-car/</x:v>
      </x:c>
    </x:row>
    <x:row r="878">
      <x:c r="A878" s="51" t="str">
        <x:v>A0874</x:v>
      </x:c>
      <x:c r="B878" s="51" t="str">
        <x:v>C19</x:v>
      </x:c>
      <x:c r="C878" s="51" t="str">
        <x:v>collection</x:v>
      </x:c>
      <x:c r="D878" s="51" t="str">
        <x:v>潮州虚拟回收/检测中心</x:v>
      </x:c>
      <x:c r="E878" s="51" t="str">
        <x:v>P01</x:v>
      </x:c>
      <x:c r="F878" s="51" t="str">
        <x:v>recycling</x:v>
      </x:c>
      <x:c r="G878" s="51" t="str">
        <x:v>汕尾比亚迪废旧动力电池回收项目</x:v>
      </x:c>
      <x:c r="H878" s="52" t="n">
        <x:v>190.30362453394847</x:v>
      </x:c>
      <x:c r="I878" s="52" t="n">
        <x:v>185.5768</x:v>
      </x:c>
      <x:c r="J878" s="52" t="n">
        <x:v>132.255</x:v>
      </x:c>
      <x:c r="K878" s="52" t="n">
        <x:f>IFERROR(I878/H878,"")</x:f>
        <x:v>0.9751616683837504</x:v>
      </x:c>
      <x:c r="L878" s="52" t="n">
        <x:v>400</x:v>
      </x:c>
      <x:c r="M878" s="65" t="n">
        <x:f>IF(H878&lt;=L878,1,0)</x:f>
        <x:v>1</x:v>
      </x:c>
      <x:c r="N878" s="65" t="n">
        <x:f>IF(I878&lt;=L878,1,0)</x:f>
        <x:v>1</x:v>
      </x:c>
      <x:c r="O878" s="51" t="str">
        <x:f>IF(M878=N878,"不变",IF(N878=1,"由禁变允","由允变禁"))</x:f>
        <x:v>不变</x:v>
      </x:c>
      <x:c r="P878" s="51" t="str">
        <x:v>OSRM driving/car</x:v>
      </x:c>
      <x:c r="Q878" s="51" t="str">
        <x:v>2026-08-15</x:v>
      </x:c>
      <x:c r="R878" s="51" t="str">
        <x:v>C-开放路网计算；不是货车/危运合规路线</x:v>
      </x:c>
      <x:c r="S878" s="51" t="str">
        <x:v>https://routing.openstreetmap.de/routed-car/</x:v>
      </x:c>
    </x:row>
    <x:row r="879">
      <x:c r="A879" s="51" t="str">
        <x:v>A0875</x:v>
      </x:c>
      <x:c r="B879" s="51" t="str">
        <x:v>C19</x:v>
      </x:c>
      <x:c r="C879" s="51" t="str">
        <x:v>collection</x:v>
      </x:c>
      <x:c r="D879" s="51" t="str">
        <x:v>潮州虚拟回收/检测中心</x:v>
      </x:c>
      <x:c r="E879" s="51" t="str">
        <x:v>P02E</x:v>
      </x:c>
      <x:c r="F879" s="51" t="str">
        <x:v>echelon</x:v>
      </x:c>
      <x:c r="G879" s="51" t="str">
        <x:v>广东光华科技股份有限公司（梯次功能）</x:v>
      </x:c>
      <x:c r="H879" s="52" t="n">
        <x:v>40.66307002511119</x:v>
      </x:c>
      <x:c r="I879" s="52" t="n">
        <x:v>40.9946</x:v>
      </x:c>
      <x:c r="J879" s="52" t="n">
        <x:v>39.92666666666666</x:v>
      </x:c>
      <x:c r="K879" s="52" t="n">
        <x:f>IFERROR(I879/H879,"")</x:f>
        <x:v>1.0081530975079864</x:v>
      </x:c>
      <x:c r="L879" s="52" t="n">
        <x:v>300</x:v>
      </x:c>
      <x:c r="M879" s="65" t="n">
        <x:f>IF(H879&lt;=L879,1,0)</x:f>
        <x:v>1</x:v>
      </x:c>
      <x:c r="N879" s="65" t="n">
        <x:f>IF(I879&lt;=L879,1,0)</x:f>
        <x:v>1</x:v>
      </x:c>
      <x:c r="O879" s="51" t="str">
        <x:f>IF(M879=N879,"不变",IF(N879=1,"由禁变允","由允变禁"))</x:f>
        <x:v>不变</x:v>
      </x:c>
      <x:c r="P879" s="51" t="str">
        <x:v>OSRM driving/car</x:v>
      </x:c>
      <x:c r="Q879" s="51" t="str">
        <x:v>2026-08-15</x:v>
      </x:c>
      <x:c r="R879" s="51" t="str">
        <x:v>C-开放路网计算；不是货车/危运合规路线</x:v>
      </x:c>
      <x:c r="S879" s="51" t="str">
        <x:v>https://routing.openstreetmap.de/routed-car/</x:v>
      </x:c>
    </x:row>
    <x:row r="880">
      <x:c r="A880" s="51" t="str">
        <x:v>A0876</x:v>
      </x:c>
      <x:c r="B880" s="51" t="str">
        <x:v>C19</x:v>
      </x:c>
      <x:c r="C880" s="51" t="str">
        <x:v>collection</x:v>
      </x:c>
      <x:c r="D880" s="51" t="str">
        <x:v>潮州虚拟回收/检测中心</x:v>
      </x:c>
      <x:c r="E880" s="51" t="str">
        <x:v>P02R</x:v>
      </x:c>
      <x:c r="F880" s="51" t="str">
        <x:v>recycling</x:v>
      </x:c>
      <x:c r="G880" s="51" t="str">
        <x:v>广东光华科技股份有限公司（再生功能）</x:v>
      </x:c>
      <x:c r="H880" s="52" t="n">
        <x:v>40.66307002511119</x:v>
      </x:c>
      <x:c r="I880" s="52" t="n">
        <x:v>40.9946</x:v>
      </x:c>
      <x:c r="J880" s="52" t="n">
        <x:v>39.92666666666666</x:v>
      </x:c>
      <x:c r="K880" s="52" t="n">
        <x:f>IFERROR(I880/H880,"")</x:f>
        <x:v>1.0081530975079864</x:v>
      </x:c>
      <x:c r="L880" s="52" t="n">
        <x:v>400</x:v>
      </x:c>
      <x:c r="M880" s="65" t="n">
        <x:f>IF(H880&lt;=L880,1,0)</x:f>
        <x:v>1</x:v>
      </x:c>
      <x:c r="N880" s="65" t="n">
        <x:f>IF(I880&lt;=L880,1,0)</x:f>
        <x:v>1</x:v>
      </x:c>
      <x:c r="O880" s="51" t="str">
        <x:f>IF(M880=N880,"不变",IF(N880=1,"由禁变允","由允变禁"))</x:f>
        <x:v>不变</x:v>
      </x:c>
      <x:c r="P880" s="51" t="str">
        <x:v>OSRM driving/car</x:v>
      </x:c>
      <x:c r="Q880" s="51" t="str">
        <x:v>2026-08-15</x:v>
      </x:c>
      <x:c r="R880" s="51" t="str">
        <x:v>C-开放路网计算；不是货车/危运合规路线</x:v>
      </x:c>
      <x:c r="S880" s="51" t="str">
        <x:v>https://routing.openstreetmap.de/routed-car/</x:v>
      </x:c>
    </x:row>
    <x:row r="881">
      <x:c r="A881" s="51" t="str">
        <x:v>A0877</x:v>
      </x:c>
      <x:c r="B881" s="51" t="str">
        <x:v>C19</x:v>
      </x:c>
      <x:c r="C881" s="51" t="str">
        <x:v>collection</x:v>
      </x:c>
      <x:c r="D881" s="51" t="str">
        <x:v>潮州虚拟回收/检测中心</x:v>
      </x:c>
      <x:c r="E881" s="51" t="str">
        <x:v>P03</x:v>
      </x:c>
      <x:c r="F881" s="51" t="str">
        <x:v>echelon</x:v>
      </x:c>
      <x:c r="G881" s="51" t="str">
        <x:v>深圳深汕特别合作区乾泰技术有限公司</x:v>
      </x:c>
      <x:c r="H881" s="52" t="n">
        <x:v>160.93051256166157</x:v>
      </x:c>
      <x:c r="I881" s="52" t="n">
        <x:v>169.58589999999998</x:v>
      </x:c>
      <x:c r="J881" s="52" t="n">
        <x:v>137.645</x:v>
      </x:c>
      <x:c r="K881" s="52" t="n">
        <x:f>IFERROR(I881/H881,"")</x:f>
        <x:v>1.053783383278681</x:v>
      </x:c>
      <x:c r="L881" s="52" t="n">
        <x:v>300</x:v>
      </x:c>
      <x:c r="M881" s="65" t="n">
        <x:f>IF(H881&lt;=L881,1,0)</x:f>
        <x:v>1</x:v>
      </x:c>
      <x:c r="N881" s="65" t="n">
        <x:f>IF(I881&lt;=L881,1,0)</x:f>
        <x:v>1</x:v>
      </x:c>
      <x:c r="O881" s="51" t="str">
        <x:f>IF(M881=N881,"不变",IF(N881=1,"由禁变允","由允变禁"))</x:f>
        <x:v>不变</x:v>
      </x:c>
      <x:c r="P881" s="51" t="str">
        <x:v>OSRM driving/car</x:v>
      </x:c>
      <x:c r="Q881" s="51" t="str">
        <x:v>2026-08-15</x:v>
      </x:c>
      <x:c r="R881" s="51" t="str">
        <x:v>C-开放路网计算；不是货车/危运合规路线</x:v>
      </x:c>
      <x:c r="S881" s="51" t="str">
        <x:v>https://routing.openstreetmap.de/routed-car/</x:v>
      </x:c>
    </x:row>
    <x:row r="882">
      <x:c r="A882" s="51" t="str">
        <x:v>A0878</x:v>
      </x:c>
      <x:c r="B882" s="51" t="str">
        <x:v>C19</x:v>
      </x:c>
      <x:c r="C882" s="51" t="str">
        <x:v>collection</x:v>
      </x:c>
      <x:c r="D882" s="51" t="str">
        <x:v>潮州虚拟回收/检测中心</x:v>
      </x:c>
      <x:c r="E882" s="51" t="str">
        <x:v>P04</x:v>
      </x:c>
      <x:c r="F882" s="51" t="str">
        <x:v>echelon</x:v>
      </x:c>
      <x:c r="G882" s="51" t="str">
        <x:v>珠海中力新能源科技有限公司</x:v>
      </x:c>
      <x:c r="H882" s="52" t="n">
        <x:v>417.4782471021128</x:v>
      </x:c>
      <x:c r="I882" s="52" t="n">
        <x:v>441.9423</x:v>
      </x:c>
      <x:c r="J882" s="52" t="n">
        <x:v>313.8066666666667</x:v>
      </x:c>
      <x:c r="K882" s="52" t="n">
        <x:f>IFERROR(I882/H882,"")</x:f>
        <x:v>1.0585995870867577</x:v>
      </x:c>
      <x:c r="L882" s="52" t="n">
        <x:v>300</x:v>
      </x:c>
      <x:c r="M882" s="65" t="n">
        <x:f>IF(H882&lt;=L882,1,0)</x:f>
        <x:v>0</x:v>
      </x:c>
      <x:c r="N882" s="65" t="n">
        <x:f>IF(I882&lt;=L882,1,0)</x:f>
        <x:v>0</x:v>
      </x:c>
      <x:c r="O882" s="51" t="str">
        <x:f>IF(M882=N882,"不变",IF(N882=1,"由禁变允","由允变禁"))</x:f>
        <x:v>不变</x:v>
      </x:c>
      <x:c r="P882" s="51" t="str">
        <x:v>OSRM driving/car</x:v>
      </x:c>
      <x:c r="Q882" s="51" t="str">
        <x:v>2026-08-15</x:v>
      </x:c>
      <x:c r="R882" s="51" t="str">
        <x:v>C-开放路网计算；不是货车/危运合规路线</x:v>
      </x:c>
      <x:c r="S882" s="51" t="str">
        <x:v>https://routing.openstreetmap.de/routed-car/</x:v>
      </x:c>
    </x:row>
    <x:row r="883">
      <x:c r="A883" s="51" t="str">
        <x:v>A0879</x:v>
      </x:c>
      <x:c r="B883" s="51" t="str">
        <x:v>C19</x:v>
      </x:c>
      <x:c r="C883" s="51" t="str">
        <x:v>collection</x:v>
      </x:c>
      <x:c r="D883" s="51" t="str">
        <x:v>潮州虚拟回收/检测中心</x:v>
      </x:c>
      <x:c r="E883" s="51" t="str">
        <x:v>P05</x:v>
      </x:c>
      <x:c r="F883" s="51" t="str">
        <x:v>echelon</x:v>
      </x:c>
      <x:c r="G883" s="51" t="str">
        <x:v>惠州市恒创睿能环保科技有限公司</x:v>
      </x:c>
      <x:c r="H883" s="52" t="n">
        <x:v>279.9607688576769</x:v>
      </x:c>
      <x:c r="I883" s="52" t="n">
        <x:v>274.8254</x:v>
      </x:c>
      <x:c r="J883" s="52" t="n">
        <x:v>200.32833333333335</x:v>
      </x:c>
      <x:c r="K883" s="52" t="n">
        <x:f>IFERROR(I883/H883,"")</x:f>
        <x:v>0.9816568268524525</x:v>
      </x:c>
      <x:c r="L883" s="52" t="n">
        <x:v>300</x:v>
      </x:c>
      <x:c r="M883" s="65" t="n">
        <x:f>IF(H883&lt;=L883,1,0)</x:f>
        <x:v>1</x:v>
      </x:c>
      <x:c r="N883" s="65" t="n">
        <x:f>IF(I883&lt;=L883,1,0)</x:f>
        <x:v>1</x:v>
      </x:c>
      <x:c r="O883" s="51" t="str">
        <x:f>IF(M883=N883,"不变",IF(N883=1,"由禁变允","由允变禁"))</x:f>
        <x:v>不变</x:v>
      </x:c>
      <x:c r="P883" s="51" t="str">
        <x:v>OSRM driving/car</x:v>
      </x:c>
      <x:c r="Q883" s="51" t="str">
        <x:v>2026-08-15</x:v>
      </x:c>
      <x:c r="R883" s="51" t="str">
        <x:v>C-开放路网计算；不是货车/危运合规路线</x:v>
      </x:c>
      <x:c r="S883" s="51" t="str">
        <x:v>https://routing.openstreetmap.de/routed-car/</x:v>
      </x:c>
    </x:row>
    <x:row r="884">
      <x:c r="A884" s="51" t="str">
        <x:v>A0880</x:v>
      </x:c>
      <x:c r="B884" s="51" t="str">
        <x:v>C19</x:v>
      </x:c>
      <x:c r="C884" s="51" t="str">
        <x:v>collection</x:v>
      </x:c>
      <x:c r="D884" s="51" t="str">
        <x:v>潮州虚拟回收/检测中心</x:v>
      </x:c>
      <x:c r="E884" s="51" t="str">
        <x:v>P06</x:v>
      </x:c>
      <x:c r="F884" s="51" t="str">
        <x:v>echelon</x:v>
      </x:c>
      <x:c r="G884" s="51" t="str">
        <x:v>江门市朗达锂电池有限公司</x:v>
      </x:c>
      <x:c r="H884" s="52" t="n">
        <x:v>457.9707384090611</x:v>
      </x:c>
      <x:c r="I884" s="52" t="n">
        <x:v>441.4133</x:v>
      </x:c>
      <x:c r="J884" s="52" t="n">
        <x:v>312.53499999999997</x:v>
      </x:c>
      <x:c r="K884" s="52" t="n">
        <x:f>IFERROR(I884/H884,"")</x:f>
        <x:v>0.9638460778813516</x:v>
      </x:c>
      <x:c r="L884" s="52" t="n">
        <x:v>300</x:v>
      </x:c>
      <x:c r="M884" s="65" t="n">
        <x:f>IF(H884&lt;=L884,1,0)</x:f>
        <x:v>0</x:v>
      </x:c>
      <x:c r="N884" s="65" t="n">
        <x:f>IF(I884&lt;=L884,1,0)</x:f>
        <x:v>0</x:v>
      </x:c>
      <x:c r="O884" s="51" t="str">
        <x:f>IF(M884=N884,"不变",IF(N884=1,"由禁变允","由允变禁"))</x:f>
        <x:v>不变</x:v>
      </x:c>
      <x:c r="P884" s="51" t="str">
        <x:v>OSRM driving/car</x:v>
      </x:c>
      <x:c r="Q884" s="51" t="str">
        <x:v>2026-08-15</x:v>
      </x:c>
      <x:c r="R884" s="51" t="str">
        <x:v>C-开放路网计算；不是货车/危运合规路线</x:v>
      </x:c>
      <x:c r="S884" s="51" t="str">
        <x:v>https://routing.openstreetmap.de/routed-car/</x:v>
      </x:c>
    </x:row>
    <x:row r="885">
      <x:c r="A885" s="51" t="str">
        <x:v>A0881</x:v>
      </x:c>
      <x:c r="B885" s="51" t="str">
        <x:v>C19</x:v>
      </x:c>
      <x:c r="C885" s="51" t="str">
        <x:v>collection</x:v>
      </x:c>
      <x:c r="D885" s="51" t="str">
        <x:v>潮州虚拟回收/检测中心</x:v>
      </x:c>
      <x:c r="E885" s="51" t="str">
        <x:v>P07</x:v>
      </x:c>
      <x:c r="F885" s="51" t="str">
        <x:v>echelon</x:v>
      </x:c>
      <x:c r="G885" s="51" t="str">
        <x:v>广东迪度新能源有限公司</x:v>
      </x:c>
      <x:c r="H885" s="52" t="n">
        <x:v>362.40036847399165</x:v>
      </x:c>
      <x:c r="I885" s="52" t="n">
        <x:v>350.4906</x:v>
      </x:c>
      <x:c r="J885" s="52" t="n">
        <x:v>242.985</x:v>
      </x:c>
      <x:c r="K885" s="52" t="n">
        <x:f>IFERROR(I885/H885,"")</x:f>
        <x:v>0.9671364338724551</x:v>
      </x:c>
      <x:c r="L885" s="52" t="n">
        <x:v>300</x:v>
      </x:c>
      <x:c r="M885" s="65" t="n">
        <x:f>IF(H885&lt;=L885,1,0)</x:f>
        <x:v>0</x:v>
      </x:c>
      <x:c r="N885" s="65" t="n">
        <x:f>IF(I885&lt;=L885,1,0)</x:f>
        <x:v>0</x:v>
      </x:c>
      <x:c r="O885" s="51" t="str">
        <x:f>IF(M885=N885,"不变",IF(N885=1,"由禁变允","由允变禁"))</x:f>
        <x:v>不变</x:v>
      </x:c>
      <x:c r="P885" s="51" t="str">
        <x:v>OSRM driving/car</x:v>
      </x:c>
      <x:c r="Q885" s="51" t="str">
        <x:v>2026-08-15</x:v>
      </x:c>
      <x:c r="R885" s="51" t="str">
        <x:v>C-开放路网计算；不是货车/危运合规路线</x:v>
      </x:c>
      <x:c r="S885" s="51" t="str">
        <x:v>https://routing.openstreetmap.de/routed-car/</x:v>
      </x:c>
    </x:row>
    <x:row r="886">
      <x:c r="A886" s="51" t="str">
        <x:v>A0882</x:v>
      </x:c>
      <x:c r="B886" s="51" t="str">
        <x:v>C19</x:v>
      </x:c>
      <x:c r="C886" s="51" t="str">
        <x:v>collection</x:v>
      </x:c>
      <x:c r="D886" s="51" t="str">
        <x:v>潮州虚拟回收/检测中心</x:v>
      </x:c>
      <x:c r="E886" s="51" t="str">
        <x:v>P08</x:v>
      </x:c>
      <x:c r="F886" s="51" t="str">
        <x:v>echelon</x:v>
      </x:c>
      <x:c r="G886" s="51" t="str">
        <x:v>东莞市博森新能源有限公司</x:v>
      </x:c>
      <x:c r="H886" s="52" t="n">
        <x:v>362.40036847399165</x:v>
      </x:c>
      <x:c r="I886" s="52" t="n">
        <x:v>350.4906</x:v>
      </x:c>
      <x:c r="J886" s="52" t="n">
        <x:v>242.985</x:v>
      </x:c>
      <x:c r="K886" s="52" t="n">
        <x:f>IFERROR(I886/H886,"")</x:f>
        <x:v>0.9671364338724551</x:v>
      </x:c>
      <x:c r="L886" s="52" t="n">
        <x:v>300</x:v>
      </x:c>
      <x:c r="M886" s="65" t="n">
        <x:f>IF(H886&lt;=L886,1,0)</x:f>
        <x:v>0</x:v>
      </x:c>
      <x:c r="N886" s="65" t="n">
        <x:f>IF(I886&lt;=L886,1,0)</x:f>
        <x:v>0</x:v>
      </x:c>
      <x:c r="O886" s="51" t="str">
        <x:f>IF(M886=N886,"不变",IF(N886=1,"由禁变允","由允变禁"))</x:f>
        <x:v>不变</x:v>
      </x:c>
      <x:c r="P886" s="51" t="str">
        <x:v>OSRM driving/car</x:v>
      </x:c>
      <x:c r="Q886" s="51" t="str">
        <x:v>2026-08-15</x:v>
      </x:c>
      <x:c r="R886" s="51" t="str">
        <x:v>C-开放路网计算；不是货车/危运合规路线</x:v>
      </x:c>
      <x:c r="S886" s="51" t="str">
        <x:v>https://routing.openstreetmap.de/routed-car/</x:v>
      </x:c>
    </x:row>
    <x:row r="887">
      <x:c r="A887" s="51" t="str">
        <x:v>A0883</x:v>
      </x:c>
      <x:c r="B887" s="51" t="str">
        <x:v>C19</x:v>
      </x:c>
      <x:c r="C887" s="51" t="str">
        <x:v>collection</x:v>
      </x:c>
      <x:c r="D887" s="51" t="str">
        <x:v>潮州虚拟回收/检测中心</x:v>
      </x:c>
      <x:c r="E887" s="51" t="str">
        <x:v>P09</x:v>
      </x:c>
      <x:c r="F887" s="51" t="str">
        <x:v>echelon</x:v>
      </x:c>
      <x:c r="G887" s="51" t="str">
        <x:v>广东宇阳新能源有限公司</x:v>
      </x:c>
      <x:c r="H887" s="52" t="n">
        <x:v>362.40036847399165</x:v>
      </x:c>
      <x:c r="I887" s="52" t="n">
        <x:v>350.4906</x:v>
      </x:c>
      <x:c r="J887" s="52" t="n">
        <x:v>242.985</x:v>
      </x:c>
      <x:c r="K887" s="52" t="n">
        <x:f>IFERROR(I887/H887,"")</x:f>
        <x:v>0.9671364338724551</x:v>
      </x:c>
      <x:c r="L887" s="52" t="n">
        <x:v>300</x:v>
      </x:c>
      <x:c r="M887" s="65" t="n">
        <x:f>IF(H887&lt;=L887,1,0)</x:f>
        <x:v>0</x:v>
      </x:c>
      <x:c r="N887" s="65" t="n">
        <x:f>IF(I887&lt;=L887,1,0)</x:f>
        <x:v>0</x:v>
      </x:c>
      <x:c r="O887" s="51" t="str">
        <x:f>IF(M887=N887,"不变",IF(N887=1,"由禁变允","由允变禁"))</x:f>
        <x:v>不变</x:v>
      </x:c>
      <x:c r="P887" s="51" t="str">
        <x:v>OSRM driving/car</x:v>
      </x:c>
      <x:c r="Q887" s="51" t="str">
        <x:v>2026-08-15</x:v>
      </x:c>
      <x:c r="R887" s="51" t="str">
        <x:v>C-开放路网计算；不是货车/危运合规路线</x:v>
      </x:c>
      <x:c r="S887" s="51" t="str">
        <x:v>https://routing.openstreetmap.de/routed-car/</x:v>
      </x:c>
    </x:row>
    <x:row r="888">
      <x:c r="A888" s="51" t="str">
        <x:v>A0884</x:v>
      </x:c>
      <x:c r="B888" s="51" t="str">
        <x:v>C19</x:v>
      </x:c>
      <x:c r="C888" s="51" t="str">
        <x:v>collection</x:v>
      </x:c>
      <x:c r="D888" s="51" t="str">
        <x:v>潮州虚拟回收/检测中心</x:v>
      </x:c>
      <x:c r="E888" s="51" t="str">
        <x:v>P10</x:v>
      </x:c>
      <x:c r="F888" s="51" t="str">
        <x:v>echelon</x:v>
      </x:c>
      <x:c r="G888" s="51" t="str">
        <x:v>广州广汽商贸再生资源有限公司</x:v>
      </x:c>
      <x:c r="H888" s="52" t="n">
        <x:v>417.6343351726079</x:v>
      </x:c>
      <x:c r="I888" s="52" t="n">
        <x:v>402.3869</x:v>
      </x:c>
      <x:c r="J888" s="52" t="n">
        <x:v>280.30333333333334</x:v>
      </x:c>
      <x:c r="K888" s="52" t="n">
        <x:f>IFERROR(I888/H888,"")</x:f>
        <x:v>0.9634909443776788</x:v>
      </x:c>
      <x:c r="L888" s="52" t="n">
        <x:v>300</x:v>
      </x:c>
      <x:c r="M888" s="65" t="n">
        <x:f>IF(H888&lt;=L888,1,0)</x:f>
        <x:v>0</x:v>
      </x:c>
      <x:c r="N888" s="65" t="n">
        <x:f>IF(I888&lt;=L888,1,0)</x:f>
        <x:v>0</x:v>
      </x:c>
      <x:c r="O888" s="51" t="str">
        <x:f>IF(M888=N888,"不变",IF(N888=1,"由禁变允","由允变禁"))</x:f>
        <x:v>不变</x:v>
      </x:c>
      <x:c r="P888" s="51" t="str">
        <x:v>OSRM driving/car</x:v>
      </x:c>
      <x:c r="Q888" s="51" t="str">
        <x:v>2026-08-15</x:v>
      </x:c>
      <x:c r="R888" s="51" t="str">
        <x:v>C-开放路网计算；不是货车/危运合规路线</x:v>
      </x:c>
      <x:c r="S888" s="51" t="str">
        <x:v>https://routing.openstreetmap.de/routed-car/</x:v>
      </x:c>
    </x:row>
    <x:row r="889">
      <x:c r="A889" s="51" t="str">
        <x:v>A0885</x:v>
      </x:c>
      <x:c r="B889" s="51" t="str">
        <x:v>C19</x:v>
      </x:c>
      <x:c r="C889" s="51" t="str">
        <x:v>collection</x:v>
      </x:c>
      <x:c r="D889" s="51" t="str">
        <x:v>潮州虚拟回收/检测中心</x:v>
      </x:c>
      <x:c r="E889" s="51" t="str">
        <x:v>P11</x:v>
      </x:c>
      <x:c r="F889" s="51" t="str">
        <x:v>echelon</x:v>
      </x:c>
      <x:c r="G889" s="51" t="str">
        <x:v>深圳市杰成镍钴新能源科技有限公司</x:v>
      </x:c>
      <x:c r="H889" s="52" t="n">
        <x:v>348.1177194815358</x:v>
      </x:c>
      <x:c r="I889" s="52" t="n">
        <x:v>330.90479999999997</x:v>
      </x:c>
      <x:c r="J889" s="52" t="n">
        <x:v>235.79500000000002</x:v>
      </x:c>
      <x:c r="K889" s="52" t="n">
        <x:f>IFERROR(I889/H889,"")</x:f>
        <x:v>0.9505543139051593</x:v>
      </x:c>
      <x:c r="L889" s="52" t="n">
        <x:v>300</x:v>
      </x:c>
      <x:c r="M889" s="65" t="n">
        <x:f>IF(H889&lt;=L889,1,0)</x:f>
        <x:v>0</x:v>
      </x:c>
      <x:c r="N889" s="65" t="n">
        <x:f>IF(I889&lt;=L889,1,0)</x:f>
        <x:v>0</x:v>
      </x:c>
      <x:c r="O889" s="51" t="str">
        <x:f>IF(M889=N889,"不变",IF(N889=1,"由禁变允","由允变禁"))</x:f>
        <x:v>不变</x:v>
      </x:c>
      <x:c r="P889" s="51" t="str">
        <x:v>OSRM driving/car</x:v>
      </x:c>
      <x:c r="Q889" s="51" t="str">
        <x:v>2026-08-15</x:v>
      </x:c>
      <x:c r="R889" s="51" t="str">
        <x:v>C-开放路网计算；不是货车/危运合规路线</x:v>
      </x:c>
      <x:c r="S889" s="51" t="str">
        <x:v>https://routing.openstreetmap.de/routed-car/</x:v>
      </x:c>
    </x:row>
    <x:row r="890">
      <x:c r="A890" s="51" t="str">
        <x:v>A0886</x:v>
      </x:c>
      <x:c r="B890" s="51" t="str">
        <x:v>C19</x:v>
      </x:c>
      <x:c r="C890" s="51" t="str">
        <x:v>collection</x:v>
      </x:c>
      <x:c r="D890" s="51" t="str">
        <x:v>潮州虚拟回收/检测中心</x:v>
      </x:c>
      <x:c r="E890" s="51" t="str">
        <x:v>P12</x:v>
      </x:c>
      <x:c r="F890" s="51" t="str">
        <x:v>recycling</x:v>
      </x:c>
      <x:c r="G890" s="51" t="str">
        <x:v>江门市恒创睿能环保科技有限公司</x:v>
      </x:c>
      <x:c r="H890" s="52" t="n">
        <x:v>457.9707384090611</x:v>
      </x:c>
      <x:c r="I890" s="52" t="n">
        <x:v>441.4133</x:v>
      </x:c>
      <x:c r="J890" s="52" t="n">
        <x:v>312.53499999999997</x:v>
      </x:c>
      <x:c r="K890" s="52" t="n">
        <x:f>IFERROR(I890/H890,"")</x:f>
        <x:v>0.9638460778813516</x:v>
      </x:c>
      <x:c r="L890" s="52" t="n">
        <x:v>400</x:v>
      </x:c>
      <x:c r="M890" s="65" t="n">
        <x:f>IF(H890&lt;=L890,1,0)</x:f>
        <x:v>0</x:v>
      </x:c>
      <x:c r="N890" s="65" t="n">
        <x:f>IF(I890&lt;=L890,1,0)</x:f>
        <x:v>0</x:v>
      </x:c>
      <x:c r="O890" s="51" t="str">
        <x:f>IF(M890=N890,"不变",IF(N890=1,"由禁变允","由允变禁"))</x:f>
        <x:v>不变</x:v>
      </x:c>
      <x:c r="P890" s="51" t="str">
        <x:v>OSRM driving/car</x:v>
      </x:c>
      <x:c r="Q890" s="51" t="str">
        <x:v>2026-08-15</x:v>
      </x:c>
      <x:c r="R890" s="51" t="str">
        <x:v>C-开放路网计算；不是货车/危运合规路线</x:v>
      </x:c>
      <x:c r="S890" s="51" t="str">
        <x:v>https://routing.openstreetmap.de/routed-car/</x:v>
      </x:c>
    </x:row>
    <x:row r="891">
      <x:c r="A891" s="51" t="str">
        <x:v>A0887</x:v>
      </x:c>
      <x:c r="B891" s="51" t="str">
        <x:v>C19</x:v>
      </x:c>
      <x:c r="C891" s="51" t="str">
        <x:v>collection</x:v>
      </x:c>
      <x:c r="D891" s="51" t="str">
        <x:v>潮州虚拟回收/检测中心</x:v>
      </x:c>
      <x:c r="E891" s="51" t="str">
        <x:v>P13</x:v>
      </x:c>
      <x:c r="F891" s="51" t="str">
        <x:v>recycling</x:v>
      </x:c>
      <x:c r="G891" s="51" t="str">
        <x:v>广东佳纳能源科技有限公司</x:v>
      </x:c>
      <x:c r="H891" s="52" t="n">
        <x:v>436.26608004764904</x:v>
      </x:c>
      <x:c r="I891" s="52" t="n">
        <x:v>414.7952</x:v>
      </x:c>
      <x:c r="J891" s="52" t="n">
        <x:v>296.29833333333335</x:v>
      </x:c>
      <x:c r="K891" s="52" t="n">
        <x:f>IFERROR(I891/H891,"")</x:f>
        <x:v>0.95078489703966</x:v>
      </x:c>
      <x:c r="L891" s="52" t="n">
        <x:v>400</x:v>
      </x:c>
      <x:c r="M891" s="65" t="n">
        <x:f>IF(H891&lt;=L891,1,0)</x:f>
        <x:v>0</x:v>
      </x:c>
      <x:c r="N891" s="65" t="n">
        <x:f>IF(I891&lt;=L891,1,0)</x:f>
        <x:v>0</x:v>
      </x:c>
      <x:c r="O891" s="51" t="str">
        <x:f>IF(M891=N891,"不变",IF(N891=1,"由禁变允","由允变禁"))</x:f>
        <x:v>不变</x:v>
      </x:c>
      <x:c r="P891" s="51" t="str">
        <x:v>OSRM driving/car</x:v>
      </x:c>
      <x:c r="Q891" s="51" t="str">
        <x:v>2026-08-15</x:v>
      </x:c>
      <x:c r="R891" s="51" t="str">
        <x:v>C-开放路网计算；不是货车/危运合规路线</x:v>
      </x:c>
      <x:c r="S891" s="51" t="str">
        <x:v>https://routing.openstreetmap.de/routed-car/</x:v>
      </x:c>
    </x:row>
    <x:row r="892">
      <x:c r="A892" s="51" t="str">
        <x:v>A0888</x:v>
      </x:c>
      <x:c r="B892" s="51" t="str">
        <x:v>C19</x:v>
      </x:c>
      <x:c r="C892" s="51" t="str">
        <x:v>collection</x:v>
      </x:c>
      <x:c r="D892" s="51" t="str">
        <x:v>潮州虚拟回收/检测中心</x:v>
      </x:c>
      <x:c r="E892" s="51" t="str">
        <x:v>P14</x:v>
      </x:c>
      <x:c r="F892" s="51" t="str">
        <x:v>echelon</x:v>
      </x:c>
      <x:c r="G892" s="51" t="str">
        <x:v>格林美（深圳）循环科技有限公司</x:v>
      </x:c>
      <x:c r="H892" s="52" t="n">
        <x:v>348.1177194815358</x:v>
      </x:c>
      <x:c r="I892" s="52" t="n">
        <x:v>330.90479999999997</x:v>
      </x:c>
      <x:c r="J892" s="52" t="n">
        <x:v>235.79500000000002</x:v>
      </x:c>
      <x:c r="K892" s="52" t="n">
        <x:f>IFERROR(I892/H892,"")</x:f>
        <x:v>0.9505543139051593</x:v>
      </x:c>
      <x:c r="L892" s="52" t="n">
        <x:v>300</x:v>
      </x:c>
      <x:c r="M892" s="65" t="n">
        <x:f>IF(H892&lt;=L892,1,0)</x:f>
        <x:v>0</x:v>
      </x:c>
      <x:c r="N892" s="65" t="n">
        <x:f>IF(I892&lt;=L892,1,0)</x:f>
        <x:v>0</x:v>
      </x:c>
      <x:c r="O892" s="51" t="str">
        <x:f>IF(M892=N892,"不变",IF(N892=1,"由禁变允","由允变禁"))</x:f>
        <x:v>不变</x:v>
      </x:c>
      <x:c r="P892" s="51" t="str">
        <x:v>OSRM driving/car</x:v>
      </x:c>
      <x:c r="Q892" s="51" t="str">
        <x:v>2026-08-15</x:v>
      </x:c>
      <x:c r="R892" s="51" t="str">
        <x:v>C-开放路网计算；不是货车/危运合规路线</x:v>
      </x:c>
      <x:c r="S892" s="51" t="str">
        <x:v>https://routing.openstreetmap.de/routed-car/</x:v>
      </x:c>
    </x:row>
    <x:row r="893">
      <x:c r="A893" s="51" t="str">
        <x:v>A0889</x:v>
      </x:c>
      <x:c r="B893" s="51" t="str">
        <x:v>C19</x:v>
      </x:c>
      <x:c r="C893" s="51" t="str">
        <x:v>collection</x:v>
      </x:c>
      <x:c r="D893" s="51" t="str">
        <x:v>潮州虚拟回收/检测中心</x:v>
      </x:c>
      <x:c r="E893" s="51" t="str">
        <x:v>P15</x:v>
      </x:c>
      <x:c r="F893" s="51" t="str">
        <x:v>echelon</x:v>
      </x:c>
      <x:c r="G893" s="51" t="str">
        <x:v>绿循新能源科技（佛山）有限责任公司</x:v>
      </x:c>
      <x:c r="H893" s="52" t="n">
        <x:v>437.5544631248995</x:v>
      </x:c>
      <x:c r="I893" s="52" t="n">
        <x:v>428.2513</x:v>
      </x:c>
      <x:c r="J893" s="52" t="n">
        <x:v>298.65</x:v>
      </x:c>
      <x:c r="K893" s="52" t="n">
        <x:f>IFERROR(I893/H893,"")</x:f>
        <x:v>0.9787382739546097</x:v>
      </x:c>
      <x:c r="L893" s="52" t="n">
        <x:v>300</x:v>
      </x:c>
      <x:c r="M893" s="65" t="n">
        <x:f>IF(H893&lt;=L893,1,0)</x:f>
        <x:v>0</x:v>
      </x:c>
      <x:c r="N893" s="65" t="n">
        <x:f>IF(I893&lt;=L893,1,0)</x:f>
        <x:v>0</x:v>
      </x:c>
      <x:c r="O893" s="51" t="str">
        <x:f>IF(M893=N893,"不变",IF(N893=1,"由禁变允","由允变禁"))</x:f>
        <x:v>不变</x:v>
      </x:c>
      <x:c r="P893" s="51" t="str">
        <x:v>OSRM driving/car</x:v>
      </x:c>
      <x:c r="Q893" s="51" t="str">
        <x:v>2026-08-15</x:v>
      </x:c>
      <x:c r="R893" s="51" t="str">
        <x:v>C-开放路网计算；不是货车/危运合规路线</x:v>
      </x:c>
      <x:c r="S893" s="51" t="str">
        <x:v>https://routing.openstreetmap.de/routed-car/</x:v>
      </x:c>
    </x:row>
    <x:row r="894">
      <x:c r="A894" s="51" t="str">
        <x:v>A0890</x:v>
      </x:c>
      <x:c r="B894" s="51" t="str">
        <x:v>C19</x:v>
      </x:c>
      <x:c r="C894" s="51" t="str">
        <x:v>collection</x:v>
      </x:c>
      <x:c r="D894" s="51" t="str">
        <x:v>潮州虚拟回收/检测中心</x:v>
      </x:c>
      <x:c r="E894" s="51" t="str">
        <x:v>P16</x:v>
      </x:c>
      <x:c r="F894" s="51" t="str">
        <x:v>echelon</x:v>
      </x:c>
      <x:c r="G894" s="51" t="str">
        <x:v>深圳艾云动智慧科技有限公司</x:v>
      </x:c>
      <x:c r="H894" s="52" t="n">
        <x:v>348.1177194815358</x:v>
      </x:c>
      <x:c r="I894" s="52" t="n">
        <x:v>330.90479999999997</x:v>
      </x:c>
      <x:c r="J894" s="52" t="n">
        <x:v>235.79500000000002</x:v>
      </x:c>
      <x:c r="K894" s="52" t="n">
        <x:f>IFERROR(I894/H894,"")</x:f>
        <x:v>0.9505543139051593</x:v>
      </x:c>
      <x:c r="L894" s="52" t="n">
        <x:v>300</x:v>
      </x:c>
      <x:c r="M894" s="65" t="n">
        <x:f>IF(H894&lt;=L894,1,0)</x:f>
        <x:v>0</x:v>
      </x:c>
      <x:c r="N894" s="65" t="n">
        <x:f>IF(I894&lt;=L894,1,0)</x:f>
        <x:v>0</x:v>
      </x:c>
      <x:c r="O894" s="51" t="str">
        <x:f>IF(M894=N894,"不变",IF(N894=1,"由禁变允","由允变禁"))</x:f>
        <x:v>不变</x:v>
      </x:c>
      <x:c r="P894" s="51" t="str">
        <x:v>OSRM driving/car</x:v>
      </x:c>
      <x:c r="Q894" s="51" t="str">
        <x:v>2026-08-15</x:v>
      </x:c>
      <x:c r="R894" s="51" t="str">
        <x:v>C-开放路网计算；不是货车/危运合规路线</x:v>
      </x:c>
      <x:c r="S894" s="51" t="str">
        <x:v>https://routing.openstreetmap.de/routed-car/</x:v>
      </x:c>
    </x:row>
    <x:row r="895">
      <x:c r="A895" s="51" t="str">
        <x:v>A0891</x:v>
      </x:c>
      <x:c r="B895" s="51" t="str">
        <x:v>C19</x:v>
      </x:c>
      <x:c r="C895" s="51" t="str">
        <x:v>collection</x:v>
      </x:c>
      <x:c r="D895" s="51" t="str">
        <x:v>潮州虚拟回收/检测中心</x:v>
      </x:c>
      <x:c r="E895" s="51" t="str">
        <x:v>P17</x:v>
      </x:c>
      <x:c r="F895" s="51" t="str">
        <x:v>echelon</x:v>
      </x:c>
      <x:c r="G895" s="51" t="str">
        <x:v>深圳市荣高晟新能源科技有限公司</x:v>
      </x:c>
      <x:c r="H895" s="52" t="n">
        <x:v>348.1177194815358</x:v>
      </x:c>
      <x:c r="I895" s="52" t="n">
        <x:v>330.90479999999997</x:v>
      </x:c>
      <x:c r="J895" s="52" t="n">
        <x:v>235.79500000000002</x:v>
      </x:c>
      <x:c r="K895" s="52" t="n">
        <x:f>IFERROR(I895/H895,"")</x:f>
        <x:v>0.9505543139051593</x:v>
      </x:c>
      <x:c r="L895" s="52" t="n">
        <x:v>300</x:v>
      </x:c>
      <x:c r="M895" s="65" t="n">
        <x:f>IF(H895&lt;=L895,1,0)</x:f>
        <x:v>0</x:v>
      </x:c>
      <x:c r="N895" s="65" t="n">
        <x:f>IF(I895&lt;=L895,1,0)</x:f>
        <x:v>0</x:v>
      </x:c>
      <x:c r="O895" s="51" t="str">
        <x:f>IF(M895=N895,"不变",IF(N895=1,"由禁变允","由允变禁"))</x:f>
        <x:v>不变</x:v>
      </x:c>
      <x:c r="P895" s="51" t="str">
        <x:v>OSRM driving/car</x:v>
      </x:c>
      <x:c r="Q895" s="51" t="str">
        <x:v>2026-08-15</x:v>
      </x:c>
      <x:c r="R895" s="51" t="str">
        <x:v>C-开放路网计算；不是货车/危运合规路线</x:v>
      </x:c>
      <x:c r="S895" s="51" t="str">
        <x:v>https://routing.openstreetmap.de/routed-car/</x:v>
      </x:c>
    </x:row>
    <x:row r="896">
      <x:c r="A896" s="51" t="str">
        <x:v>A0892</x:v>
      </x:c>
      <x:c r="B896" s="51" t="str">
        <x:v>C19</x:v>
      </x:c>
      <x:c r="C896" s="51" t="str">
        <x:v>collection</x:v>
      </x:c>
      <x:c r="D896" s="51" t="str">
        <x:v>潮州虚拟回收/检测中心</x:v>
      </x:c>
      <x:c r="E896" s="51" t="str">
        <x:v>P18</x:v>
      </x:c>
      <x:c r="F896" s="51" t="str">
        <x:v>echelon</x:v>
      </x:c>
      <x:c r="G896" s="51" t="str">
        <x:v>中商锂新能源科技（惠州）有限公司</x:v>
      </x:c>
      <x:c r="H896" s="52" t="n">
        <x:v>279.9607688576769</x:v>
      </x:c>
      <x:c r="I896" s="52" t="n">
        <x:v>274.8254</x:v>
      </x:c>
      <x:c r="J896" s="52" t="n">
        <x:v>200.32833333333335</x:v>
      </x:c>
      <x:c r="K896" s="52" t="n">
        <x:f>IFERROR(I896/H896,"")</x:f>
        <x:v>0.9816568268524525</x:v>
      </x:c>
      <x:c r="L896" s="52" t="n">
        <x:v>300</x:v>
      </x:c>
      <x:c r="M896" s="65" t="n">
        <x:f>IF(H896&lt;=L896,1,0)</x:f>
        <x:v>1</x:v>
      </x:c>
      <x:c r="N896" s="65" t="n">
        <x:f>IF(I896&lt;=L896,1,0)</x:f>
        <x:v>1</x:v>
      </x:c>
      <x:c r="O896" s="51" t="str">
        <x:f>IF(M896=N896,"不变",IF(N896=1,"由禁变允","由允变禁"))</x:f>
        <x:v>不变</x:v>
      </x:c>
      <x:c r="P896" s="51" t="str">
        <x:v>OSRM driving/car</x:v>
      </x:c>
      <x:c r="Q896" s="51" t="str">
        <x:v>2026-08-15</x:v>
      </x:c>
      <x:c r="R896" s="51" t="str">
        <x:v>C-开放路网计算；不是货车/危运合规路线</x:v>
      </x:c>
      <x:c r="S896" s="51" t="str">
        <x:v>https://routing.openstreetmap.de/routed-car/</x:v>
      </x:c>
    </x:row>
    <x:row r="897">
      <x:c r="A897" s="51" t="str">
        <x:v>A0893</x:v>
      </x:c>
      <x:c r="B897" s="51" t="str">
        <x:v>C19</x:v>
      </x:c>
      <x:c r="C897" s="51" t="str">
        <x:v>collection</x:v>
      </x:c>
      <x:c r="D897" s="51" t="str">
        <x:v>潮州虚拟回收/检测中心</x:v>
      </x:c>
      <x:c r="E897" s="51" t="str">
        <x:v>P19</x:v>
      </x:c>
      <x:c r="F897" s="51" t="str">
        <x:v>recycling</x:v>
      </x:c>
      <x:c r="G897" s="51" t="str">
        <x:v>广东盛祥新材料科技有限公司</x:v>
      </x:c>
      <x:c r="H897" s="52" t="n">
        <x:v>375.50319781414925</x:v>
      </x:c>
      <x:c r="I897" s="52" t="n">
        <x:v>417.6153</x:v>
      </x:c>
      <x:c r="J897" s="52" t="n">
        <x:v>308.53499999999997</x:v>
      </x:c>
      <x:c r="K897" s="52" t="n">
        <x:f>IFERROR(I897/H897,"")</x:f>
        <x:v>1.1121484515471254</x:v>
      </x:c>
      <x:c r="L897" s="52" t="n">
        <x:v>400</x:v>
      </x:c>
      <x:c r="M897" s="65" t="n">
        <x:f>IF(H897&lt;=L897,1,0)</x:f>
        <x:v>1</x:v>
      </x:c>
      <x:c r="N897" s="65" t="n">
        <x:f>IF(I897&lt;=L897,1,0)</x:f>
        <x:v>0</x:v>
      </x:c>
      <x:c r="O897" s="51" t="str">
        <x:f>IF(M897=N897,"不变",IF(N897=1,"由禁变允","由允变禁"))</x:f>
        <x:v>由允变禁</x:v>
      </x:c>
      <x:c r="P897" s="51" t="str">
        <x:v>OSRM driving/car</x:v>
      </x:c>
      <x:c r="Q897" s="51" t="str">
        <x:v>2026-08-15</x:v>
      </x:c>
      <x:c r="R897" s="51" t="str">
        <x:v>C-开放路网计算；不是货车/危运合规路线</x:v>
      </x:c>
      <x:c r="S897" s="51" t="str">
        <x:v>https://routing.openstreetmap.de/routed-car/</x:v>
      </x:c>
    </x:row>
    <x:row r="898">
      <x:c r="A898" s="51" t="str">
        <x:v>A0894</x:v>
      </x:c>
      <x:c r="B898" s="51" t="str">
        <x:v>C19</x:v>
      </x:c>
      <x:c r="C898" s="51" t="str">
        <x:v>collection</x:v>
      </x:c>
      <x:c r="D898" s="51" t="str">
        <x:v>潮州虚拟回收/检测中心</x:v>
      </x:c>
      <x:c r="E898" s="51" t="str">
        <x:v>P20E</x:v>
      </x:c>
      <x:c r="F898" s="51" t="str">
        <x:v>echelon</x:v>
      </x:c>
      <x:c r="G898" s="51" t="str">
        <x:v>广东金晟新能源股份有限公司（梯次功能）</x:v>
      </x:c>
      <x:c r="H898" s="52" t="n">
        <x:v>515.9814766304124</x:v>
      </x:c>
      <x:c r="I898" s="52" t="n">
        <x:v>497.6209</x:v>
      </x:c>
      <x:c r="J898" s="52" t="n">
        <x:v>349.06666666666666</x:v>
      </x:c>
      <x:c r="K898" s="52" t="n">
        <x:f>IFERROR(I898/H898,"")</x:f>
        <x:v>0.9644162097633521</x:v>
      </x:c>
      <x:c r="L898" s="52" t="n">
        <x:v>300</x:v>
      </x:c>
      <x:c r="M898" s="65" t="n">
        <x:f>IF(H898&lt;=L898,1,0)</x:f>
        <x:v>0</x:v>
      </x:c>
      <x:c r="N898" s="65" t="n">
        <x:f>IF(I898&lt;=L898,1,0)</x:f>
        <x:v>0</x:v>
      </x:c>
      <x:c r="O898" s="51" t="str">
        <x:f>IF(M898=N898,"不变",IF(N898=1,"由禁变允","由允变禁"))</x:f>
        <x:v>不变</x:v>
      </x:c>
      <x:c r="P898" s="51" t="str">
        <x:v>OSRM driving/car</x:v>
      </x:c>
      <x:c r="Q898" s="51" t="str">
        <x:v>2026-08-15</x:v>
      </x:c>
      <x:c r="R898" s="51" t="str">
        <x:v>C-开放路网计算；不是货车/危运合规路线</x:v>
      </x:c>
      <x:c r="S898" s="51" t="str">
        <x:v>https://routing.openstreetmap.de/routed-car/</x:v>
      </x:c>
    </x:row>
    <x:row r="899">
      <x:c r="A899" s="51" t="str">
        <x:v>A0895</x:v>
      </x:c>
      <x:c r="B899" s="51" t="str">
        <x:v>C19</x:v>
      </x:c>
      <x:c r="C899" s="51" t="str">
        <x:v>collection</x:v>
      </x:c>
      <x:c r="D899" s="51" t="str">
        <x:v>潮州虚拟回收/检测中心</x:v>
      </x:c>
      <x:c r="E899" s="51" t="str">
        <x:v>P20R</x:v>
      </x:c>
      <x:c r="F899" s="51" t="str">
        <x:v>recycling</x:v>
      </x:c>
      <x:c r="G899" s="51" t="str">
        <x:v>广东金晟新能源股份有限公司（再生功能）</x:v>
      </x:c>
      <x:c r="H899" s="52" t="n">
        <x:v>515.9814766304124</x:v>
      </x:c>
      <x:c r="I899" s="52" t="n">
        <x:v>497.6209</x:v>
      </x:c>
      <x:c r="J899" s="52" t="n">
        <x:v>349.06666666666666</x:v>
      </x:c>
      <x:c r="K899" s="52" t="n">
        <x:f>IFERROR(I899/H899,"")</x:f>
        <x:v>0.9644162097633521</x:v>
      </x:c>
      <x:c r="L899" s="52" t="n">
        <x:v>400</x:v>
      </x:c>
      <x:c r="M899" s="65" t="n">
        <x:f>IF(H899&lt;=L899,1,0)</x:f>
        <x:v>0</x:v>
      </x:c>
      <x:c r="N899" s="65" t="n">
        <x:f>IF(I899&lt;=L899,1,0)</x:f>
        <x:v>0</x:v>
      </x:c>
      <x:c r="O899" s="51" t="str">
        <x:f>IF(M899=N899,"不变",IF(N899=1,"由禁变允","由允变禁"))</x:f>
        <x:v>不变</x:v>
      </x:c>
      <x:c r="P899" s="51" t="str">
        <x:v>OSRM driving/car</x:v>
      </x:c>
      <x:c r="Q899" s="51" t="str">
        <x:v>2026-08-15</x:v>
      </x:c>
      <x:c r="R899" s="51" t="str">
        <x:v>C-开放路网计算；不是货车/危运合规路线</x:v>
      </x:c>
      <x:c r="S899" s="51" t="str">
        <x:v>https://routing.openstreetmap.de/routed-car/</x:v>
      </x:c>
    </x:row>
    <x:row r="900">
      <x:c r="A900" s="51" t="str">
        <x:v>A0896</x:v>
      </x:c>
      <x:c r="B900" s="51" t="str">
        <x:v>C19</x:v>
      </x:c>
      <x:c r="C900" s="51" t="str">
        <x:v>collection</x:v>
      </x:c>
      <x:c r="D900" s="51" t="str">
        <x:v>潮州虚拟回收/检测中心</x:v>
      </x:c>
      <x:c r="E900" s="51" t="str">
        <x:v>P21E</x:v>
      </x:c>
      <x:c r="F900" s="51" t="str">
        <x:v>echelon</x:v>
      </x:c>
      <x:c r="G900" s="51" t="str">
        <x:v>广东瑞科美电源技术有限公司（梯次功能）</x:v>
      </x:c>
      <x:c r="H900" s="52" t="n">
        <x:v>437.5544631248995</x:v>
      </x:c>
      <x:c r="I900" s="52" t="n">
        <x:v>428.2513</x:v>
      </x:c>
      <x:c r="J900" s="52" t="n">
        <x:v>298.65</x:v>
      </x:c>
      <x:c r="K900" s="52" t="n">
        <x:f>IFERROR(I900/H900,"")</x:f>
        <x:v>0.9787382739546097</x:v>
      </x:c>
      <x:c r="L900" s="52" t="n">
        <x:v>300</x:v>
      </x:c>
      <x:c r="M900" s="65" t="n">
        <x:f>IF(H900&lt;=L900,1,0)</x:f>
        <x:v>0</x:v>
      </x:c>
      <x:c r="N900" s="65" t="n">
        <x:f>IF(I900&lt;=L900,1,0)</x:f>
        <x:v>0</x:v>
      </x:c>
      <x:c r="O900" s="51" t="str">
        <x:f>IF(M900=N900,"不变",IF(N900=1,"由禁变允","由允变禁"))</x:f>
        <x:v>不变</x:v>
      </x:c>
      <x:c r="P900" s="51" t="str">
        <x:v>OSRM driving/car</x:v>
      </x:c>
      <x:c r="Q900" s="51" t="str">
        <x:v>2026-08-15</x:v>
      </x:c>
      <x:c r="R900" s="51" t="str">
        <x:v>C-开放路网计算；不是货车/危运合规路线</x:v>
      </x:c>
      <x:c r="S900" s="51" t="str">
        <x:v>https://routing.openstreetmap.de/routed-car/</x:v>
      </x:c>
    </x:row>
    <x:row r="901">
      <x:c r="A901" s="51" t="str">
        <x:v>A0897</x:v>
      </x:c>
      <x:c r="B901" s="51" t="str">
        <x:v>C19</x:v>
      </x:c>
      <x:c r="C901" s="51" t="str">
        <x:v>collection</x:v>
      </x:c>
      <x:c r="D901" s="51" t="str">
        <x:v>潮州虚拟回收/检测中心</x:v>
      </x:c>
      <x:c r="E901" s="51" t="str">
        <x:v>P21R</x:v>
      </x:c>
      <x:c r="F901" s="51" t="str">
        <x:v>recycling</x:v>
      </x:c>
      <x:c r="G901" s="51" t="str">
        <x:v>广东瑞科美电源技术有限公司（再生功能）</x:v>
      </x:c>
      <x:c r="H901" s="52" t="n">
        <x:v>437.5544631248995</x:v>
      </x:c>
      <x:c r="I901" s="52" t="n">
        <x:v>428.2513</x:v>
      </x:c>
      <x:c r="J901" s="52" t="n">
        <x:v>298.65</x:v>
      </x:c>
      <x:c r="K901" s="52" t="n">
        <x:f>IFERROR(I901/H901,"")</x:f>
        <x:v>0.9787382739546097</x:v>
      </x:c>
      <x:c r="L901" s="52" t="n">
        <x:v>400</x:v>
      </x:c>
      <x:c r="M901" s="65" t="n">
        <x:f>IF(H901&lt;=L901,1,0)</x:f>
        <x:v>0</x:v>
      </x:c>
      <x:c r="N901" s="65" t="n">
        <x:f>IF(I901&lt;=L901,1,0)</x:f>
        <x:v>0</x:v>
      </x:c>
      <x:c r="O901" s="51" t="str">
        <x:f>IF(M901=N901,"不变",IF(N901=1,"由禁变允","由允变禁"))</x:f>
        <x:v>不变</x:v>
      </x:c>
      <x:c r="P901" s="51" t="str">
        <x:v>OSRM driving/car</x:v>
      </x:c>
      <x:c r="Q901" s="51" t="str">
        <x:v>2026-08-15</x:v>
      </x:c>
      <x:c r="R901" s="51" t="str">
        <x:v>C-开放路网计算；不是货车/危运合规路线</x:v>
      </x:c>
      <x:c r="S901" s="51" t="str">
        <x:v>https://routing.openstreetmap.de/routed-car/</x:v>
      </x:c>
    </x:row>
    <x:row r="902">
      <x:c r="A902" s="51" t="str">
        <x:v>A0898</x:v>
      </x:c>
      <x:c r="B902" s="51" t="str">
        <x:v>C20</x:v>
      </x:c>
      <x:c r="C902" s="51" t="str">
        <x:v>collection</x:v>
      </x:c>
      <x:c r="D902" s="51" t="str">
        <x:v>揭阳虚拟回收/检测中心</x:v>
      </x:c>
      <x:c r="E902" s="51" t="str">
        <x:v>P01</x:v>
      </x:c>
      <x:c r="F902" s="51" t="str">
        <x:v>recycling</x:v>
      </x:c>
      <x:c r="G902" s="51" t="str">
        <x:v>汕尾比亚迪废旧动力电池回收项目</x:v>
      </x:c>
      <x:c r="H902" s="52" t="n">
        <x:v>157.214971985547</x:v>
      </x:c>
      <x:c r="I902" s="52" t="n">
        <x:v>157.7425</x:v>
      </x:c>
      <x:c r="J902" s="52" t="n">
        <x:v>113.925</x:v>
      </x:c>
      <x:c r="K902" s="52" t="n">
        <x:f>IFERROR(I902/H902,"")</x:f>
        <x:v>1.0033554565941818</x:v>
      </x:c>
      <x:c r="L902" s="52" t="n">
        <x:v>400</x:v>
      </x:c>
      <x:c r="M902" s="65" t="n">
        <x:f>IF(H902&lt;=L902,1,0)</x:f>
        <x:v>1</x:v>
      </x:c>
      <x:c r="N902" s="65" t="n">
        <x:f>IF(I902&lt;=L902,1,0)</x:f>
        <x:v>1</x:v>
      </x:c>
      <x:c r="O902" s="51" t="str">
        <x:f>IF(M902=N902,"不变",IF(N902=1,"由禁变允","由允变禁"))</x:f>
        <x:v>不变</x:v>
      </x:c>
      <x:c r="P902" s="51" t="str">
        <x:v>OSRM driving/car</x:v>
      </x:c>
      <x:c r="Q902" s="51" t="str">
        <x:v>2026-08-15</x:v>
      </x:c>
      <x:c r="R902" s="51" t="str">
        <x:v>C-开放路网计算；不是货车/危运合规路线</x:v>
      </x:c>
      <x:c r="S902" s="51" t="str">
        <x:v>https://routing.openstreetmap.de/routed-car/</x:v>
      </x:c>
    </x:row>
    <x:row r="903">
      <x:c r="A903" s="51" t="str">
        <x:v>A0899</x:v>
      </x:c>
      <x:c r="B903" s="51" t="str">
        <x:v>C20</x:v>
      </x:c>
      <x:c r="C903" s="51" t="str">
        <x:v>collection</x:v>
      </x:c>
      <x:c r="D903" s="51" t="str">
        <x:v>揭阳虚拟回收/检测中心</x:v>
      </x:c>
      <x:c r="E903" s="51" t="str">
        <x:v>P02E</x:v>
      </x:c>
      <x:c r="F903" s="51" t="str">
        <x:v>echelon</x:v>
      </x:c>
      <x:c r="G903" s="51" t="str">
        <x:v>广东光华科技股份有限公司（梯次功能）</x:v>
      </x:c>
      <x:c r="H903" s="52" t="n">
        <x:v>46.098821191901905</x:v>
      </x:c>
      <x:c r="I903" s="52" t="n">
        <x:v>46.2965</x:v>
      </x:c>
      <x:c r="J903" s="52" t="n">
        <x:v>37.35</x:v>
      </x:c>
      <x:c r="K903" s="52" t="n">
        <x:f>IFERROR(I903/H903,"")</x:f>
        <x:v>1.0042881532105818</x:v>
      </x:c>
      <x:c r="L903" s="52" t="n">
        <x:v>300</x:v>
      </x:c>
      <x:c r="M903" s="65" t="n">
        <x:f>IF(H903&lt;=L903,1,0)</x:f>
        <x:v>1</x:v>
      </x:c>
      <x:c r="N903" s="65" t="n">
        <x:f>IF(I903&lt;=L903,1,0)</x:f>
        <x:v>1</x:v>
      </x:c>
      <x:c r="O903" s="51" t="str">
        <x:f>IF(M903=N903,"不变",IF(N903=1,"由禁变允","由允变禁"))</x:f>
        <x:v>不变</x:v>
      </x:c>
      <x:c r="P903" s="51" t="str">
        <x:v>OSRM driving/car</x:v>
      </x:c>
      <x:c r="Q903" s="51" t="str">
        <x:v>2026-08-15</x:v>
      </x:c>
      <x:c r="R903" s="51" t="str">
        <x:v>C-开放路网计算；不是货车/危运合规路线</x:v>
      </x:c>
      <x:c r="S903" s="51" t="str">
        <x:v>https://routing.openstreetmap.de/routed-car/</x:v>
      </x:c>
    </x:row>
    <x:row r="904">
      <x:c r="A904" s="51" t="str">
        <x:v>A0900</x:v>
      </x:c>
      <x:c r="B904" s="51" t="str">
        <x:v>C20</x:v>
      </x:c>
      <x:c r="C904" s="51" t="str">
        <x:v>collection</x:v>
      </x:c>
      <x:c r="D904" s="51" t="str">
        <x:v>揭阳虚拟回收/检测中心</x:v>
      </x:c>
      <x:c r="E904" s="51" t="str">
        <x:v>P02R</x:v>
      </x:c>
      <x:c r="F904" s="51" t="str">
        <x:v>recycling</x:v>
      </x:c>
      <x:c r="G904" s="51" t="str">
        <x:v>广东光华科技股份有限公司（再生功能）</x:v>
      </x:c>
      <x:c r="H904" s="52" t="n">
        <x:v>46.098821191901905</x:v>
      </x:c>
      <x:c r="I904" s="52" t="n">
        <x:v>46.2965</x:v>
      </x:c>
      <x:c r="J904" s="52" t="n">
        <x:v>37.35</x:v>
      </x:c>
      <x:c r="K904" s="52" t="n">
        <x:f>IFERROR(I904/H904,"")</x:f>
        <x:v>1.0042881532105818</x:v>
      </x:c>
      <x:c r="L904" s="52" t="n">
        <x:v>400</x:v>
      </x:c>
      <x:c r="M904" s="65" t="n">
        <x:f>IF(H904&lt;=L904,1,0)</x:f>
        <x:v>1</x:v>
      </x:c>
      <x:c r="N904" s="65" t="n">
        <x:f>IF(I904&lt;=L904,1,0)</x:f>
        <x:v>1</x:v>
      </x:c>
      <x:c r="O904" s="51" t="str">
        <x:f>IF(M904=N904,"不变",IF(N904=1,"由禁变允","由允变禁"))</x:f>
        <x:v>不变</x:v>
      </x:c>
      <x:c r="P904" s="51" t="str">
        <x:v>OSRM driving/car</x:v>
      </x:c>
      <x:c r="Q904" s="51" t="str">
        <x:v>2026-08-15</x:v>
      </x:c>
      <x:c r="R904" s="51" t="str">
        <x:v>C-开放路网计算；不是货车/危运合规路线</x:v>
      </x:c>
      <x:c r="S904" s="51" t="str">
        <x:v>https://routing.openstreetmap.de/routed-car/</x:v>
      </x:c>
    </x:row>
    <x:row r="905">
      <x:c r="A905" s="51" t="str">
        <x:v>A0901</x:v>
      </x:c>
      <x:c r="B905" s="51" t="str">
        <x:v>C20</x:v>
      </x:c>
      <x:c r="C905" s="51" t="str">
        <x:v>collection</x:v>
      </x:c>
      <x:c r="D905" s="51" t="str">
        <x:v>揭阳虚拟回收/检测中心</x:v>
      </x:c>
      <x:c r="E905" s="51" t="str">
        <x:v>P03</x:v>
      </x:c>
      <x:c r="F905" s="51" t="str">
        <x:v>echelon</x:v>
      </x:c>
      <x:c r="G905" s="51" t="str">
        <x:v>深圳深汕特别合作区乾泰技术有限公司</x:v>
      </x:c>
      <x:c r="H905" s="52" t="n">
        <x:v>127.54320301757497</x:v>
      </x:c>
      <x:c r="I905" s="52" t="n">
        <x:v>141.7516</x:v>
      </x:c>
      <x:c r="J905" s="52" t="n">
        <x:v>119.315</x:v>
      </x:c>
      <x:c r="K905" s="52" t="n">
        <x:f>IFERROR(I905/H905,"")</x:f>
        <x:v>1.1114006599039792</x:v>
      </x:c>
      <x:c r="L905" s="52" t="n">
        <x:v>300</x:v>
      </x:c>
      <x:c r="M905" s="65" t="n">
        <x:f>IF(H905&lt;=L905,1,0)</x:f>
        <x:v>1</x:v>
      </x:c>
      <x:c r="N905" s="65" t="n">
        <x:f>IF(I905&lt;=L905,1,0)</x:f>
        <x:v>1</x:v>
      </x:c>
      <x:c r="O905" s="51" t="str">
        <x:f>IF(M905=N905,"不变",IF(N905=1,"由禁变允","由允变禁"))</x:f>
        <x:v>不变</x:v>
      </x:c>
      <x:c r="P905" s="51" t="str">
        <x:v>OSRM driving/car</x:v>
      </x:c>
      <x:c r="Q905" s="51" t="str">
        <x:v>2026-08-15</x:v>
      </x:c>
      <x:c r="R905" s="51" t="str">
        <x:v>C-开放路网计算；不是货车/危运合规路线</x:v>
      </x:c>
      <x:c r="S905" s="51" t="str">
        <x:v>https://routing.openstreetmap.de/routed-car/</x:v>
      </x:c>
    </x:row>
    <x:row r="906">
      <x:c r="A906" s="51" t="str">
        <x:v>A0902</x:v>
      </x:c>
      <x:c r="B906" s="51" t="str">
        <x:v>C20</x:v>
      </x:c>
      <x:c r="C906" s="51" t="str">
        <x:v>collection</x:v>
      </x:c>
      <x:c r="D906" s="51" t="str">
        <x:v>揭阳虚拟回收/检测中心</x:v>
      </x:c>
      <x:c r="E906" s="51" t="str">
        <x:v>P04</x:v>
      </x:c>
      <x:c r="F906" s="51" t="str">
        <x:v>echelon</x:v>
      </x:c>
      <x:c r="G906" s="51" t="str">
        <x:v>珠海中力新能源科技有限公司</x:v>
      </x:c>
      <x:c r="H906" s="52" t="n">
        <x:v>383.6871953974436</x:v>
      </x:c>
      <x:c r="I906" s="52" t="n">
        <x:v>414.108</x:v>
      </x:c>
      <x:c r="J906" s="52" t="n">
        <x:v>295.47666666666663</x:v>
      </x:c>
      <x:c r="K906" s="52" t="n">
        <x:f>IFERROR(I906/H906,"")</x:f>
        <x:v>1.0792854308600133</x:v>
      </x:c>
      <x:c r="L906" s="52" t="n">
        <x:v>300</x:v>
      </x:c>
      <x:c r="M906" s="65" t="n">
        <x:f>IF(H906&lt;=L906,1,0)</x:f>
        <x:v>0</x:v>
      </x:c>
      <x:c r="N906" s="65" t="n">
        <x:f>IF(I906&lt;=L906,1,0)</x:f>
        <x:v>0</x:v>
      </x:c>
      <x:c r="O906" s="51" t="str">
        <x:f>IF(M906=N906,"不变",IF(N906=1,"由禁变允","由允变禁"))</x:f>
        <x:v>不变</x:v>
      </x:c>
      <x:c r="P906" s="51" t="str">
        <x:v>OSRM driving/car</x:v>
      </x:c>
      <x:c r="Q906" s="51" t="str">
        <x:v>2026-08-15</x:v>
      </x:c>
      <x:c r="R906" s="51" t="str">
        <x:v>C-开放路网计算；不是货车/危运合规路线</x:v>
      </x:c>
      <x:c r="S906" s="51" t="str">
        <x:v>https://routing.openstreetmap.de/routed-car/</x:v>
      </x:c>
    </x:row>
    <x:row r="907">
      <x:c r="A907" s="51" t="str">
        <x:v>A0903</x:v>
      </x:c>
      <x:c r="B907" s="51" t="str">
        <x:v>C20</x:v>
      </x:c>
      <x:c r="C907" s="51" t="str">
        <x:v>collection</x:v>
      </x:c>
      <x:c r="D907" s="51" t="str">
        <x:v>揭阳虚拟回收/检测中心</x:v>
      </x:c>
      <x:c r="E907" s="51" t="str">
        <x:v>P05</x:v>
      </x:c>
      <x:c r="F907" s="51" t="str">
        <x:v>echelon</x:v>
      </x:c>
      <x:c r="G907" s="51" t="str">
        <x:v>惠州市恒创睿能环保科技有限公司</x:v>
      </x:c>
      <x:c r="H907" s="52" t="n">
        <x:v>246.6776550795714</x:v>
      </x:c>
      <x:c r="I907" s="52" t="n">
        <x:v>246.99110000000002</x:v>
      </x:c>
      <x:c r="J907" s="52" t="n">
        <x:v>181.99833333333333</x:v>
      </x:c>
      <x:c r="K907" s="52" t="n">
        <x:f>IFERROR(I907/H907,"")</x:f>
        <x:v>1.0012706660452384</x:v>
      </x:c>
      <x:c r="L907" s="52" t="n">
        <x:v>300</x:v>
      </x:c>
      <x:c r="M907" s="65" t="n">
        <x:f>IF(H907&lt;=L907,1,0)</x:f>
        <x:v>1</x:v>
      </x:c>
      <x:c r="N907" s="65" t="n">
        <x:f>IF(I907&lt;=L907,1,0)</x:f>
        <x:v>1</x:v>
      </x:c>
      <x:c r="O907" s="51" t="str">
        <x:f>IF(M907=N907,"不变",IF(N907=1,"由禁变允","由允变禁"))</x:f>
        <x:v>不变</x:v>
      </x:c>
      <x:c r="P907" s="51" t="str">
        <x:v>OSRM driving/car</x:v>
      </x:c>
      <x:c r="Q907" s="51" t="str">
        <x:v>2026-08-15</x:v>
      </x:c>
      <x:c r="R907" s="51" t="str">
        <x:v>C-开放路网计算；不是货车/危运合规路线</x:v>
      </x:c>
      <x:c r="S907" s="51" t="str">
        <x:v>https://routing.openstreetmap.de/routed-car/</x:v>
      </x:c>
    </x:row>
    <x:row r="908">
      <x:c r="A908" s="51" t="str">
        <x:v>A0904</x:v>
      </x:c>
      <x:c r="B908" s="51" t="str">
        <x:v>C20</x:v>
      </x:c>
      <x:c r="C908" s="51" t="str">
        <x:v>collection</x:v>
      </x:c>
      <x:c r="D908" s="51" t="str">
        <x:v>揭阳虚拟回收/检测中心</x:v>
      </x:c>
      <x:c r="E908" s="51" t="str">
        <x:v>P06</x:v>
      </x:c>
      <x:c r="F908" s="51" t="str">
        <x:v>echelon</x:v>
      </x:c>
      <x:c r="G908" s="51" t="str">
        <x:v>江门市朗达锂电池有限公司</x:v>
      </x:c>
      <x:c r="H908" s="52" t="n">
        <x:v>424.40000183942857</x:v>
      </x:c>
      <x:c r="I908" s="52" t="n">
        <x:v>413.579</x:v>
      </x:c>
      <x:c r="J908" s="52" t="n">
        <x:v>294.205</x:v>
      </x:c>
      <x:c r="K908" s="52" t="n">
        <x:f>IFERROR(I908/H908,"")</x:f>
        <x:v>0.9745028232975299</x:v>
      </x:c>
      <x:c r="L908" s="52" t="n">
        <x:v>300</x:v>
      </x:c>
      <x:c r="M908" s="65" t="n">
        <x:f>IF(H908&lt;=L908,1,0)</x:f>
        <x:v>0</x:v>
      </x:c>
      <x:c r="N908" s="65" t="n">
        <x:f>IF(I908&lt;=L908,1,0)</x:f>
        <x:v>0</x:v>
      </x:c>
      <x:c r="O908" s="51" t="str">
        <x:f>IF(M908=N908,"不变",IF(N908=1,"由禁变允","由允变禁"))</x:f>
        <x:v>不变</x:v>
      </x:c>
      <x:c r="P908" s="51" t="str">
        <x:v>OSRM driving/car</x:v>
      </x:c>
      <x:c r="Q908" s="51" t="str">
        <x:v>2026-08-15</x:v>
      </x:c>
      <x:c r="R908" s="51" t="str">
        <x:v>C-开放路网计算；不是货车/危运合规路线</x:v>
      </x:c>
      <x:c r="S908" s="51" t="str">
        <x:v>https://routing.openstreetmap.de/routed-car/</x:v>
      </x:c>
    </x:row>
    <x:row r="909">
      <x:c r="A909" s="51" t="str">
        <x:v>A0905</x:v>
      </x:c>
      <x:c r="B909" s="51" t="str">
        <x:v>C20</x:v>
      </x:c>
      <x:c r="C909" s="51" t="str">
        <x:v>collection</x:v>
      </x:c>
      <x:c r="D909" s="51" t="str">
        <x:v>揭阳虚拟回收/检测中心</x:v>
      </x:c>
      <x:c r="E909" s="51" t="str">
        <x:v>P07</x:v>
      </x:c>
      <x:c r="F909" s="51" t="str">
        <x:v>echelon</x:v>
      </x:c>
      <x:c r="G909" s="51" t="str">
        <x:v>广东迪度新能源有限公司</x:v>
      </x:c>
      <x:c r="H909" s="52" t="n">
        <x:v>329.2829682634781</x:v>
      </x:c>
      <x:c r="I909" s="52" t="n">
        <x:v>322.6563</x:v>
      </x:c>
      <x:c r="J909" s="52" t="n">
        <x:v>224.655</x:v>
      </x:c>
      <x:c r="K909" s="52" t="n">
        <x:f>IFERROR(I909/H909,"")</x:f>
        <x:v>0.9798754600080751</x:v>
      </x:c>
      <x:c r="L909" s="52" t="n">
        <x:v>300</x:v>
      </x:c>
      <x:c r="M909" s="65" t="n">
        <x:f>IF(H909&lt;=L909,1,0)</x:f>
        <x:v>0</x:v>
      </x:c>
      <x:c r="N909" s="65" t="n">
        <x:f>IF(I909&lt;=L909,1,0)</x:f>
        <x:v>0</x:v>
      </x:c>
      <x:c r="O909" s="51" t="str">
        <x:f>IF(M909=N909,"不变",IF(N909=1,"由禁变允","由允变禁"))</x:f>
        <x:v>不变</x:v>
      </x:c>
      <x:c r="P909" s="51" t="str">
        <x:v>OSRM driving/car</x:v>
      </x:c>
      <x:c r="Q909" s="51" t="str">
        <x:v>2026-08-15</x:v>
      </x:c>
      <x:c r="R909" s="51" t="str">
        <x:v>C-开放路网计算；不是货车/危运合规路线</x:v>
      </x:c>
      <x:c r="S909" s="51" t="str">
        <x:v>https://routing.openstreetmap.de/routed-car/</x:v>
      </x:c>
    </x:row>
    <x:row r="910">
      <x:c r="A910" s="51" t="str">
        <x:v>A0906</x:v>
      </x:c>
      <x:c r="B910" s="51" t="str">
        <x:v>C20</x:v>
      </x:c>
      <x:c r="C910" s="51" t="str">
        <x:v>collection</x:v>
      </x:c>
      <x:c r="D910" s="51" t="str">
        <x:v>揭阳虚拟回收/检测中心</x:v>
      </x:c>
      <x:c r="E910" s="51" t="str">
        <x:v>P08</x:v>
      </x:c>
      <x:c r="F910" s="51" t="str">
        <x:v>echelon</x:v>
      </x:c>
      <x:c r="G910" s="51" t="str">
        <x:v>东莞市博森新能源有限公司</x:v>
      </x:c>
      <x:c r="H910" s="52" t="n">
        <x:v>329.2829682634781</x:v>
      </x:c>
      <x:c r="I910" s="52" t="n">
        <x:v>322.6563</x:v>
      </x:c>
      <x:c r="J910" s="52" t="n">
        <x:v>224.655</x:v>
      </x:c>
      <x:c r="K910" s="52" t="n">
        <x:f>IFERROR(I910/H910,"")</x:f>
        <x:v>0.9798754600080751</x:v>
      </x:c>
      <x:c r="L910" s="52" t="n">
        <x:v>300</x:v>
      </x:c>
      <x:c r="M910" s="65" t="n">
        <x:f>IF(H910&lt;=L910,1,0)</x:f>
        <x:v>0</x:v>
      </x:c>
      <x:c r="N910" s="65" t="n">
        <x:f>IF(I910&lt;=L910,1,0)</x:f>
        <x:v>0</x:v>
      </x:c>
      <x:c r="O910" s="51" t="str">
        <x:f>IF(M910=N910,"不变",IF(N910=1,"由禁变允","由允变禁"))</x:f>
        <x:v>不变</x:v>
      </x:c>
      <x:c r="P910" s="51" t="str">
        <x:v>OSRM driving/car</x:v>
      </x:c>
      <x:c r="Q910" s="51" t="str">
        <x:v>2026-08-15</x:v>
      </x:c>
      <x:c r="R910" s="51" t="str">
        <x:v>C-开放路网计算；不是货车/危运合规路线</x:v>
      </x:c>
      <x:c r="S910" s="51" t="str">
        <x:v>https://routing.openstreetmap.de/routed-car/</x:v>
      </x:c>
    </x:row>
    <x:row r="911">
      <x:c r="A911" s="51" t="str">
        <x:v>A0907</x:v>
      </x:c>
      <x:c r="B911" s="51" t="str">
        <x:v>C20</x:v>
      </x:c>
      <x:c r="C911" s="51" t="str">
        <x:v>collection</x:v>
      </x:c>
      <x:c r="D911" s="51" t="str">
        <x:v>揭阳虚拟回收/检测中心</x:v>
      </x:c>
      <x:c r="E911" s="51" t="str">
        <x:v>P09</x:v>
      </x:c>
      <x:c r="F911" s="51" t="str">
        <x:v>echelon</x:v>
      </x:c>
      <x:c r="G911" s="51" t="str">
        <x:v>广东宇阳新能源有限公司</x:v>
      </x:c>
      <x:c r="H911" s="52" t="n">
        <x:v>329.2829682634781</x:v>
      </x:c>
      <x:c r="I911" s="52" t="n">
        <x:v>322.6563</x:v>
      </x:c>
      <x:c r="J911" s="52" t="n">
        <x:v>224.655</x:v>
      </x:c>
      <x:c r="K911" s="52" t="n">
        <x:f>IFERROR(I911/H911,"")</x:f>
        <x:v>0.9798754600080751</x:v>
      </x:c>
      <x:c r="L911" s="52" t="n">
        <x:v>300</x:v>
      </x:c>
      <x:c r="M911" s="65" t="n">
        <x:f>IF(H911&lt;=L911,1,0)</x:f>
        <x:v>0</x:v>
      </x:c>
      <x:c r="N911" s="65" t="n">
        <x:f>IF(I911&lt;=L911,1,0)</x:f>
        <x:v>0</x:v>
      </x:c>
      <x:c r="O911" s="51" t="str">
        <x:f>IF(M911=N911,"不变",IF(N911=1,"由禁变允","由允变禁"))</x:f>
        <x:v>不变</x:v>
      </x:c>
      <x:c r="P911" s="51" t="str">
        <x:v>OSRM driving/car</x:v>
      </x:c>
      <x:c r="Q911" s="51" t="str">
        <x:v>2026-08-15</x:v>
      </x:c>
      <x:c r="R911" s="51" t="str">
        <x:v>C-开放路网计算；不是货车/危运合规路线</x:v>
      </x:c>
      <x:c r="S911" s="51" t="str">
        <x:v>https://routing.openstreetmap.de/routed-car/</x:v>
      </x:c>
    </x:row>
    <x:row r="912">
      <x:c r="A912" s="51" t="str">
        <x:v>A0908</x:v>
      </x:c>
      <x:c r="B912" s="51" t="str">
        <x:v>C20</x:v>
      </x:c>
      <x:c r="C912" s="51" t="str">
        <x:v>collection</x:v>
      </x:c>
      <x:c r="D912" s="51" t="str">
        <x:v>揭阳虚拟回收/检测中心</x:v>
      </x:c>
      <x:c r="E912" s="51" t="str">
        <x:v>P10</x:v>
      </x:c>
      <x:c r="F912" s="51" t="str">
        <x:v>echelon</x:v>
      </x:c>
      <x:c r="G912" s="51" t="str">
        <x:v>广州广汽商贸再生资源有限公司</x:v>
      </x:c>
      <x:c r="H912" s="52" t="n">
        <x:v>385.08202812819275</x:v>
      </x:c>
      <x:c r="I912" s="52" t="n">
        <x:v>374.5526</x:v>
      </x:c>
      <x:c r="J912" s="52" t="n">
        <x:v>261.9733333333333</x:v>
      </x:c>
      <x:c r="K912" s="52" t="n">
        <x:f>IFERROR(I912/H912,"")</x:f>
        <x:v>0.9726566618043064</x:v>
      </x:c>
      <x:c r="L912" s="52" t="n">
        <x:v>300</x:v>
      </x:c>
      <x:c r="M912" s="65" t="n">
        <x:f>IF(H912&lt;=L912,1,0)</x:f>
        <x:v>0</x:v>
      </x:c>
      <x:c r="N912" s="65" t="n">
        <x:f>IF(I912&lt;=L912,1,0)</x:f>
        <x:v>0</x:v>
      </x:c>
      <x:c r="O912" s="51" t="str">
        <x:f>IF(M912=N912,"不变",IF(N912=1,"由禁变允","由允变禁"))</x:f>
        <x:v>不变</x:v>
      </x:c>
      <x:c r="P912" s="51" t="str">
        <x:v>OSRM driving/car</x:v>
      </x:c>
      <x:c r="Q912" s="51" t="str">
        <x:v>2026-08-15</x:v>
      </x:c>
      <x:c r="R912" s="51" t="str">
        <x:v>C-开放路网计算；不是货车/危运合规路线</x:v>
      </x:c>
      <x:c r="S912" s="51" t="str">
        <x:v>https://routing.openstreetmap.de/routed-car/</x:v>
      </x:c>
    </x:row>
    <x:row r="913">
      <x:c r="A913" s="51" t="str">
        <x:v>A0909</x:v>
      </x:c>
      <x:c r="B913" s="51" t="str">
        <x:v>C20</x:v>
      </x:c>
      <x:c r="C913" s="51" t="str">
        <x:v>collection</x:v>
      </x:c>
      <x:c r="D913" s="51" t="str">
        <x:v>揭阳虚拟回收/检测中心</x:v>
      </x:c>
      <x:c r="E913" s="51" t="str">
        <x:v>P11</x:v>
      </x:c>
      <x:c r="F913" s="51" t="str">
        <x:v>echelon</x:v>
      </x:c>
      <x:c r="G913" s="51" t="str">
        <x:v>深圳市杰成镍钴新能源科技有限公司</x:v>
      </x:c>
      <x:c r="H913" s="52" t="n">
        <x:v>314.31523480563175</x:v>
      </x:c>
      <x:c r="I913" s="52" t="n">
        <x:v>303.0705</x:v>
      </x:c>
      <x:c r="J913" s="52" t="n">
        <x:v>217.465</x:v>
      </x:c>
      <x:c r="K913" s="52" t="n">
        <x:f>IFERROR(I913/H913,"")</x:f>
        <x:v>0.9642246586851403</x:v>
      </x:c>
      <x:c r="L913" s="52" t="n">
        <x:v>300</x:v>
      </x:c>
      <x:c r="M913" s="65" t="n">
        <x:f>IF(H913&lt;=L913,1,0)</x:f>
        <x:v>0</x:v>
      </x:c>
      <x:c r="N913" s="65" t="n">
        <x:f>IF(I913&lt;=L913,1,0)</x:f>
        <x:v>0</x:v>
      </x:c>
      <x:c r="O913" s="51" t="str">
        <x:f>IF(M913=N913,"不变",IF(N913=1,"由禁变允","由允变禁"))</x:f>
        <x:v>不变</x:v>
      </x:c>
      <x:c r="P913" s="51" t="str">
        <x:v>OSRM driving/car</x:v>
      </x:c>
      <x:c r="Q913" s="51" t="str">
        <x:v>2026-08-15</x:v>
      </x:c>
      <x:c r="R913" s="51" t="str">
        <x:v>C-开放路网计算；不是货车/危运合规路线</x:v>
      </x:c>
      <x:c r="S913" s="51" t="str">
        <x:v>https://routing.openstreetmap.de/routed-car/</x:v>
      </x:c>
    </x:row>
    <x:row r="914">
      <x:c r="A914" s="51" t="str">
        <x:v>A0910</x:v>
      </x:c>
      <x:c r="B914" s="51" t="str">
        <x:v>C20</x:v>
      </x:c>
      <x:c r="C914" s="51" t="str">
        <x:v>collection</x:v>
      </x:c>
      <x:c r="D914" s="51" t="str">
        <x:v>揭阳虚拟回收/检测中心</x:v>
      </x:c>
      <x:c r="E914" s="51" t="str">
        <x:v>P12</x:v>
      </x:c>
      <x:c r="F914" s="51" t="str">
        <x:v>recycling</x:v>
      </x:c>
      <x:c r="G914" s="51" t="str">
        <x:v>江门市恒创睿能环保科技有限公司</x:v>
      </x:c>
      <x:c r="H914" s="52" t="n">
        <x:v>424.40000183942857</x:v>
      </x:c>
      <x:c r="I914" s="52" t="n">
        <x:v>413.579</x:v>
      </x:c>
      <x:c r="J914" s="52" t="n">
        <x:v>294.205</x:v>
      </x:c>
      <x:c r="K914" s="52" t="n">
        <x:f>IFERROR(I914/H914,"")</x:f>
        <x:v>0.9745028232975299</x:v>
      </x:c>
      <x:c r="L914" s="52" t="n">
        <x:v>400</x:v>
      </x:c>
      <x:c r="M914" s="65" t="n">
        <x:f>IF(H914&lt;=L914,1,0)</x:f>
        <x:v>0</x:v>
      </x:c>
      <x:c r="N914" s="65" t="n">
        <x:f>IF(I914&lt;=L914,1,0)</x:f>
        <x:v>0</x:v>
      </x:c>
      <x:c r="O914" s="51" t="str">
        <x:f>IF(M914=N914,"不变",IF(N914=1,"由禁变允","由允变禁"))</x:f>
        <x:v>不变</x:v>
      </x:c>
      <x:c r="P914" s="51" t="str">
        <x:v>OSRM driving/car</x:v>
      </x:c>
      <x:c r="Q914" s="51" t="str">
        <x:v>2026-08-15</x:v>
      </x:c>
      <x:c r="R914" s="51" t="str">
        <x:v>C-开放路网计算；不是货车/危运合规路线</x:v>
      </x:c>
      <x:c r="S914" s="51" t="str">
        <x:v>https://routing.openstreetmap.de/routed-car/</x:v>
      </x:c>
    </x:row>
    <x:row r="915">
      <x:c r="A915" s="51" t="str">
        <x:v>A0911</x:v>
      </x:c>
      <x:c r="B915" s="51" t="str">
        <x:v>C20</x:v>
      </x:c>
      <x:c r="C915" s="51" t="str">
        <x:v>collection</x:v>
      </x:c>
      <x:c r="D915" s="51" t="str">
        <x:v>揭阳虚拟回收/检测中心</x:v>
      </x:c>
      <x:c r="E915" s="51" t="str">
        <x:v>P13</x:v>
      </x:c>
      <x:c r="F915" s="51" t="str">
        <x:v>recycling</x:v>
      </x:c>
      <x:c r="G915" s="51" t="str">
        <x:v>广东佳纳能源科技有限公司</x:v>
      </x:c>
      <x:c r="H915" s="52" t="n">
        <x:v>405.9416860213948</x:v>
      </x:c>
      <x:c r="I915" s="52" t="n">
        <x:v>386.96090000000004</x:v>
      </x:c>
      <x:c r="J915" s="52" t="n">
        <x:v>277.9683333333333</x:v>
      </x:c>
      <x:c r="K915" s="52" t="n">
        <x:f>IFERROR(I915/H915,"")</x:f>
        <x:v>0.953242579722659</x:v>
      </x:c>
      <x:c r="L915" s="52" t="n">
        <x:v>400</x:v>
      </x:c>
      <x:c r="M915" s="65" t="n">
        <x:f>IF(H915&lt;=L915,1,0)</x:f>
        <x:v>0</x:v>
      </x:c>
      <x:c r="N915" s="65" t="n">
        <x:f>IF(I915&lt;=L915,1,0)</x:f>
        <x:v>1</x:v>
      </x:c>
      <x:c r="O915" s="51" t="str">
        <x:f>IF(M915=N915,"不变",IF(N915=1,"由禁变允","由允变禁"))</x:f>
        <x:v>由禁变允</x:v>
      </x:c>
      <x:c r="P915" s="51" t="str">
        <x:v>OSRM driving/car</x:v>
      </x:c>
      <x:c r="Q915" s="51" t="str">
        <x:v>2026-08-15</x:v>
      </x:c>
      <x:c r="R915" s="51" t="str">
        <x:v>C-开放路网计算；不是货车/危运合规路线</x:v>
      </x:c>
      <x:c r="S915" s="51" t="str">
        <x:v>https://routing.openstreetmap.de/routed-car/</x:v>
      </x:c>
    </x:row>
    <x:row r="916">
      <x:c r="A916" s="51" t="str">
        <x:v>A0912</x:v>
      </x:c>
      <x:c r="B916" s="51" t="str">
        <x:v>C20</x:v>
      </x:c>
      <x:c r="C916" s="51" t="str">
        <x:v>collection</x:v>
      </x:c>
      <x:c r="D916" s="51" t="str">
        <x:v>揭阳虚拟回收/检测中心</x:v>
      </x:c>
      <x:c r="E916" s="51" t="str">
        <x:v>P14</x:v>
      </x:c>
      <x:c r="F916" s="51" t="str">
        <x:v>echelon</x:v>
      </x:c>
      <x:c r="G916" s="51" t="str">
        <x:v>格林美（深圳）循环科技有限公司</x:v>
      </x:c>
      <x:c r="H916" s="52" t="n">
        <x:v>314.31523480563175</x:v>
      </x:c>
      <x:c r="I916" s="52" t="n">
        <x:v>303.0705</x:v>
      </x:c>
      <x:c r="J916" s="52" t="n">
        <x:v>217.465</x:v>
      </x:c>
      <x:c r="K916" s="52" t="n">
        <x:f>IFERROR(I916/H916,"")</x:f>
        <x:v>0.9642246586851403</x:v>
      </x:c>
      <x:c r="L916" s="52" t="n">
        <x:v>300</x:v>
      </x:c>
      <x:c r="M916" s="65" t="n">
        <x:f>IF(H916&lt;=L916,1,0)</x:f>
        <x:v>0</x:v>
      </x:c>
      <x:c r="N916" s="65" t="n">
        <x:f>IF(I916&lt;=L916,1,0)</x:f>
        <x:v>0</x:v>
      </x:c>
      <x:c r="O916" s="51" t="str">
        <x:f>IF(M916=N916,"不变",IF(N916=1,"由禁变允","由允变禁"))</x:f>
        <x:v>不变</x:v>
      </x:c>
      <x:c r="P916" s="51" t="str">
        <x:v>OSRM driving/car</x:v>
      </x:c>
      <x:c r="Q916" s="51" t="str">
        <x:v>2026-08-15</x:v>
      </x:c>
      <x:c r="R916" s="51" t="str">
        <x:v>C-开放路网计算；不是货车/危运合规路线</x:v>
      </x:c>
      <x:c r="S916" s="51" t="str">
        <x:v>https://routing.openstreetmap.de/routed-car/</x:v>
      </x:c>
    </x:row>
    <x:row r="917">
      <x:c r="A917" s="51" t="str">
        <x:v>A0913</x:v>
      </x:c>
      <x:c r="B917" s="51" t="str">
        <x:v>C20</x:v>
      </x:c>
      <x:c r="C917" s="51" t="str">
        <x:v>collection</x:v>
      </x:c>
      <x:c r="D917" s="51" t="str">
        <x:v>揭阳虚拟回收/检测中心</x:v>
      </x:c>
      <x:c r="E917" s="51" t="str">
        <x:v>P15</x:v>
      </x:c>
      <x:c r="F917" s="51" t="str">
        <x:v>echelon</x:v>
      </x:c>
      <x:c r="G917" s="51" t="str">
        <x:v>绿循新能源科技（佛山）有限责任公司</x:v>
      </x:c>
      <x:c r="H917" s="52" t="n">
        <x:v>404.77843839887186</x:v>
      </x:c>
      <x:c r="I917" s="52" t="n">
        <x:v>400.417</x:v>
      </x:c>
      <x:c r="J917" s="52" t="n">
        <x:v>280.32</x:v>
      </x:c>
      <x:c r="K917" s="52" t="n">
        <x:f>IFERROR(I917/H917,"")</x:f>
        <x:v>0.9892251217329563</x:v>
      </x:c>
      <x:c r="L917" s="52" t="n">
        <x:v>300</x:v>
      </x:c>
      <x:c r="M917" s="65" t="n">
        <x:f>IF(H917&lt;=L917,1,0)</x:f>
        <x:v>0</x:v>
      </x:c>
      <x:c r="N917" s="65" t="n">
        <x:f>IF(I917&lt;=L917,1,0)</x:f>
        <x:v>0</x:v>
      </x:c>
      <x:c r="O917" s="51" t="str">
        <x:f>IF(M917=N917,"不变",IF(N917=1,"由禁变允","由允变禁"))</x:f>
        <x:v>不变</x:v>
      </x:c>
      <x:c r="P917" s="51" t="str">
        <x:v>OSRM driving/car</x:v>
      </x:c>
      <x:c r="Q917" s="51" t="str">
        <x:v>2026-08-15</x:v>
      </x:c>
      <x:c r="R917" s="51" t="str">
        <x:v>C-开放路网计算；不是货车/危运合规路线</x:v>
      </x:c>
      <x:c r="S917" s="51" t="str">
        <x:v>https://routing.openstreetmap.de/routed-car/</x:v>
      </x:c>
    </x:row>
    <x:row r="918">
      <x:c r="A918" s="51" t="str">
        <x:v>A0914</x:v>
      </x:c>
      <x:c r="B918" s="51" t="str">
        <x:v>C20</x:v>
      </x:c>
      <x:c r="C918" s="51" t="str">
        <x:v>collection</x:v>
      </x:c>
      <x:c r="D918" s="51" t="str">
        <x:v>揭阳虚拟回收/检测中心</x:v>
      </x:c>
      <x:c r="E918" s="51" t="str">
        <x:v>P16</x:v>
      </x:c>
      <x:c r="F918" s="51" t="str">
        <x:v>echelon</x:v>
      </x:c>
      <x:c r="G918" s="51" t="str">
        <x:v>深圳艾云动智慧科技有限公司</x:v>
      </x:c>
      <x:c r="H918" s="52" t="n">
        <x:v>314.31523480563175</x:v>
      </x:c>
      <x:c r="I918" s="52" t="n">
        <x:v>303.0705</x:v>
      </x:c>
      <x:c r="J918" s="52" t="n">
        <x:v>217.465</x:v>
      </x:c>
      <x:c r="K918" s="52" t="n">
        <x:f>IFERROR(I918/H918,"")</x:f>
        <x:v>0.9642246586851403</x:v>
      </x:c>
      <x:c r="L918" s="52" t="n">
        <x:v>300</x:v>
      </x:c>
      <x:c r="M918" s="65" t="n">
        <x:f>IF(H918&lt;=L918,1,0)</x:f>
        <x:v>0</x:v>
      </x:c>
      <x:c r="N918" s="65" t="n">
        <x:f>IF(I918&lt;=L918,1,0)</x:f>
        <x:v>0</x:v>
      </x:c>
      <x:c r="O918" s="51" t="str">
        <x:f>IF(M918=N918,"不变",IF(N918=1,"由禁变允","由允变禁"))</x:f>
        <x:v>不变</x:v>
      </x:c>
      <x:c r="P918" s="51" t="str">
        <x:v>OSRM driving/car</x:v>
      </x:c>
      <x:c r="Q918" s="51" t="str">
        <x:v>2026-08-15</x:v>
      </x:c>
      <x:c r="R918" s="51" t="str">
        <x:v>C-开放路网计算；不是货车/危运合规路线</x:v>
      </x:c>
      <x:c r="S918" s="51" t="str">
        <x:v>https://routing.openstreetmap.de/routed-car/</x:v>
      </x:c>
    </x:row>
    <x:row r="919">
      <x:c r="A919" s="51" t="str">
        <x:v>A0915</x:v>
      </x:c>
      <x:c r="B919" s="51" t="str">
        <x:v>C20</x:v>
      </x:c>
      <x:c r="C919" s="51" t="str">
        <x:v>collection</x:v>
      </x:c>
      <x:c r="D919" s="51" t="str">
        <x:v>揭阳虚拟回收/检测中心</x:v>
      </x:c>
      <x:c r="E919" s="51" t="str">
        <x:v>P17</x:v>
      </x:c>
      <x:c r="F919" s="51" t="str">
        <x:v>echelon</x:v>
      </x:c>
      <x:c r="G919" s="51" t="str">
        <x:v>深圳市荣高晟新能源科技有限公司</x:v>
      </x:c>
      <x:c r="H919" s="52" t="n">
        <x:v>314.31523480563175</x:v>
      </x:c>
      <x:c r="I919" s="52" t="n">
        <x:v>303.0705</x:v>
      </x:c>
      <x:c r="J919" s="52" t="n">
        <x:v>217.465</x:v>
      </x:c>
      <x:c r="K919" s="52" t="n">
        <x:f>IFERROR(I919/H919,"")</x:f>
        <x:v>0.9642246586851403</x:v>
      </x:c>
      <x:c r="L919" s="52" t="n">
        <x:v>300</x:v>
      </x:c>
      <x:c r="M919" s="65" t="n">
        <x:f>IF(H919&lt;=L919,1,0)</x:f>
        <x:v>0</x:v>
      </x:c>
      <x:c r="N919" s="65" t="n">
        <x:f>IF(I919&lt;=L919,1,0)</x:f>
        <x:v>0</x:v>
      </x:c>
      <x:c r="O919" s="51" t="str">
        <x:f>IF(M919=N919,"不变",IF(N919=1,"由禁变允","由允变禁"))</x:f>
        <x:v>不变</x:v>
      </x:c>
      <x:c r="P919" s="51" t="str">
        <x:v>OSRM driving/car</x:v>
      </x:c>
      <x:c r="Q919" s="51" t="str">
        <x:v>2026-08-15</x:v>
      </x:c>
      <x:c r="R919" s="51" t="str">
        <x:v>C-开放路网计算；不是货车/危运合规路线</x:v>
      </x:c>
      <x:c r="S919" s="51" t="str">
        <x:v>https://routing.openstreetmap.de/routed-car/</x:v>
      </x:c>
    </x:row>
    <x:row r="920">
      <x:c r="A920" s="51" t="str">
        <x:v>A0916</x:v>
      </x:c>
      <x:c r="B920" s="51" t="str">
        <x:v>C20</x:v>
      </x:c>
      <x:c r="C920" s="51" t="str">
        <x:v>collection</x:v>
      </x:c>
      <x:c r="D920" s="51" t="str">
        <x:v>揭阳虚拟回收/检测中心</x:v>
      </x:c>
      <x:c r="E920" s="51" t="str">
        <x:v>P18</x:v>
      </x:c>
      <x:c r="F920" s="51" t="str">
        <x:v>echelon</x:v>
      </x:c>
      <x:c r="G920" s="51" t="str">
        <x:v>中商锂新能源科技（惠州）有限公司</x:v>
      </x:c>
      <x:c r="H920" s="52" t="n">
        <x:v>246.6776550795714</x:v>
      </x:c>
      <x:c r="I920" s="52" t="n">
        <x:v>246.99110000000002</x:v>
      </x:c>
      <x:c r="J920" s="52" t="n">
        <x:v>181.99833333333333</x:v>
      </x:c>
      <x:c r="K920" s="52" t="n">
        <x:f>IFERROR(I920/H920,"")</x:f>
        <x:v>1.0012706660452384</x:v>
      </x:c>
      <x:c r="L920" s="52" t="n">
        <x:v>300</x:v>
      </x:c>
      <x:c r="M920" s="65" t="n">
        <x:f>IF(H920&lt;=L920,1,0)</x:f>
        <x:v>1</x:v>
      </x:c>
      <x:c r="N920" s="65" t="n">
        <x:f>IF(I920&lt;=L920,1,0)</x:f>
        <x:v>1</x:v>
      </x:c>
      <x:c r="O920" s="51" t="str">
        <x:f>IF(M920=N920,"不变",IF(N920=1,"由禁变允","由允变禁"))</x:f>
        <x:v>不变</x:v>
      </x:c>
      <x:c r="P920" s="51" t="str">
        <x:v>OSRM driving/car</x:v>
      </x:c>
      <x:c r="Q920" s="51" t="str">
        <x:v>2026-08-15</x:v>
      </x:c>
      <x:c r="R920" s="51" t="str">
        <x:v>C-开放路网计算；不是货车/危运合规路线</x:v>
      </x:c>
      <x:c r="S920" s="51" t="str">
        <x:v>https://routing.openstreetmap.de/routed-car/</x:v>
      </x:c>
    </x:row>
    <x:row r="921">
      <x:c r="A921" s="51" t="str">
        <x:v>A0917</x:v>
      </x:c>
      <x:c r="B921" s="51" t="str">
        <x:v>C20</x:v>
      </x:c>
      <x:c r="C921" s="51" t="str">
        <x:v>collection</x:v>
      </x:c>
      <x:c r="D921" s="51" t="str">
        <x:v>揭阳虚拟回收/检测中心</x:v>
      </x:c>
      <x:c r="E921" s="51" t="str">
        <x:v>P19</x:v>
      </x:c>
      <x:c r="F921" s="51" t="str">
        <x:v>recycling</x:v>
      </x:c>
      <x:c r="G921" s="51" t="str">
        <x:v>广东盛祥新材料科技有限公司</x:v>
      </x:c>
      <x:c r="H921" s="52" t="n">
        <x:v>354.3772228511982</x:v>
      </x:c>
      <x:c r="I921" s="52" t="n">
        <x:v>390.4708</x:v>
      </x:c>
      <x:c r="J921" s="52" t="n">
        <x:v>291.2183333333333</x:v>
      </x:c>
      <x:c r="K921" s="52" t="n">
        <x:f>IFERROR(I921/H921,"")</x:f>
        <x:v>1.1018507252198806</x:v>
      </x:c>
      <x:c r="L921" s="52" t="n">
        <x:v>400</x:v>
      </x:c>
      <x:c r="M921" s="65" t="n">
        <x:f>IF(H921&lt;=L921,1,0)</x:f>
        <x:v>1</x:v>
      </x:c>
      <x:c r="N921" s="65" t="n">
        <x:f>IF(I921&lt;=L921,1,0)</x:f>
        <x:v>1</x:v>
      </x:c>
      <x:c r="O921" s="51" t="str">
        <x:f>IF(M921=N921,"不变",IF(N921=1,"由禁变允","由允变禁"))</x:f>
        <x:v>不变</x:v>
      </x:c>
      <x:c r="P921" s="51" t="str">
        <x:v>OSRM driving/car</x:v>
      </x:c>
      <x:c r="Q921" s="51" t="str">
        <x:v>2026-08-15</x:v>
      </x:c>
      <x:c r="R921" s="51" t="str">
        <x:v>C-开放路网计算；不是货车/危运合规路线</x:v>
      </x:c>
      <x:c r="S921" s="51" t="str">
        <x:v>https://routing.openstreetmap.de/routed-car/</x:v>
      </x:c>
    </x:row>
    <x:row r="922">
      <x:c r="A922" s="51" t="str">
        <x:v>A0918</x:v>
      </x:c>
      <x:c r="B922" s="51" t="str">
        <x:v>C20</x:v>
      </x:c>
      <x:c r="C922" s="51" t="str">
        <x:v>collection</x:v>
      </x:c>
      <x:c r="D922" s="51" t="str">
        <x:v>揭阳虚拟回收/检测中心</x:v>
      </x:c>
      <x:c r="E922" s="51" t="str">
        <x:v>P20E</x:v>
      </x:c>
      <x:c r="F922" s="51" t="str">
        <x:v>echelon</x:v>
      </x:c>
      <x:c r="G922" s="51" t="str">
        <x:v>广东金晟新能源股份有限公司（梯次功能）</x:v>
      </x:c>
      <x:c r="H922" s="52" t="n">
        <x:v>483.5501987128742</x:v>
      </x:c>
      <x:c r="I922" s="52" t="n">
        <x:v>469.78659999999996</x:v>
      </x:c>
      <x:c r="J922" s="52" t="n">
        <x:v>330.7366666666667</x:v>
      </x:c>
      <x:c r="K922" s="52" t="n">
        <x:f>IFERROR(I922/H922,"")</x:f>
        <x:v>0.9715363601348722</x:v>
      </x:c>
      <x:c r="L922" s="52" t="n">
        <x:v>300</x:v>
      </x:c>
      <x:c r="M922" s="65" t="n">
        <x:f>IF(H922&lt;=L922,1,0)</x:f>
        <x:v>0</x:v>
      </x:c>
      <x:c r="N922" s="65" t="n">
        <x:f>IF(I922&lt;=L922,1,0)</x:f>
        <x:v>0</x:v>
      </x:c>
      <x:c r="O922" s="51" t="str">
        <x:f>IF(M922=N922,"不变",IF(N922=1,"由禁变允","由允变禁"))</x:f>
        <x:v>不变</x:v>
      </x:c>
      <x:c r="P922" s="51" t="str">
        <x:v>OSRM driving/car</x:v>
      </x:c>
      <x:c r="Q922" s="51" t="str">
        <x:v>2026-08-15</x:v>
      </x:c>
      <x:c r="R922" s="51" t="str">
        <x:v>C-开放路网计算；不是货车/危运合规路线</x:v>
      </x:c>
      <x:c r="S922" s="51" t="str">
        <x:v>https://routing.openstreetmap.de/routed-car/</x:v>
      </x:c>
    </x:row>
    <x:row r="923">
      <x:c r="A923" s="51" t="str">
        <x:v>A0919</x:v>
      </x:c>
      <x:c r="B923" s="51" t="str">
        <x:v>C20</x:v>
      </x:c>
      <x:c r="C923" s="51" t="str">
        <x:v>collection</x:v>
      </x:c>
      <x:c r="D923" s="51" t="str">
        <x:v>揭阳虚拟回收/检测中心</x:v>
      </x:c>
      <x:c r="E923" s="51" t="str">
        <x:v>P20R</x:v>
      </x:c>
      <x:c r="F923" s="51" t="str">
        <x:v>recycling</x:v>
      </x:c>
      <x:c r="G923" s="51" t="str">
        <x:v>广东金晟新能源股份有限公司（再生功能）</x:v>
      </x:c>
      <x:c r="H923" s="52" t="n">
        <x:v>483.5501987128742</x:v>
      </x:c>
      <x:c r="I923" s="52" t="n">
        <x:v>469.78659999999996</x:v>
      </x:c>
      <x:c r="J923" s="52" t="n">
        <x:v>330.7366666666667</x:v>
      </x:c>
      <x:c r="K923" s="52" t="n">
        <x:f>IFERROR(I923/H923,"")</x:f>
        <x:v>0.9715363601348722</x:v>
      </x:c>
      <x:c r="L923" s="52" t="n">
        <x:v>400</x:v>
      </x:c>
      <x:c r="M923" s="65" t="n">
        <x:f>IF(H923&lt;=L923,1,0)</x:f>
        <x:v>0</x:v>
      </x:c>
      <x:c r="N923" s="65" t="n">
        <x:f>IF(I923&lt;=L923,1,0)</x:f>
        <x:v>0</x:v>
      </x:c>
      <x:c r="O923" s="51" t="str">
        <x:f>IF(M923=N923,"不变",IF(N923=1,"由禁变允","由允变禁"))</x:f>
        <x:v>不变</x:v>
      </x:c>
      <x:c r="P923" s="51" t="str">
        <x:v>OSRM driving/car</x:v>
      </x:c>
      <x:c r="Q923" s="51" t="str">
        <x:v>2026-08-15</x:v>
      </x:c>
      <x:c r="R923" s="51" t="str">
        <x:v>C-开放路网计算；不是货车/危运合规路线</x:v>
      </x:c>
      <x:c r="S923" s="51" t="str">
        <x:v>https://routing.openstreetmap.de/routed-car/</x:v>
      </x:c>
    </x:row>
    <x:row r="924">
      <x:c r="A924" s="51" t="str">
        <x:v>A0920</x:v>
      </x:c>
      <x:c r="B924" s="51" t="str">
        <x:v>C20</x:v>
      </x:c>
      <x:c r="C924" s="51" t="str">
        <x:v>collection</x:v>
      </x:c>
      <x:c r="D924" s="51" t="str">
        <x:v>揭阳虚拟回收/检测中心</x:v>
      </x:c>
      <x:c r="E924" s="51" t="str">
        <x:v>P21E</x:v>
      </x:c>
      <x:c r="F924" s="51" t="str">
        <x:v>echelon</x:v>
      </x:c>
      <x:c r="G924" s="51" t="str">
        <x:v>广东瑞科美电源技术有限公司（梯次功能）</x:v>
      </x:c>
      <x:c r="H924" s="52" t="n">
        <x:v>404.77843839887186</x:v>
      </x:c>
      <x:c r="I924" s="52" t="n">
        <x:v>400.417</x:v>
      </x:c>
      <x:c r="J924" s="52" t="n">
        <x:v>280.32</x:v>
      </x:c>
      <x:c r="K924" s="52" t="n">
        <x:f>IFERROR(I924/H924,"")</x:f>
        <x:v>0.9892251217329563</x:v>
      </x:c>
      <x:c r="L924" s="52" t="n">
        <x:v>300</x:v>
      </x:c>
      <x:c r="M924" s="65" t="n">
        <x:f>IF(H924&lt;=L924,1,0)</x:f>
        <x:v>0</x:v>
      </x:c>
      <x:c r="N924" s="65" t="n">
        <x:f>IF(I924&lt;=L924,1,0)</x:f>
        <x:v>0</x:v>
      </x:c>
      <x:c r="O924" s="51" t="str">
        <x:f>IF(M924=N924,"不变",IF(N924=1,"由禁变允","由允变禁"))</x:f>
        <x:v>不变</x:v>
      </x:c>
      <x:c r="P924" s="51" t="str">
        <x:v>OSRM driving/car</x:v>
      </x:c>
      <x:c r="Q924" s="51" t="str">
        <x:v>2026-08-15</x:v>
      </x:c>
      <x:c r="R924" s="51" t="str">
        <x:v>C-开放路网计算；不是货车/危运合规路线</x:v>
      </x:c>
      <x:c r="S924" s="51" t="str">
        <x:v>https://routing.openstreetmap.de/routed-car/</x:v>
      </x:c>
    </x:row>
    <x:row r="925">
      <x:c r="A925" s="51" t="str">
        <x:v>A0921</x:v>
      </x:c>
      <x:c r="B925" s="51" t="str">
        <x:v>C20</x:v>
      </x:c>
      <x:c r="C925" s="51" t="str">
        <x:v>collection</x:v>
      </x:c>
      <x:c r="D925" s="51" t="str">
        <x:v>揭阳虚拟回收/检测中心</x:v>
      </x:c>
      <x:c r="E925" s="51" t="str">
        <x:v>P21R</x:v>
      </x:c>
      <x:c r="F925" s="51" t="str">
        <x:v>recycling</x:v>
      </x:c>
      <x:c r="G925" s="51" t="str">
        <x:v>广东瑞科美电源技术有限公司（再生功能）</x:v>
      </x:c>
      <x:c r="H925" s="52" t="n">
        <x:v>404.77843839887186</x:v>
      </x:c>
      <x:c r="I925" s="52" t="n">
        <x:v>400.417</x:v>
      </x:c>
      <x:c r="J925" s="52" t="n">
        <x:v>280.32</x:v>
      </x:c>
      <x:c r="K925" s="52" t="n">
        <x:f>IFERROR(I925/H925,"")</x:f>
        <x:v>0.9892251217329563</x:v>
      </x:c>
      <x:c r="L925" s="52" t="n">
        <x:v>400</x:v>
      </x:c>
      <x:c r="M925" s="65" t="n">
        <x:f>IF(H925&lt;=L925,1,0)</x:f>
        <x:v>0</x:v>
      </x:c>
      <x:c r="N925" s="65" t="n">
        <x:f>IF(I925&lt;=L925,1,0)</x:f>
        <x:v>0</x:v>
      </x:c>
      <x:c r="O925" s="51" t="str">
        <x:f>IF(M925=N925,"不变",IF(N925=1,"由禁变允","由允变禁"))</x:f>
        <x:v>不变</x:v>
      </x:c>
      <x:c r="P925" s="51" t="str">
        <x:v>OSRM driving/car</x:v>
      </x:c>
      <x:c r="Q925" s="51" t="str">
        <x:v>2026-08-15</x:v>
      </x:c>
      <x:c r="R925" s="51" t="str">
        <x:v>C-开放路网计算；不是货车/危运合规路线</x:v>
      </x:c>
      <x:c r="S925" s="51" t="str">
        <x:v>https://routing.openstreetmap.de/routed-car/</x:v>
      </x:c>
    </x:row>
    <x:row r="926">
      <x:c r="A926" s="51" t="str">
        <x:v>A0922</x:v>
      </x:c>
      <x:c r="B926" s="51" t="str">
        <x:v>C21</x:v>
      </x:c>
      <x:c r="C926" s="51" t="str">
        <x:v>collection</x:v>
      </x:c>
      <x:c r="D926" s="51" t="str">
        <x:v>云浮虚拟回收/检测中心</x:v>
      </x:c>
      <x:c r="E926" s="51" t="str">
        <x:v>P01</x:v>
      </x:c>
      <x:c r="F926" s="51" t="str">
        <x:v>recycling</x:v>
      </x:c>
      <x:c r="G926" s="51" t="str">
        <x:v>汕尾比亚迪废旧动力电池回收项目</x:v>
      </x:c>
      <x:c r="H926" s="52" t="n">
        <x:v>435.4677059603121</x:v>
      </x:c>
      <x:c r="I926" s="52" t="n">
        <x:v>441.8015</x:v>
      </x:c>
      <x:c r="J926" s="52" t="n">
        <x:v>304.24833333333333</x:v>
      </x:c>
      <x:c r="K926" s="52" t="n">
        <x:f>IFERROR(I926/H926,"")</x:f>
        <x:v>1.0145448076929615</x:v>
      </x:c>
      <x:c r="L926" s="52" t="n">
        <x:v>400</x:v>
      </x:c>
      <x:c r="M926" s="65" t="n">
        <x:f>IF(H926&lt;=L926,1,0)</x:f>
        <x:v>0</x:v>
      </x:c>
      <x:c r="N926" s="65" t="n">
        <x:f>IF(I926&lt;=L926,1,0)</x:f>
        <x:v>0</x:v>
      </x:c>
      <x:c r="O926" s="51" t="str">
        <x:f>IF(M926=N926,"不变",IF(N926=1,"由禁变允","由允变禁"))</x:f>
        <x:v>不变</x:v>
      </x:c>
      <x:c r="P926" s="51" t="str">
        <x:v>OSRM driving/car</x:v>
      </x:c>
      <x:c r="Q926" s="51" t="str">
        <x:v>2026-08-15</x:v>
      </x:c>
      <x:c r="R926" s="51" t="str">
        <x:v>C-开放路网计算；不是货车/危运合规路线</x:v>
      </x:c>
      <x:c r="S926" s="51" t="str">
        <x:v>https://routing.openstreetmap.de/routed-car/</x:v>
      </x:c>
    </x:row>
    <x:row r="927">
      <x:c r="A927" s="51" t="str">
        <x:v>A0923</x:v>
      </x:c>
      <x:c r="B927" s="51" t="str">
        <x:v>C21</x:v>
      </x:c>
      <x:c r="C927" s="51" t="str">
        <x:v>collection</x:v>
      </x:c>
      <x:c r="D927" s="51" t="str">
        <x:v>云浮虚拟回收/检测中心</x:v>
      </x:c>
      <x:c r="E927" s="51" t="str">
        <x:v>P02E</x:v>
      </x:c>
      <x:c r="F927" s="51" t="str">
        <x:v>echelon</x:v>
      </x:c>
      <x:c r="G927" s="51" t="str">
        <x:v>广东光华科技股份有限公司（梯次功能）</x:v>
      </x:c>
      <x:c r="H927" s="52" t="n">
        <x:v>601.3705692723286</x:v>
      </x:c>
      <x:c r="I927" s="52" t="n">
        <x:v>593.8164</x:v>
      </x:c>
      <x:c r="J927" s="52" t="n">
        <x:v>412.13</x:v>
      </x:c>
      <x:c r="K927" s="52" t="n">
        <x:f>IFERROR(I927/H927,"")</x:f>
        <x:v>0.9874384120901207</x:v>
      </x:c>
      <x:c r="L927" s="52" t="n">
        <x:v>300</x:v>
      </x:c>
      <x:c r="M927" s="65" t="n">
        <x:f>IF(H927&lt;=L927,1,0)</x:f>
        <x:v>0</x:v>
      </x:c>
      <x:c r="N927" s="65" t="n">
        <x:f>IF(I927&lt;=L927,1,0)</x:f>
        <x:v>0</x:v>
      </x:c>
      <x:c r="O927" s="51" t="str">
        <x:f>IF(M927=N927,"不变",IF(N927=1,"由禁变允","由允变禁"))</x:f>
        <x:v>不变</x:v>
      </x:c>
      <x:c r="P927" s="51" t="str">
        <x:v>OSRM driving/car</x:v>
      </x:c>
      <x:c r="Q927" s="51" t="str">
        <x:v>2026-08-15</x:v>
      </x:c>
      <x:c r="R927" s="51" t="str">
        <x:v>C-开放路网计算；不是货车/危运合规路线</x:v>
      </x:c>
      <x:c r="S927" s="51" t="str">
        <x:v>https://routing.openstreetmap.de/routed-car/</x:v>
      </x:c>
    </x:row>
    <x:row r="928">
      <x:c r="A928" s="51" t="str">
        <x:v>A0924</x:v>
      </x:c>
      <x:c r="B928" s="51" t="str">
        <x:v>C21</x:v>
      </x:c>
      <x:c r="C928" s="51" t="str">
        <x:v>collection</x:v>
      </x:c>
      <x:c r="D928" s="51" t="str">
        <x:v>云浮虚拟回收/检测中心</x:v>
      </x:c>
      <x:c r="E928" s="51" t="str">
        <x:v>P02R</x:v>
      </x:c>
      <x:c r="F928" s="51" t="str">
        <x:v>recycling</x:v>
      </x:c>
      <x:c r="G928" s="51" t="str">
        <x:v>广东光华科技股份有限公司（再生功能）</x:v>
      </x:c>
      <x:c r="H928" s="52" t="n">
        <x:v>601.3705692723286</x:v>
      </x:c>
      <x:c r="I928" s="52" t="n">
        <x:v>593.8164</x:v>
      </x:c>
      <x:c r="J928" s="52" t="n">
        <x:v>412.13</x:v>
      </x:c>
      <x:c r="K928" s="52" t="n">
        <x:f>IFERROR(I928/H928,"")</x:f>
        <x:v>0.9874384120901207</x:v>
      </x:c>
      <x:c r="L928" s="52" t="n">
        <x:v>400</x:v>
      </x:c>
      <x:c r="M928" s="65" t="n">
        <x:f>IF(H928&lt;=L928,1,0)</x:f>
        <x:v>0</x:v>
      </x:c>
      <x:c r="N928" s="65" t="n">
        <x:f>IF(I928&lt;=L928,1,0)</x:f>
        <x:v>0</x:v>
      </x:c>
      <x:c r="O928" s="51" t="str">
        <x:f>IF(M928=N928,"不变",IF(N928=1,"由禁变允","由允变禁"))</x:f>
        <x:v>不变</x:v>
      </x:c>
      <x:c r="P928" s="51" t="str">
        <x:v>OSRM driving/car</x:v>
      </x:c>
      <x:c r="Q928" s="51" t="str">
        <x:v>2026-08-15</x:v>
      </x:c>
      <x:c r="R928" s="51" t="str">
        <x:v>C-开放路网计算；不是货车/危运合规路线</x:v>
      </x:c>
      <x:c r="S928" s="51" t="str">
        <x:v>https://routing.openstreetmap.de/routed-car/</x:v>
      </x:c>
    </x:row>
    <x:row r="929">
      <x:c r="A929" s="51" t="str">
        <x:v>A0925</x:v>
      </x:c>
      <x:c r="B929" s="51" t="str">
        <x:v>C21</x:v>
      </x:c>
      <x:c r="C929" s="51" t="str">
        <x:v>collection</x:v>
      </x:c>
      <x:c r="D929" s="51" t="str">
        <x:v>云浮虚拟回收/检测中心</x:v>
      </x:c>
      <x:c r="E929" s="51" t="str">
        <x:v>P03</x:v>
      </x:c>
      <x:c r="F929" s="51" t="str">
        <x:v>echelon</x:v>
      </x:c>
      <x:c r="G929" s="51" t="str">
        <x:v>深圳深汕特别合作区乾泰技术有限公司</x:v>
      </x:c>
      <x:c r="H929" s="52" t="n">
        <x:v>455.41833629892034</x:v>
      </x:c>
      <x:c r="I929" s="52" t="n">
        <x:v>455.48440000000005</x:v>
      </x:c>
      <x:c r="J929" s="52" t="n">
        <x:v>332.48833333333334</x:v>
      </x:c>
      <x:c r="K929" s="52" t="n">
        <x:f>IFERROR(I929/H929,"")</x:f>
        <x:v>1.0001450615748513</x:v>
      </x:c>
      <x:c r="L929" s="52" t="n">
        <x:v>300</x:v>
      </x:c>
      <x:c r="M929" s="65" t="n">
        <x:f>IF(H929&lt;=L929,1,0)</x:f>
        <x:v>0</x:v>
      </x:c>
      <x:c r="N929" s="65" t="n">
        <x:f>IF(I929&lt;=L929,1,0)</x:f>
        <x:v>0</x:v>
      </x:c>
      <x:c r="O929" s="51" t="str">
        <x:f>IF(M929=N929,"不变",IF(N929=1,"由禁变允","由允变禁"))</x:f>
        <x:v>不变</x:v>
      </x:c>
      <x:c r="P929" s="51" t="str">
        <x:v>OSRM driving/car</x:v>
      </x:c>
      <x:c r="Q929" s="51" t="str">
        <x:v>2026-08-15</x:v>
      </x:c>
      <x:c r="R929" s="51" t="str">
        <x:v>C-开放路网计算；不是货车/危运合规路线</x:v>
      </x:c>
      <x:c r="S929" s="51" t="str">
        <x:v>https://routing.openstreetmap.de/routed-car/</x:v>
      </x:c>
    </x:row>
    <x:row r="930">
      <x:c r="A930" s="51" t="str">
        <x:v>A0926</x:v>
      </x:c>
      <x:c r="B930" s="51" t="str">
        <x:v>C21</x:v>
      </x:c>
      <x:c r="C930" s="51" t="str">
        <x:v>collection</x:v>
      </x:c>
      <x:c r="D930" s="51" t="str">
        <x:v>云浮虚拟回收/检测中心</x:v>
      </x:c>
      <x:c r="E930" s="51" t="str">
        <x:v>P04</x:v>
      </x:c>
      <x:c r="F930" s="51" t="str">
        <x:v>echelon</x:v>
      </x:c>
      <x:c r="G930" s="51" t="str">
        <x:v>珠海中力新能源科技有限公司</x:v>
      </x:c>
      <x:c r="H930" s="52" t="n">
        <x:v>230.79716660051145</x:v>
      </x:c>
      <x:c r="I930" s="52" t="n">
        <x:v>246.8161</x:v>
      </x:c>
      <x:c r="J930" s="52" t="n">
        <x:v>174.98666666666668</x:v>
      </x:c>
      <x:c r="K930" s="52" t="n">
        <x:f>IFERROR(I930/H930,"")</x:f>
        <x:v>1.0694069759843103</x:v>
      </x:c>
      <x:c r="L930" s="52" t="n">
        <x:v>300</x:v>
      </x:c>
      <x:c r="M930" s="65" t="n">
        <x:f>IF(H930&lt;=L930,1,0)</x:f>
        <x:v>1</x:v>
      </x:c>
      <x:c r="N930" s="65" t="n">
        <x:f>IF(I930&lt;=L930,1,0)</x:f>
        <x:v>1</x:v>
      </x:c>
      <x:c r="O930" s="51" t="str">
        <x:f>IF(M930=N930,"不变",IF(N930=1,"由禁变允","由允变禁"))</x:f>
        <x:v>不变</x:v>
      </x:c>
      <x:c r="P930" s="51" t="str">
        <x:v>OSRM driving/car</x:v>
      </x:c>
      <x:c r="Q930" s="51" t="str">
        <x:v>2026-08-15</x:v>
      </x:c>
      <x:c r="R930" s="51" t="str">
        <x:v>C-开放路网计算；不是货车/危运合规路线</x:v>
      </x:c>
      <x:c r="S930" s="51" t="str">
        <x:v>https://routing.openstreetmap.de/routed-car/</x:v>
      </x:c>
    </x:row>
    <x:row r="931">
      <x:c r="A931" s="51" t="str">
        <x:v>A0927</x:v>
      </x:c>
      <x:c r="B931" s="51" t="str">
        <x:v>C21</x:v>
      </x:c>
      <x:c r="C931" s="51" t="str">
        <x:v>collection</x:v>
      </x:c>
      <x:c r="D931" s="51" t="str">
        <x:v>云浮虚拟回收/检测中心</x:v>
      </x:c>
      <x:c r="E931" s="51" t="str">
        <x:v>P05</x:v>
      </x:c>
      <x:c r="F931" s="51" t="str">
        <x:v>echelon</x:v>
      </x:c>
      <x:c r="G931" s="51" t="str">
        <x:v>惠州市恒创睿能环保科技有限公司</x:v>
      </x:c>
      <x:c r="H931" s="52" t="n">
        <x:v>321.82250195374496</x:v>
      </x:c>
      <x:c r="I931" s="52" t="n">
        <x:v>319.70320000000004</x:v>
      </x:c>
      <x:c r="J931" s="52" t="n">
        <x:v>223.09666666666666</x:v>
      </x:c>
      <x:c r="K931" s="52" t="n">
        <x:f>IFERROR(I931/H931,"")</x:f>
        <x:v>0.9934146868510471</x:v>
      </x:c>
      <x:c r="L931" s="52" t="n">
        <x:v>300</x:v>
      </x:c>
      <x:c r="M931" s="65" t="n">
        <x:f>IF(H931&lt;=L931,1,0)</x:f>
        <x:v>0</x:v>
      </x:c>
      <x:c r="N931" s="65" t="n">
        <x:f>IF(I931&lt;=L931,1,0)</x:f>
        <x:v>0</x:v>
      </x:c>
      <x:c r="O931" s="51" t="str">
        <x:f>IF(M931=N931,"不变",IF(N931=1,"由禁变允","由允变禁"))</x:f>
        <x:v>不变</x:v>
      </x:c>
      <x:c r="P931" s="51" t="str">
        <x:v>OSRM driving/car</x:v>
      </x:c>
      <x:c r="Q931" s="51" t="str">
        <x:v>2026-08-15</x:v>
      </x:c>
      <x:c r="R931" s="51" t="str">
        <x:v>C-开放路网计算；不是货车/危运合规路线</x:v>
      </x:c>
      <x:c r="S931" s="51" t="str">
        <x:v>https://routing.openstreetmap.de/routed-car/</x:v>
      </x:c>
    </x:row>
    <x:row r="932">
      <x:c r="A932" s="51" t="str">
        <x:v>A0928</x:v>
      </x:c>
      <x:c r="B932" s="51" t="str">
        <x:v>C21</x:v>
      </x:c>
      <x:c r="C932" s="51" t="str">
        <x:v>collection</x:v>
      </x:c>
      <x:c r="D932" s="51" t="str">
        <x:v>云浮虚拟回收/检测中心</x:v>
      </x:c>
      <x:c r="E932" s="51" t="str">
        <x:v>P06</x:v>
      </x:c>
      <x:c r="F932" s="51" t="str">
        <x:v>echelon</x:v>
      </x:c>
      <x:c r="G932" s="51" t="str">
        <x:v>江门市朗达锂电池有限公司</x:v>
      </x:c>
      <x:c r="H932" s="52" t="n">
        <x:v>160.29151114661695</x:v>
      </x:c>
      <x:c r="I932" s="52" t="n">
        <x:v>167.4085</x:v>
      </x:c>
      <x:c r="J932" s="52" t="n">
        <x:v>122.115</x:v>
      </x:c>
      <x:c r="K932" s="52" t="n">
        <x:f>IFERROR(I932/H932,"")</x:f>
        <x:v>1.0444002854703467</x:v>
      </x:c>
      <x:c r="L932" s="52" t="n">
        <x:v>300</x:v>
      </x:c>
      <x:c r="M932" s="65" t="n">
        <x:f>IF(H932&lt;=L932,1,0)</x:f>
        <x:v>1</x:v>
      </x:c>
      <x:c r="N932" s="65" t="n">
        <x:f>IF(I932&lt;=L932,1,0)</x:f>
        <x:v>1</x:v>
      </x:c>
      <x:c r="O932" s="51" t="str">
        <x:f>IF(M932=N932,"不变",IF(N932=1,"由禁变允","由允变禁"))</x:f>
        <x:v>不变</x:v>
      </x:c>
      <x:c r="P932" s="51" t="str">
        <x:v>OSRM driving/car</x:v>
      </x:c>
      <x:c r="Q932" s="51" t="str">
        <x:v>2026-08-15</x:v>
      </x:c>
      <x:c r="R932" s="51" t="str">
        <x:v>C-开放路网计算；不是货车/危运合规路线</x:v>
      </x:c>
      <x:c r="S932" s="51" t="str">
        <x:v>https://routing.openstreetmap.de/routed-car/</x:v>
      </x:c>
    </x:row>
    <x:row r="933">
      <x:c r="A933" s="51" t="str">
        <x:v>A0929</x:v>
      </x:c>
      <x:c r="B933" s="51" t="str">
        <x:v>C21</x:v>
      </x:c>
      <x:c r="C933" s="51" t="str">
        <x:v>collection</x:v>
      </x:c>
      <x:c r="D933" s="51" t="str">
        <x:v>云浮虚拟回收/检测中心</x:v>
      </x:c>
      <x:c r="E933" s="51" t="str">
        <x:v>P07</x:v>
      </x:c>
      <x:c r="F933" s="51" t="str">
        <x:v>echelon</x:v>
      </x:c>
      <x:c r="G933" s="51" t="str">
        <x:v>广东迪度新能源有限公司</x:v>
      </x:c>
      <x:c r="H933" s="52" t="n">
        <x:v>239.07084014080786</x:v>
      </x:c>
      <x:c r="I933" s="52" t="n">
        <x:v>244.1204</x:v>
      </x:c>
      <x:c r="J933" s="52" t="n">
        <x:v>173.39333333333335</x:v>
      </x:c>
      <x:c r="K933" s="52" t="n">
        <x:f>IFERROR(I933/H933,"")</x:f>
        <x:v>1.0211216050281082</x:v>
      </x:c>
      <x:c r="L933" s="52" t="n">
        <x:v>300</x:v>
      </x:c>
      <x:c r="M933" s="65" t="n">
        <x:f>IF(H933&lt;=L933,1,0)</x:f>
        <x:v>1</x:v>
      </x:c>
      <x:c r="N933" s="65" t="n">
        <x:f>IF(I933&lt;=L933,1,0)</x:f>
        <x:v>1</x:v>
      </x:c>
      <x:c r="O933" s="51" t="str">
        <x:f>IF(M933=N933,"不变",IF(N933=1,"由禁变允","由允变禁"))</x:f>
        <x:v>不变</x:v>
      </x:c>
      <x:c r="P933" s="51" t="str">
        <x:v>OSRM driving/car</x:v>
      </x:c>
      <x:c r="Q933" s="51" t="str">
        <x:v>2026-08-15</x:v>
      </x:c>
      <x:c r="R933" s="51" t="str">
        <x:v>C-开放路网计算；不是货车/危运合规路线</x:v>
      </x:c>
      <x:c r="S933" s="51" t="str">
        <x:v>https://routing.openstreetmap.de/routed-car/</x:v>
      </x:c>
    </x:row>
    <x:row r="934">
      <x:c r="A934" s="51" t="str">
        <x:v>A0930</x:v>
      </x:c>
      <x:c r="B934" s="51" t="str">
        <x:v>C21</x:v>
      </x:c>
      <x:c r="C934" s="51" t="str">
        <x:v>collection</x:v>
      </x:c>
      <x:c r="D934" s="51" t="str">
        <x:v>云浮虚拟回收/检测中心</x:v>
      </x:c>
      <x:c r="E934" s="51" t="str">
        <x:v>P08</x:v>
      </x:c>
      <x:c r="F934" s="51" t="str">
        <x:v>echelon</x:v>
      </x:c>
      <x:c r="G934" s="51" t="str">
        <x:v>东莞市博森新能源有限公司</x:v>
      </x:c>
      <x:c r="H934" s="52" t="n">
        <x:v>239.07084014080786</x:v>
      </x:c>
      <x:c r="I934" s="52" t="n">
        <x:v>244.1204</x:v>
      </x:c>
      <x:c r="J934" s="52" t="n">
        <x:v>173.39333333333335</x:v>
      </x:c>
      <x:c r="K934" s="52" t="n">
        <x:f>IFERROR(I934/H934,"")</x:f>
        <x:v>1.0211216050281082</x:v>
      </x:c>
      <x:c r="L934" s="52" t="n">
        <x:v>300</x:v>
      </x:c>
      <x:c r="M934" s="65" t="n">
        <x:f>IF(H934&lt;=L934,1,0)</x:f>
        <x:v>1</x:v>
      </x:c>
      <x:c r="N934" s="65" t="n">
        <x:f>IF(I934&lt;=L934,1,0)</x:f>
        <x:v>1</x:v>
      </x:c>
      <x:c r="O934" s="51" t="str">
        <x:f>IF(M934=N934,"不变",IF(N934=1,"由禁变允","由允变禁"))</x:f>
        <x:v>不变</x:v>
      </x:c>
      <x:c r="P934" s="51" t="str">
        <x:v>OSRM driving/car</x:v>
      </x:c>
      <x:c r="Q934" s="51" t="str">
        <x:v>2026-08-15</x:v>
      </x:c>
      <x:c r="R934" s="51" t="str">
        <x:v>C-开放路网计算；不是货车/危运合规路线</x:v>
      </x:c>
      <x:c r="S934" s="51" t="str">
        <x:v>https://routing.openstreetmap.de/routed-car/</x:v>
      </x:c>
    </x:row>
    <x:row r="935">
      <x:c r="A935" s="51" t="str">
        <x:v>A0931</x:v>
      </x:c>
      <x:c r="B935" s="51" t="str">
        <x:v>C21</x:v>
      </x:c>
      <x:c r="C935" s="51" t="str">
        <x:v>collection</x:v>
      </x:c>
      <x:c r="D935" s="51" t="str">
        <x:v>云浮虚拟回收/检测中心</x:v>
      </x:c>
      <x:c r="E935" s="51" t="str">
        <x:v>P09</x:v>
      </x:c>
      <x:c r="F935" s="51" t="str">
        <x:v>echelon</x:v>
      </x:c>
      <x:c r="G935" s="51" t="str">
        <x:v>广东宇阳新能源有限公司</x:v>
      </x:c>
      <x:c r="H935" s="52" t="n">
        <x:v>239.07084014080786</x:v>
      </x:c>
      <x:c r="I935" s="52" t="n">
        <x:v>244.1204</x:v>
      </x:c>
      <x:c r="J935" s="52" t="n">
        <x:v>173.39333333333335</x:v>
      </x:c>
      <x:c r="K935" s="52" t="n">
        <x:f>IFERROR(I935/H935,"")</x:f>
        <x:v>1.0211216050281082</x:v>
      </x:c>
      <x:c r="L935" s="52" t="n">
        <x:v>300</x:v>
      </x:c>
      <x:c r="M935" s="65" t="n">
        <x:f>IF(H935&lt;=L935,1,0)</x:f>
        <x:v>1</x:v>
      </x:c>
      <x:c r="N935" s="65" t="n">
        <x:f>IF(I935&lt;=L935,1,0)</x:f>
        <x:v>1</x:v>
      </x:c>
      <x:c r="O935" s="51" t="str">
        <x:f>IF(M935=N935,"不变",IF(N935=1,"由禁变允","由允变禁"))</x:f>
        <x:v>不变</x:v>
      </x:c>
      <x:c r="P935" s="51" t="str">
        <x:v>OSRM driving/car</x:v>
      </x:c>
      <x:c r="Q935" s="51" t="str">
        <x:v>2026-08-15</x:v>
      </x:c>
      <x:c r="R935" s="51" t="str">
        <x:v>C-开放路网计算；不是货车/危运合规路线</x:v>
      </x:c>
      <x:c r="S935" s="51" t="str">
        <x:v>https://routing.openstreetmap.de/routed-car/</x:v>
      </x:c>
    </x:row>
    <x:row r="936">
      <x:c r="A936" s="51" t="str">
        <x:v>A0932</x:v>
      </x:c>
      <x:c r="B936" s="51" t="str">
        <x:v>C21</x:v>
      </x:c>
      <x:c r="C936" s="51" t="str">
        <x:v>collection</x:v>
      </x:c>
      <x:c r="D936" s="51" t="str">
        <x:v>云浮虚拟回收/检测中心</x:v>
      </x:c>
      <x:c r="E936" s="51" t="str">
        <x:v>P10</x:v>
      </x:c>
      <x:c r="F936" s="51" t="str">
        <x:v>echelon</x:v>
      </x:c>
      <x:c r="G936" s="51" t="str">
        <x:v>广州广汽商贸再生资源有限公司</x:v>
      </x:c>
      <x:c r="H936" s="52" t="n">
        <x:v>181.95921019073626</x:v>
      </x:c>
      <x:c r="I936" s="52" t="n">
        <x:v>185.1616</x:v>
      </x:c>
      <x:c r="J936" s="52" t="n">
        <x:v>131.84333333333333</x:v>
      </x:c>
      <x:c r="K936" s="52" t="n">
        <x:f>IFERROR(I936/H936,"")</x:f>
        <x:v>1.0175994927979017</x:v>
      </x:c>
      <x:c r="L936" s="52" t="n">
        <x:v>300</x:v>
      </x:c>
      <x:c r="M936" s="65" t="n">
        <x:f>IF(H936&lt;=L936,1,0)</x:f>
        <x:v>1</x:v>
      </x:c>
      <x:c r="N936" s="65" t="n">
        <x:f>IF(I936&lt;=L936,1,0)</x:f>
        <x:v>1</x:v>
      </x:c>
      <x:c r="O936" s="51" t="str">
        <x:f>IF(M936=N936,"不变",IF(N936=1,"由禁变允","由允变禁"))</x:f>
        <x:v>不变</x:v>
      </x:c>
      <x:c r="P936" s="51" t="str">
        <x:v>OSRM driving/car</x:v>
      </x:c>
      <x:c r="Q936" s="51" t="str">
        <x:v>2026-08-15</x:v>
      </x:c>
      <x:c r="R936" s="51" t="str">
        <x:v>C-开放路网计算；不是货车/危运合规路线</x:v>
      </x:c>
      <x:c r="S936" s="51" t="str">
        <x:v>https://routing.openstreetmap.de/routed-car/</x:v>
      </x:c>
    </x:row>
    <x:row r="937">
      <x:c r="A937" s="51" t="str">
        <x:v>A0933</x:v>
      </x:c>
      <x:c r="B937" s="51" t="str">
        <x:v>C21</x:v>
      </x:c>
      <x:c r="C937" s="51" t="str">
        <x:v>collection</x:v>
      </x:c>
      <x:c r="D937" s="51" t="str">
        <x:v>云浮虚拟回收/检测中心</x:v>
      </x:c>
      <x:c r="E937" s="51" t="str">
        <x:v>P11</x:v>
      </x:c>
      <x:c r="F937" s="51" t="str">
        <x:v>echelon</x:v>
      </x:c>
      <x:c r="G937" s="51" t="str">
        <x:v>深圳市杰成镍钴新能源科技有限公司</x:v>
      </x:c>
      <x:c r="H937" s="52" t="n">
        <x:v>279.6377737499675</x:v>
      </x:c>
      <x:c r="I937" s="52" t="n">
        <x:v>286.25079999999997</x:v>
      </x:c>
      <x:c r="J937" s="52" t="n">
        <x:v>205.08333333333334</x:v>
      </x:c>
      <x:c r="K937" s="52" t="n">
        <x:f>IFERROR(I937/H937,"")</x:f>
        <x:v>1.0236485441911198</x:v>
      </x:c>
      <x:c r="L937" s="52" t="n">
        <x:v>300</x:v>
      </x:c>
      <x:c r="M937" s="65" t="n">
        <x:f>IF(H937&lt;=L937,1,0)</x:f>
        <x:v>1</x:v>
      </x:c>
      <x:c r="N937" s="65" t="n">
        <x:f>IF(I937&lt;=L937,1,0)</x:f>
        <x:v>1</x:v>
      </x:c>
      <x:c r="O937" s="51" t="str">
        <x:f>IF(M937=N937,"不变",IF(N937=1,"由禁变允","由允变禁"))</x:f>
        <x:v>不变</x:v>
      </x:c>
      <x:c r="P937" s="51" t="str">
        <x:v>OSRM driving/car</x:v>
      </x:c>
      <x:c r="Q937" s="51" t="str">
        <x:v>2026-08-15</x:v>
      </x:c>
      <x:c r="R937" s="51" t="str">
        <x:v>C-开放路网计算；不是货车/危运合规路线</x:v>
      </x:c>
      <x:c r="S937" s="51" t="str">
        <x:v>https://routing.openstreetmap.de/routed-car/</x:v>
      </x:c>
    </x:row>
    <x:row r="938">
      <x:c r="A938" s="51" t="str">
        <x:v>A0934</x:v>
      </x:c>
      <x:c r="B938" s="51" t="str">
        <x:v>C21</x:v>
      </x:c>
      <x:c r="C938" s="51" t="str">
        <x:v>collection</x:v>
      </x:c>
      <x:c r="D938" s="51" t="str">
        <x:v>云浮虚拟回收/检测中心</x:v>
      </x:c>
      <x:c r="E938" s="51" t="str">
        <x:v>P12</x:v>
      </x:c>
      <x:c r="F938" s="51" t="str">
        <x:v>recycling</x:v>
      </x:c>
      <x:c r="G938" s="51" t="str">
        <x:v>江门市恒创睿能环保科技有限公司</x:v>
      </x:c>
      <x:c r="H938" s="52" t="n">
        <x:v>160.29151114661695</x:v>
      </x:c>
      <x:c r="I938" s="52" t="n">
        <x:v>167.4085</x:v>
      </x:c>
      <x:c r="J938" s="52" t="n">
        <x:v>122.115</x:v>
      </x:c>
      <x:c r="K938" s="52" t="n">
        <x:f>IFERROR(I938/H938,"")</x:f>
        <x:v>1.0444002854703467</x:v>
      </x:c>
      <x:c r="L938" s="52" t="n">
        <x:v>400</x:v>
      </x:c>
      <x:c r="M938" s="65" t="n">
        <x:f>IF(H938&lt;=L938,1,0)</x:f>
        <x:v>1</x:v>
      </x:c>
      <x:c r="N938" s="65" t="n">
        <x:f>IF(I938&lt;=L938,1,0)</x:f>
        <x:v>1</x:v>
      </x:c>
      <x:c r="O938" s="51" t="str">
        <x:f>IF(M938=N938,"不变",IF(N938=1,"由禁变允","由允变禁"))</x:f>
        <x:v>不变</x:v>
      </x:c>
      <x:c r="P938" s="51" t="str">
        <x:v>OSRM driving/car</x:v>
      </x:c>
      <x:c r="Q938" s="51" t="str">
        <x:v>2026-08-15</x:v>
      </x:c>
      <x:c r="R938" s="51" t="str">
        <x:v>C-开放路网计算；不是货车/危运合规路线</x:v>
      </x:c>
      <x:c r="S938" s="51" t="str">
        <x:v>https://routing.openstreetmap.de/routed-car/</x:v>
      </x:c>
    </x:row>
    <x:row r="939">
      <x:c r="A939" s="51" t="str">
        <x:v>A0935</x:v>
      </x:c>
      <x:c r="B939" s="51" t="str">
        <x:v>C21</x:v>
      </x:c>
      <x:c r="C939" s="51" t="str">
        <x:v>collection</x:v>
      </x:c>
      <x:c r="D939" s="51" t="str">
        <x:v>云浮虚拟回收/检测中心</x:v>
      </x:c>
      <x:c r="E939" s="51" t="str">
        <x:v>P13</x:v>
      </x:c>
      <x:c r="F939" s="51" t="str">
        <x:v>recycling</x:v>
      </x:c>
      <x:c r="G939" s="51" t="str">
        <x:v>广东佳纳能源科技有限公司</x:v>
      </x:c>
      <x:c r="H939" s="52" t="n">
        <x:v>188.23018139973763</x:v>
      </x:c>
      <x:c r="I939" s="52" t="n">
        <x:v>206.3306</x:v>
      </x:c>
      <x:c r="J939" s="52" t="n">
        <x:v>151.97666666666666</x:v>
      </x:c>
      <x:c r="K939" s="52" t="n">
        <x:f>IFERROR(I939/H939,"")</x:f>
        <x:v>1.0961610856753263</x:v>
      </x:c>
      <x:c r="L939" s="52" t="n">
        <x:v>400</x:v>
      </x:c>
      <x:c r="M939" s="65" t="n">
        <x:f>IF(H939&lt;=L939,1,0)</x:f>
        <x:v>1</x:v>
      </x:c>
      <x:c r="N939" s="65" t="n">
        <x:f>IF(I939&lt;=L939,1,0)</x:f>
        <x:v>1</x:v>
      </x:c>
      <x:c r="O939" s="51" t="str">
        <x:f>IF(M939=N939,"不变",IF(N939=1,"由禁变允","由允变禁"))</x:f>
        <x:v>不变</x:v>
      </x:c>
      <x:c r="P939" s="51" t="str">
        <x:v>OSRM driving/car</x:v>
      </x:c>
      <x:c r="Q939" s="51" t="str">
        <x:v>2026-08-15</x:v>
      </x:c>
      <x:c r="R939" s="51" t="str">
        <x:v>C-开放路网计算；不是货车/危运合规路线</x:v>
      </x:c>
      <x:c r="S939" s="51" t="str">
        <x:v>https://routing.openstreetmap.de/routed-car/</x:v>
      </x:c>
    </x:row>
    <x:row r="940">
      <x:c r="A940" s="51" t="str">
        <x:v>A0936</x:v>
      </x:c>
      <x:c r="B940" s="51" t="str">
        <x:v>C21</x:v>
      </x:c>
      <x:c r="C940" s="51" t="str">
        <x:v>collection</x:v>
      </x:c>
      <x:c r="D940" s="51" t="str">
        <x:v>云浮虚拟回收/检测中心</x:v>
      </x:c>
      <x:c r="E940" s="51" t="str">
        <x:v>P14</x:v>
      </x:c>
      <x:c r="F940" s="51" t="str">
        <x:v>echelon</x:v>
      </x:c>
      <x:c r="G940" s="51" t="str">
        <x:v>格林美（深圳）循环科技有限公司</x:v>
      </x:c>
      <x:c r="H940" s="52" t="n">
        <x:v>279.6377737499675</x:v>
      </x:c>
      <x:c r="I940" s="52" t="n">
        <x:v>286.25079999999997</x:v>
      </x:c>
      <x:c r="J940" s="52" t="n">
        <x:v>205.08333333333334</x:v>
      </x:c>
      <x:c r="K940" s="52" t="n">
        <x:f>IFERROR(I940/H940,"")</x:f>
        <x:v>1.0236485441911198</x:v>
      </x:c>
      <x:c r="L940" s="52" t="n">
        <x:v>300</x:v>
      </x:c>
      <x:c r="M940" s="65" t="n">
        <x:f>IF(H940&lt;=L940,1,0)</x:f>
        <x:v>1</x:v>
      </x:c>
      <x:c r="N940" s="65" t="n">
        <x:f>IF(I940&lt;=L940,1,0)</x:f>
        <x:v>1</x:v>
      </x:c>
      <x:c r="O940" s="51" t="str">
        <x:f>IF(M940=N940,"不变",IF(N940=1,"由禁变允","由允变禁"))</x:f>
        <x:v>不变</x:v>
      </x:c>
      <x:c r="P940" s="51" t="str">
        <x:v>OSRM driving/car</x:v>
      </x:c>
      <x:c r="Q940" s="51" t="str">
        <x:v>2026-08-15</x:v>
      </x:c>
      <x:c r="R940" s="51" t="str">
        <x:v>C-开放路网计算；不是货车/危运合规路线</x:v>
      </x:c>
      <x:c r="S940" s="51" t="str">
        <x:v>https://routing.openstreetmap.de/routed-car/</x:v>
      </x:c>
    </x:row>
    <x:row r="941">
      <x:c r="A941" s="51" t="str">
        <x:v>A0937</x:v>
      </x:c>
      <x:c r="B941" s="51" t="str">
        <x:v>C21</x:v>
      </x:c>
      <x:c r="C941" s="51" t="str">
        <x:v>collection</x:v>
      </x:c>
      <x:c r="D941" s="51" t="str">
        <x:v>云浮虚拟回收/检测中心</x:v>
      </x:c>
      <x:c r="E941" s="51" t="str">
        <x:v>P15</x:v>
      </x:c>
      <x:c r="F941" s="51" t="str">
        <x:v>echelon</x:v>
      </x:c>
      <x:c r="G941" s="51" t="str">
        <x:v>绿循新能源科技（佛山）有限责任公司</x:v>
      </x:c>
      <x:c r="H941" s="52" t="n">
        <x:v>162.32048508893257</x:v>
      </x:c>
      <x:c r="I941" s="52" t="n">
        <x:v>172.26170000000002</x:v>
      </x:c>
      <x:c r="J941" s="52" t="n">
        <x:v>124.47666666666667</x:v>
      </x:c>
      <x:c r="K941" s="52" t="n">
        <x:f>IFERROR(I941/H941,"")</x:f>
        <x:v>1.0612443642317901</x:v>
      </x:c>
      <x:c r="L941" s="52" t="n">
        <x:v>300</x:v>
      </x:c>
      <x:c r="M941" s="65" t="n">
        <x:f>IF(H941&lt;=L941,1,0)</x:f>
        <x:v>1</x:v>
      </x:c>
      <x:c r="N941" s="65" t="n">
        <x:f>IF(I941&lt;=L941,1,0)</x:f>
        <x:v>1</x:v>
      </x:c>
      <x:c r="O941" s="51" t="str">
        <x:f>IF(M941=N941,"不变",IF(N941=1,"由禁变允","由允变禁"))</x:f>
        <x:v>不变</x:v>
      </x:c>
      <x:c r="P941" s="51" t="str">
        <x:v>OSRM driving/car</x:v>
      </x:c>
      <x:c r="Q941" s="51" t="str">
        <x:v>2026-08-15</x:v>
      </x:c>
      <x:c r="R941" s="51" t="str">
        <x:v>C-开放路网计算；不是货车/危运合规路线</x:v>
      </x:c>
      <x:c r="S941" s="51" t="str">
        <x:v>https://routing.openstreetmap.de/routed-car/</x:v>
      </x:c>
    </x:row>
    <x:row r="942">
      <x:c r="A942" s="51" t="str">
        <x:v>A0938</x:v>
      </x:c>
      <x:c r="B942" s="51" t="str">
        <x:v>C21</x:v>
      </x:c>
      <x:c r="C942" s="51" t="str">
        <x:v>collection</x:v>
      </x:c>
      <x:c r="D942" s="51" t="str">
        <x:v>云浮虚拟回收/检测中心</x:v>
      </x:c>
      <x:c r="E942" s="51" t="str">
        <x:v>P16</x:v>
      </x:c>
      <x:c r="F942" s="51" t="str">
        <x:v>echelon</x:v>
      </x:c>
      <x:c r="G942" s="51" t="str">
        <x:v>深圳艾云动智慧科技有限公司</x:v>
      </x:c>
      <x:c r="H942" s="52" t="n">
        <x:v>279.6377737499675</x:v>
      </x:c>
      <x:c r="I942" s="52" t="n">
        <x:v>286.25079999999997</x:v>
      </x:c>
      <x:c r="J942" s="52" t="n">
        <x:v>205.08333333333334</x:v>
      </x:c>
      <x:c r="K942" s="52" t="n">
        <x:f>IFERROR(I942/H942,"")</x:f>
        <x:v>1.0236485441911198</x:v>
      </x:c>
      <x:c r="L942" s="52" t="n">
        <x:v>300</x:v>
      </x:c>
      <x:c r="M942" s="65" t="n">
        <x:f>IF(H942&lt;=L942,1,0)</x:f>
        <x:v>1</x:v>
      </x:c>
      <x:c r="N942" s="65" t="n">
        <x:f>IF(I942&lt;=L942,1,0)</x:f>
        <x:v>1</x:v>
      </x:c>
      <x:c r="O942" s="51" t="str">
        <x:f>IF(M942=N942,"不变",IF(N942=1,"由禁变允","由允变禁"))</x:f>
        <x:v>不变</x:v>
      </x:c>
      <x:c r="P942" s="51" t="str">
        <x:v>OSRM driving/car</x:v>
      </x:c>
      <x:c r="Q942" s="51" t="str">
        <x:v>2026-08-15</x:v>
      </x:c>
      <x:c r="R942" s="51" t="str">
        <x:v>C-开放路网计算；不是货车/危运合规路线</x:v>
      </x:c>
      <x:c r="S942" s="51" t="str">
        <x:v>https://routing.openstreetmap.de/routed-car/</x:v>
      </x:c>
    </x:row>
    <x:row r="943">
      <x:c r="A943" s="51" t="str">
        <x:v>A0939</x:v>
      </x:c>
      <x:c r="B943" s="51" t="str">
        <x:v>C21</x:v>
      </x:c>
      <x:c r="C943" s="51" t="str">
        <x:v>collection</x:v>
      </x:c>
      <x:c r="D943" s="51" t="str">
        <x:v>云浮虚拟回收/检测中心</x:v>
      </x:c>
      <x:c r="E943" s="51" t="str">
        <x:v>P17</x:v>
      </x:c>
      <x:c r="F943" s="51" t="str">
        <x:v>echelon</x:v>
      </x:c>
      <x:c r="G943" s="51" t="str">
        <x:v>深圳市荣高晟新能源科技有限公司</x:v>
      </x:c>
      <x:c r="H943" s="52" t="n">
        <x:v>279.6377737499675</x:v>
      </x:c>
      <x:c r="I943" s="52" t="n">
        <x:v>286.25079999999997</x:v>
      </x:c>
      <x:c r="J943" s="52" t="n">
        <x:v>205.08333333333334</x:v>
      </x:c>
      <x:c r="K943" s="52" t="n">
        <x:f>IFERROR(I943/H943,"")</x:f>
        <x:v>1.0236485441911198</x:v>
      </x:c>
      <x:c r="L943" s="52" t="n">
        <x:v>300</x:v>
      </x:c>
      <x:c r="M943" s="65" t="n">
        <x:f>IF(H943&lt;=L943,1,0)</x:f>
        <x:v>1</x:v>
      </x:c>
      <x:c r="N943" s="65" t="n">
        <x:f>IF(I943&lt;=L943,1,0)</x:f>
        <x:v>1</x:v>
      </x:c>
      <x:c r="O943" s="51" t="str">
        <x:f>IF(M943=N943,"不变",IF(N943=1,"由禁变允","由允变禁"))</x:f>
        <x:v>不变</x:v>
      </x:c>
      <x:c r="P943" s="51" t="str">
        <x:v>OSRM driving/car</x:v>
      </x:c>
      <x:c r="Q943" s="51" t="str">
        <x:v>2026-08-15</x:v>
      </x:c>
      <x:c r="R943" s="51" t="str">
        <x:v>C-开放路网计算；不是货车/危运合规路线</x:v>
      </x:c>
      <x:c r="S943" s="51" t="str">
        <x:v>https://routing.openstreetmap.de/routed-car/</x:v>
      </x:c>
    </x:row>
    <x:row r="944">
      <x:c r="A944" s="51" t="str">
        <x:v>A0940</x:v>
      </x:c>
      <x:c r="B944" s="51" t="str">
        <x:v>C21</x:v>
      </x:c>
      <x:c r="C944" s="51" t="str">
        <x:v>collection</x:v>
      </x:c>
      <x:c r="D944" s="51" t="str">
        <x:v>云浮虚拟回收/检测中心</x:v>
      </x:c>
      <x:c r="E944" s="51" t="str">
        <x:v>P18</x:v>
      </x:c>
      <x:c r="F944" s="51" t="str">
        <x:v>echelon</x:v>
      </x:c>
      <x:c r="G944" s="51" t="str">
        <x:v>中商锂新能源科技（惠州）有限公司</x:v>
      </x:c>
      <x:c r="H944" s="52" t="n">
        <x:v>321.82250195374496</x:v>
      </x:c>
      <x:c r="I944" s="52" t="n">
        <x:v>319.70320000000004</x:v>
      </x:c>
      <x:c r="J944" s="52" t="n">
        <x:v>223.09666666666666</x:v>
      </x:c>
      <x:c r="K944" s="52" t="n">
        <x:f>IFERROR(I944/H944,"")</x:f>
        <x:v>0.9934146868510471</x:v>
      </x:c>
      <x:c r="L944" s="52" t="n">
        <x:v>300</x:v>
      </x:c>
      <x:c r="M944" s="65" t="n">
        <x:f>IF(H944&lt;=L944,1,0)</x:f>
        <x:v>0</x:v>
      </x:c>
      <x:c r="N944" s="65" t="n">
        <x:f>IF(I944&lt;=L944,1,0)</x:f>
        <x:v>0</x:v>
      </x:c>
      <x:c r="O944" s="51" t="str">
        <x:f>IF(M944=N944,"不变",IF(N944=1,"由禁变允","由允变禁"))</x:f>
        <x:v>不变</x:v>
      </x:c>
      <x:c r="P944" s="51" t="str">
        <x:v>OSRM driving/car</x:v>
      </x:c>
      <x:c r="Q944" s="51" t="str">
        <x:v>2026-08-15</x:v>
      </x:c>
      <x:c r="R944" s="51" t="str">
        <x:v>C-开放路网计算；不是货车/危运合规路线</x:v>
      </x:c>
      <x:c r="S944" s="51" t="str">
        <x:v>https://routing.openstreetmap.de/routed-car/</x:v>
      </x:c>
    </x:row>
    <x:row r="945">
      <x:c r="A945" s="51" t="str">
        <x:v>A0941</x:v>
      </x:c>
      <x:c r="B945" s="51" t="str">
        <x:v>C21</x:v>
      </x:c>
      <x:c r="C945" s="51" t="str">
        <x:v>collection</x:v>
      </x:c>
      <x:c r="D945" s="51" t="str">
        <x:v>云浮虚拟回收/检测中心</x:v>
      </x:c>
      <x:c r="E945" s="51" t="str">
        <x:v>P19</x:v>
      </x:c>
      <x:c r="F945" s="51" t="str">
        <x:v>recycling</x:v>
      </x:c>
      <x:c r="G945" s="51" t="str">
        <x:v>广东盛祥新材料科技有限公司</x:v>
      </x:c>
      <x:c r="H945" s="52" t="n">
        <x:v>359.95540729726775</x:v>
      </x:c>
      <x:c r="I945" s="52" t="n">
        <x:v>378.5116</x:v>
      </x:c>
      <x:c r="J945" s="52" t="n">
        <x:v>275.82</x:v>
      </x:c>
      <x:c r="K945" s="52" t="n">
        <x:f>IFERROR(I945/H945,"")</x:f>
        <x:v>1.051551365326227</x:v>
      </x:c>
      <x:c r="L945" s="52" t="n">
        <x:v>400</x:v>
      </x:c>
      <x:c r="M945" s="65" t="n">
        <x:f>IF(H945&lt;=L945,1,0)</x:f>
        <x:v>1</x:v>
      </x:c>
      <x:c r="N945" s="65" t="n">
        <x:f>IF(I945&lt;=L945,1,0)</x:f>
        <x:v>1</x:v>
      </x:c>
      <x:c r="O945" s="51" t="str">
        <x:f>IF(M945=N945,"不变",IF(N945=1,"由禁变允","由允变禁"))</x:f>
        <x:v>不变</x:v>
      </x:c>
      <x:c r="P945" s="51" t="str">
        <x:v>OSRM driving/car</x:v>
      </x:c>
      <x:c r="Q945" s="51" t="str">
        <x:v>2026-08-15</x:v>
      </x:c>
      <x:c r="R945" s="51" t="str">
        <x:v>C-开放路网计算；不是货车/危运合规路线</x:v>
      </x:c>
      <x:c r="S945" s="51" t="str">
        <x:v>https://routing.openstreetmap.de/routed-car/</x:v>
      </x:c>
    </x:row>
    <x:row r="946">
      <x:c r="A946" s="51" t="str">
        <x:v>A0942</x:v>
      </x:c>
      <x:c r="B946" s="51" t="str">
        <x:v>C21</x:v>
      </x:c>
      <x:c r="C946" s="51" t="str">
        <x:v>collection</x:v>
      </x:c>
      <x:c r="D946" s="51" t="str">
        <x:v>云浮虚拟回收/检测中心</x:v>
      </x:c>
      <x:c r="E946" s="51" t="str">
        <x:v>P20E</x:v>
      </x:c>
      <x:c r="F946" s="51" t="str">
        <x:v>echelon</x:v>
      </x:c>
      <x:c r="G946" s="51" t="str">
        <x:v>广东金晟新能源股份有限公司（梯次功能）</x:v>
      </x:c>
      <x:c r="H946" s="52" t="n">
        <x:v>84.3101346674444</x:v>
      </x:c>
      <x:c r="I946" s="52" t="n">
        <x:v>99.117</x:v>
      </x:c>
      <x:c r="J946" s="52" t="n">
        <x:v>75.73833333333333</x:v>
      </x:c>
      <x:c r="K946" s="52" t="n">
        <x:f>IFERROR(I946/H946,"")</x:f>
        <x:v>1.1756237893695731</x:v>
      </x:c>
      <x:c r="L946" s="52" t="n">
        <x:v>300</x:v>
      </x:c>
      <x:c r="M946" s="65" t="n">
        <x:f>IF(H946&lt;=L946,1,0)</x:f>
        <x:v>1</x:v>
      </x:c>
      <x:c r="N946" s="65" t="n">
        <x:f>IF(I946&lt;=L946,1,0)</x:f>
        <x:v>1</x:v>
      </x:c>
      <x:c r="O946" s="51" t="str">
        <x:f>IF(M946=N946,"不变",IF(N946=1,"由禁变允","由允变禁"))</x:f>
        <x:v>不变</x:v>
      </x:c>
      <x:c r="P946" s="51" t="str">
        <x:v>OSRM driving/car</x:v>
      </x:c>
      <x:c r="Q946" s="51" t="str">
        <x:v>2026-08-15</x:v>
      </x:c>
      <x:c r="R946" s="51" t="str">
        <x:v>C-开放路网计算；不是货车/危运合规路线</x:v>
      </x:c>
      <x:c r="S946" s="51" t="str">
        <x:v>https://routing.openstreetmap.de/routed-car/</x:v>
      </x:c>
    </x:row>
    <x:row r="947">
      <x:c r="A947" s="51" t="str">
        <x:v>A0943</x:v>
      </x:c>
      <x:c r="B947" s="51" t="str">
        <x:v>C21</x:v>
      </x:c>
      <x:c r="C947" s="51" t="str">
        <x:v>collection</x:v>
      </x:c>
      <x:c r="D947" s="51" t="str">
        <x:v>云浮虚拟回收/检测中心</x:v>
      </x:c>
      <x:c r="E947" s="51" t="str">
        <x:v>P20R</x:v>
      </x:c>
      <x:c r="F947" s="51" t="str">
        <x:v>recycling</x:v>
      </x:c>
      <x:c r="G947" s="51" t="str">
        <x:v>广东金晟新能源股份有限公司（再生功能）</x:v>
      </x:c>
      <x:c r="H947" s="52" t="n">
        <x:v>84.3101346674444</x:v>
      </x:c>
      <x:c r="I947" s="52" t="n">
        <x:v>99.117</x:v>
      </x:c>
      <x:c r="J947" s="52" t="n">
        <x:v>75.73833333333333</x:v>
      </x:c>
      <x:c r="K947" s="52" t="n">
        <x:f>IFERROR(I947/H947,"")</x:f>
        <x:v>1.1756237893695731</x:v>
      </x:c>
      <x:c r="L947" s="52" t="n">
        <x:v>400</x:v>
      </x:c>
      <x:c r="M947" s="65" t="n">
        <x:f>IF(H947&lt;=L947,1,0)</x:f>
        <x:v>1</x:v>
      </x:c>
      <x:c r="N947" s="65" t="n">
        <x:f>IF(I947&lt;=L947,1,0)</x:f>
        <x:v>1</x:v>
      </x:c>
      <x:c r="O947" s="51" t="str">
        <x:f>IF(M947=N947,"不变",IF(N947=1,"由禁变允","由允变禁"))</x:f>
        <x:v>不变</x:v>
      </x:c>
      <x:c r="P947" s="51" t="str">
        <x:v>OSRM driving/car</x:v>
      </x:c>
      <x:c r="Q947" s="51" t="str">
        <x:v>2026-08-15</x:v>
      </x:c>
      <x:c r="R947" s="51" t="str">
        <x:v>C-开放路网计算；不是货车/危运合规路线</x:v>
      </x:c>
      <x:c r="S947" s="51" t="str">
        <x:v>https://routing.openstreetmap.de/routed-car/</x:v>
      </x:c>
    </x:row>
    <x:row r="948">
      <x:c r="A948" s="51" t="str">
        <x:v>A0944</x:v>
      </x:c>
      <x:c r="B948" s="51" t="str">
        <x:v>C21</x:v>
      </x:c>
      <x:c r="C948" s="51" t="str">
        <x:v>collection</x:v>
      </x:c>
      <x:c r="D948" s="51" t="str">
        <x:v>云浮虚拟回收/检测中心</x:v>
      </x:c>
      <x:c r="E948" s="51" t="str">
        <x:v>P21E</x:v>
      </x:c>
      <x:c r="F948" s="51" t="str">
        <x:v>echelon</x:v>
      </x:c>
      <x:c r="G948" s="51" t="str">
        <x:v>广东瑞科美电源技术有限公司（梯次功能）</x:v>
      </x:c>
      <x:c r="H948" s="52" t="n">
        <x:v>162.32048508893257</x:v>
      </x:c>
      <x:c r="I948" s="52" t="n">
        <x:v>172.26170000000002</x:v>
      </x:c>
      <x:c r="J948" s="52" t="n">
        <x:v>124.47666666666667</x:v>
      </x:c>
      <x:c r="K948" s="52" t="n">
        <x:f>IFERROR(I948/H948,"")</x:f>
        <x:v>1.0612443642317901</x:v>
      </x:c>
      <x:c r="L948" s="52" t="n">
        <x:v>300</x:v>
      </x:c>
      <x:c r="M948" s="65" t="n">
        <x:f>IF(H948&lt;=L948,1,0)</x:f>
        <x:v>1</x:v>
      </x:c>
      <x:c r="N948" s="65" t="n">
        <x:f>IF(I948&lt;=L948,1,0)</x:f>
        <x:v>1</x:v>
      </x:c>
      <x:c r="O948" s="51" t="str">
        <x:f>IF(M948=N948,"不变",IF(N948=1,"由禁变允","由允变禁"))</x:f>
        <x:v>不变</x:v>
      </x:c>
      <x:c r="P948" s="51" t="str">
        <x:v>OSRM driving/car</x:v>
      </x:c>
      <x:c r="Q948" s="51" t="str">
        <x:v>2026-08-15</x:v>
      </x:c>
      <x:c r="R948" s="51" t="str">
        <x:v>C-开放路网计算；不是货车/危运合规路线</x:v>
      </x:c>
      <x:c r="S948" s="51" t="str">
        <x:v>https://routing.openstreetmap.de/routed-car/</x:v>
      </x:c>
    </x:row>
    <x:row r="949">
      <x:c r="A949" s="51" t="str">
        <x:v>A0945</x:v>
      </x:c>
      <x:c r="B949" s="51" t="str">
        <x:v>C21</x:v>
      </x:c>
      <x:c r="C949" s="51" t="str">
        <x:v>collection</x:v>
      </x:c>
      <x:c r="D949" s="51" t="str">
        <x:v>云浮虚拟回收/检测中心</x:v>
      </x:c>
      <x:c r="E949" s="51" t="str">
        <x:v>P21R</x:v>
      </x:c>
      <x:c r="F949" s="51" t="str">
        <x:v>recycling</x:v>
      </x:c>
      <x:c r="G949" s="51" t="str">
        <x:v>广东瑞科美电源技术有限公司（再生功能）</x:v>
      </x:c>
      <x:c r="H949" s="52" t="n">
        <x:v>162.32048508893257</x:v>
      </x:c>
      <x:c r="I949" s="52" t="n">
        <x:v>172.26170000000002</x:v>
      </x:c>
      <x:c r="J949" s="52" t="n">
        <x:v>124.47666666666667</x:v>
      </x:c>
      <x:c r="K949" s="52" t="n">
        <x:f>IFERROR(I949/H949,"")</x:f>
        <x:v>1.0612443642317901</x:v>
      </x:c>
      <x:c r="L949" s="52" t="n">
        <x:v>400</x:v>
      </x:c>
      <x:c r="M949" s="65" t="n">
        <x:f>IF(H949&lt;=L949,1,0)</x:f>
        <x:v>1</x:v>
      </x:c>
      <x:c r="N949" s="65" t="n">
        <x:f>IF(I949&lt;=L949,1,0)</x:f>
        <x:v>1</x:v>
      </x:c>
      <x:c r="O949" s="51" t="str">
        <x:f>IF(M949=N949,"不变",IF(N949=1,"由禁变允","由允变禁"))</x:f>
        <x:v>不变</x:v>
      </x:c>
      <x:c r="P949" s="51" t="str">
        <x:v>OSRM driving/car</x:v>
      </x:c>
      <x:c r="Q949" s="51" t="str">
        <x:v>2026-08-15</x:v>
      </x:c>
      <x:c r="R949" s="51" t="str">
        <x:v>C-开放路网计算；不是货车/危运合规路线</x:v>
      </x:c>
      <x:c r="S949" s="51" t="str">
        <x:v>https://routing.openstreetmap.de/routed-car/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</x:cols>
  <x:sheetData>
    <x:row r="1" ht="30" customHeight="1">
      <x:c r="A1" s="56" t="str">
        <x:v>道路距离升级摘要：Haversine×1.2代理 vs OSRM driving/car</x:v>
      </x:c>
      <x:c r="B1" s="56" t="str">
        <x:v>道路距离升级摘要：Haversine×1.2代理 vs OSRM driving/car</x:v>
      </x:c>
      <x:c r="C1" s="56" t="str">
        <x:v>道路距离升级摘要：Haversine×1.2代理 vs OSRM driving/car</x:v>
      </x:c>
      <x:c r="D1" s="56" t="str">
        <x:v>道路距离升级摘要：Haversine×1.2代理 vs OSRM driving/car</x:v>
      </x:c>
      <x:c r="E1" s="56" t="str">
        <x:v>道路距离升级摘要：Haversine×1.2代理 vs OSRM driving/car</x:v>
      </x:c>
      <x:c r="F1" s="56" t="str">
        <x:v>道路距离升级摘要：Haversine×1.2代理 vs OSRM driving/car</x:v>
      </x:c>
      <x:c r="G1" s="56" t="str">
        <x:v>道路距离升级摘要：Haversine×1.2代理 vs OSRM driving/car</x:v>
      </x:c>
      <x:c r="H1" s="56" t="str">
        <x:v>道路距离升级摘要：Haversine×1.2代理 vs OSRM driving/car</x:v>
      </x:c>
    </x:row>
    <x:row r="2" ht="44" customHeight="1">
      <x:c r="A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B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C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D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E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F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G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  <x:c r="H2" s="64" t="str">
        <x:v>这些差异意味着第5章涉及选址、外包量、运输成本和敏感性的数值都应在替换距离后重新求解；不能只改文字或图题。原V7.2结果仍是‘代理距离基准情景’，应保留以便复现。</x:v>
      </x:c>
    </x:row>
    <x:row r="4" ht="15" hidden="0" customHeight="1">
      <x:c r="A4" s="48" t="str">
        <x:v>指标</x:v>
      </x:c>
      <x:c r="B4" s="48" t="str">
        <x:v>结果</x:v>
      </x:c>
      <x:c r="C4" s="48" t="str">
        <x:v>单位</x:v>
      </x:c>
      <x:c r="D4" s="48" t="str">
        <x:v>解释</x:v>
      </x:c>
    </x:row>
    <x:row r="5" ht="24" hidden="0" customHeight="1">
      <x:c r="A5" s="51" t="str">
        <x:v>运输弧总数</x:v>
      </x:c>
      <x:c r="B5" s="52" t="n">
        <x:v>945</x:v>
      </x:c>
      <x:c r="C5" s="51" t="str">
        <x:v>条</x:v>
      </x:c>
      <x:c r="D5" s="51" t="str">
        <x:v>21×21来源—收集弧 + 21×24收集—后端弧</x:v>
      </x:c>
    </x:row>
    <x:row r="6" ht="15" hidden="0" customHeight="1">
      <x:c r="A6" s="51" t="str">
        <x:v>原代理平均距离</x:v>
      </x:c>
      <x:c r="B6" s="52" t="n">
        <x:v>263.64924497385533</x:v>
      </x:c>
      <x:c r="C6" s="51" t="str">
        <x:v>km</x:v>
      </x:c>
      <x:c r="D6" s="51" t="str">
        <x:v>Haversine×1.2</x:v>
      </x:c>
    </x:row>
    <x:row r="7" ht="15" hidden="0" customHeight="1">
      <x:c r="A7" s="51" t="str">
        <x:v>OSRM平均距离</x:v>
      </x:c>
      <x:c r="B7" s="52" t="n">
        <x:v>266.8581612698416</x:v>
      </x:c>
      <x:c r="C7" s="51" t="str">
        <x:v>km</x:v>
      </x:c>
      <x:c r="D7" s="51" t="str">
        <x:v>开放道路网络driving/car</x:v>
      </x:c>
    </x:row>
    <x:row r="8" ht="15" hidden="0" customHeight="1">
      <x:c r="A8" s="51" t="str">
        <x:v>原代理中位数</x:v>
      </x:c>
      <x:c r="B8" s="52" t="n">
        <x:v>242.01314694033505</x:v>
      </x:c>
      <x:c r="C8" s="51" t="str">
        <x:v>km</x:v>
      </x:c>
      <x:c r="D8" s="51" t="str">
        <x:v>用于降低极端长弧影响</x:v>
      </x:c>
    </x:row>
    <x:row r="9" ht="15" hidden="0" customHeight="1">
      <x:c r="A9" s="51" t="str">
        <x:v>OSRM中位数</x:v>
      </x:c>
      <x:c r="B9" s="52" t="n">
        <x:v>256.1699</x:v>
      </x:c>
      <x:c r="C9" s="51" t="str">
        <x:v>km</x:v>
      </x:c>
      <x:c r="D9" s="51" t="str">
        <x:v>用于降低极端长弧影响</x:v>
      </x:c>
    </x:row>
    <x:row r="10" ht="15" hidden="0" customHeight="1">
      <x:c r="A10" s="51" t="str">
        <x:v>OSRM/代理中位比</x:v>
      </x:c>
      <x:c r="B10" s="52" t="n">
        <x:v>1.0081530975079864</x:v>
      </x:c>
      <x:c r="C10" s="51" t="str">
        <x:v>倍</x:v>
      </x:c>
      <x:c r="D10" s="51" t="str">
        <x:v>同点弧因0/0不计</x:v>
      </x:c>
    </x:row>
    <x:row r="11" ht="24" hidden="0" customHeight="1">
      <x:c r="A11" s="51" t="str">
        <x:v>半径约束状态改变</x:v>
      </x:c>
      <x:c r="B11" s="52" t="n">
        <x:v>7</x:v>
      </x:c>
      <x:c r="C11" s="51" t="str">
        <x:v>条</x:v>
      </x:c>
      <x:c r="D11" s="51" t="str">
        <x:v>由允变禁或由禁变允，可能改变可行网络</x:v>
      </x:c>
    </x:row>
    <x:row r="12"/>
    <x:row r="13"/>
    <x:row r="14" ht="15" hidden="0" customHeight="1">
      <x:c r="A14" s="48" t="str">
        <x:v>弧类型</x:v>
      </x:c>
      <x:c r="B14" s="48" t="str">
        <x:v>弧数</x:v>
      </x:c>
      <x:c r="C14" s="48" t="str">
        <x:v>代理均值_km</x:v>
      </x:c>
      <x:c r="D14" s="48" t="str">
        <x:v>OSRM均值_km</x:v>
      </x:c>
      <x:c r="E14" s="48" t="str">
        <x:v>比值中位数</x:v>
      </x:c>
      <x:c r="F14" s="48" t="str">
        <x:v>半径状态改变</x:v>
      </x:c>
      <x:c r="G14" s="48" t="str">
        <x:v>建模含义</x:v>
      </x:c>
      <x:c r="H14" s="48" t="str">
        <x:v>建议</x:v>
      </x:c>
    </x:row>
    <x:row r="15" ht="15" hidden="0" customHeight="1">
      <x:c r="A15" s="51" t="str">
        <x:v>source→collection</x:v>
      </x:c>
      <x:c r="B15" s="51" t="n">
        <x:v>441</x:v>
      </x:c>
      <x:c r="C15" s="52" t="n">
        <x:v>288.4607161496251</x:v>
      </x:c>
      <x:c r="D15" s="52" t="n">
        <x:v>291.7391825396826</x:v>
      </x:c>
      <x:c r="E15" s="52" t="n">
        <x:v>1.0082890520341667</x:v>
      </x:c>
      <x:c r="F15" s="52" t="n">
        <x:v>2</x:v>
      </x:c>
      <x:c r="G15" s="51" t="str">
        <x:v>改变运输成本与可行弧集合</x:v>
      </x:c>
      <x:c r="H15" s="51" t="str">
        <x:v>替换距离后重新优化</x:v>
      </x:c>
    </x:row>
    <x:row r="16" ht="15" hidden="0" customHeight="1">
      <x:c r="A16" s="51" t="str">
        <x:v>collection→recycling</x:v>
      </x:c>
      <x:c r="B16" s="51" t="n">
        <x:v>147</x:v>
      </x:c>
      <x:c r="C16" s="52" t="n">
        <x:v>268.803321819979</x:v>
      </x:c>
      <x:c r="D16" s="52" t="n">
        <x:v>271.76425578231306</x:v>
      </x:c>
      <x:c r="E16" s="52" t="n">
        <x:v>1.005784940596267</x:v>
      </x:c>
      <x:c r="F16" s="52" t="n">
        <x:v>4</x:v>
      </x:c>
      <x:c r="G16" s="51" t="str">
        <x:v>改变运输成本与可行弧集合</x:v>
      </x:c>
      <x:c r="H16" s="51" t="str">
        <x:v>替换距离后重新优化</x:v>
      </x:c>
    </x:row>
    <x:row r="17" ht="15" hidden="0" customHeight="1">
      <x:c r="A17" s="51" t="str">
        <x:v>collection→echelon</x:v>
      </x:c>
      <x:c r="B17" s="51" t="n">
        <x:v>357</x:v>
      </x:c>
      <x:c r="C17" s="52" t="n">
        <x:v>230.87751364361765</x:v>
      </x:c>
      <x:c r="D17" s="52" t="n">
        <x:v>234.10262549019603</x:v>
      </x:c>
      <x:c r="E17" s="52" t="n">
        <x:v>1.0109504840872976</x:v>
      </x:c>
      <x:c r="F17" s="52" t="n">
        <x:v>1</x:v>
      </x:c>
      <x:c r="G17" s="51" t="str">
        <x:v>改变运输成本与可行弧集合</x:v>
      </x:c>
      <x:c r="H17" s="51" t="str">
        <x:v>替换距离后重新优化</x:v>
      </x:c>
    </x:row>
    <x:row r="18"/>
    <x:row r="19"/>
    <x:row r="20"/>
    <x:row r="21" ht="15" hidden="0" customHeight="1">
      <x:c r="A21" s="48" t="str">
        <x:v>示例弧</x:v>
      </x:c>
      <x:c r="B21" s="48" t="str">
        <x:v>原代理_km</x:v>
      </x:c>
      <x:c r="C21" s="48" t="str">
        <x:v>OSRM_km</x:v>
      </x:c>
      <x:c r="D21" s="48" t="str">
        <x:v>变化</x:v>
      </x:c>
    </x:row>
    <x:row r="22" ht="15" hidden="0" customHeight="1">
      <x:c r="A22" s="51" t="str">
        <x:v>广州需求点→深圳虚拟回收中心</x:v>
      </x:c>
      <x:c r="B22" s="52" t="n">
        <x:v>125.09932920710673</x:v>
      </x:c>
      <x:c r="C22" s="52" t="n">
        <x:v>141.4812</x:v>
      </x:c>
      <x:c r="D22" s="70" t="n">
        <x:v>0.13095090834398038</x:v>
      </x:c>
    </x:row>
    <x:row r="23" ht="36" hidden="0" customHeight="1">
      <x:c r="A23" s="51" t="str">
        <x:v>注意</x:v>
      </x:c>
      <x:c r="B23" s="51" t="str">
        <x:v>该例用于说明道路形状差异，不代表货车危运许可线路</x:v>
      </x:c>
      <x:c r="C23" s="51"/>
      <x:c r="D23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0" hidden="0" customWidth="1"/>
    <x:col min="4" max="4" width="18" hidden="0" customWidth="1"/>
    <x:col min="5" max="5" width="46" hidden="0" customWidth="1"/>
    <x:col min="6" max="6" width="20" hidden="0" customWidth="1"/>
    <x:col min="7" max="7" width="54" hidden="0" customWidth="1"/>
    <x:col min="8" max="8" width="44" hidden="0" customWidth="1"/>
    <x:col min="9" max="9" width="52" hidden="0" customWidth="1"/>
  </x:cols>
  <x:sheetData>
    <x:row r="1" ht="30" customHeight="1">
      <x:c r="A1" s="56" t="str">
        <x:v>候选设施的政策时点：2025历史模型与2026现行情景分离</x:v>
      </x:c>
      <x:c r="B1" s="56" t="str">
        <x:v>候选设施的政策时点：2025历史模型与2026现行情景分离</x:v>
      </x:c>
      <x:c r="C1" s="56" t="str">
        <x:v>候选设施的政策时点：2025历史模型与2026现行情景分离</x:v>
      </x:c>
      <x:c r="D1" s="56" t="str">
        <x:v>候选设施的政策时点：2025历史模型与2026现行情景分离</x:v>
      </x:c>
      <x:c r="E1" s="56" t="str">
        <x:v>候选设施的政策时点：2025历史模型与2026现行情景分离</x:v>
      </x:c>
      <x:c r="F1" s="56" t="str">
        <x:v>候选设施的政策时点：2025历史模型与2026现行情景分离</x:v>
      </x:c>
      <x:c r="G1" s="56" t="str">
        <x:v>候选设施的政策时点：2025历史模型与2026现行情景分离</x:v>
      </x:c>
      <x:c r="H1" s="56" t="str">
        <x:v>候选设施的政策时点：2025历史模型与2026现行情景分离</x:v>
      </x:c>
      <x:c r="I1" s="56" t="str">
        <x:v>候选设施的政策时点：2025历史模型与2026现行情景分离</x:v>
      </x:c>
    </x:row>
    <x:row r="2" ht="44" customHeight="1">
      <x:c r="A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B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C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D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E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F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G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H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  <x:c r="I2" s="74" t="str">
        <x:v>V7.2以第一至第五批规范企业构造2025候选集，可以作为历史基准复现；但自2026-07-30起，梯次利用不再实行规范企业公告管理，原梯次企业移出公告名单。现行情景不得写成‘当前梯次白名单’。</x:v>
      </x:c>
    </x:row>
    <x:row r="4" ht="15" hidden="0" customHeight="1">
      <x:c r="A4" s="48" t="str">
        <x:v>facility_id</x:v>
      </x:c>
      <x:c r="B4" s="48" t="str">
        <x:v>设施名称</x:v>
      </x:c>
      <x:c r="C4" s="48" t="str">
        <x:v>2025模型角色</x:v>
      </x:c>
      <x:c r="D4" s="48" t="str">
        <x:v>历史批次/证据</x:v>
      </x:c>
      <x:c r="E4" s="48" t="str">
        <x:v>2026-07-30政策状态</x:v>
      </x:c>
      <x:c r="F4" s="48" t="str">
        <x:v>2025模型是否保留</x:v>
      </x:c>
      <x:c r="G4" s="48" t="str">
        <x:v>2026现行情景建议</x:v>
      </x:c>
      <x:c r="H4" s="48" t="str">
        <x:v>核验边界</x:v>
      </x:c>
      <x:c r="I4" s="48" t="str">
        <x:v>来源</x:v>
      </x:c>
    </x:row>
    <x:row r="5" ht="15" hidden="0" customHeight="1">
      <x:c r="A5" s="51" t="str">
        <x:v>P01</x:v>
      </x:c>
      <x:c r="B5" s="51" t="str">
        <x:v>汕尾比亚迪废旧动力电池回收项目</x:v>
      </x:c>
      <x:c r="C5" s="51" t="str">
        <x:v>再生利用</x:v>
      </x:c>
      <x:c r="D5" s="51" t="str">
        <x:v>非白名单批次</x:v>
      </x:c>
      <x:c r="E5" s="51" t="str">
        <x:v>非旧规范名单节点；以项目审批和现有项目证据管理</x:v>
      </x:c>
      <x:c r="F5" s="51" t="str">
        <x:v>保留</x:v>
      </x:c>
      <x:c r="G5" s="51" t="str">
        <x:v>作为比亚迪既有再生锚点，继续设must_open；单列实际吞吐量缺口</x:v>
      </x:c>
      <x:c r="H5" s="51" t="str">
        <x:v>排污许可/现有项目证据不等于实际处理量</x:v>
      </x:c>
      <x:c r="I5" s="51" t="str">
        <x:v>https://www.shanwei.gov.cn/attachment/0/84/84827/1245132.pdf</x:v>
      </x:c>
    </x:row>
    <x:row r="6" ht="24" hidden="0" customHeight="1">
      <x:c r="A6" s="51" t="str">
        <x:v>P02E</x:v>
      </x:c>
      <x:c r="B6" s="51" t="str">
        <x:v>广东光华科技股份有限公司（梯次功能）</x:v>
      </x:c>
      <x:c r="C6" s="51" t="str">
        <x:v>梯次利用</x:v>
      </x:c>
      <x:c r="D6" s="51" t="str">
        <x:v>第1批</x:v>
      </x:c>
      <x:c r="E6" s="51" t="str">
        <x:v>原梯次规范企业已移出公告名单；不再按梯次规范企业公告管理</x:v>
      </x:c>
      <x:c r="F6" s="51" t="str">
        <x:v>保留历史基准</x:v>
      </x:c>
      <x:c r="G6" s="51" t="str">
        <x:v>改称‘历史二次利用功能候选’或‘电池产品再制造候选’，逐家核验产品标准与经营许可</x:v>
      </x:c>
      <x:c r="H6" s="51" t="str">
        <x:v>不代表企业停业，也不代表产品天然合规</x:v>
      </x:c>
      <x:c r="I6" s="51" t="str">
        <x:v>https://news.smm.cn/news/104034391</x:v>
      </x:c>
    </x:row>
    <x:row r="7" ht="15" hidden="0" customHeight="1">
      <x:c r="A7" s="51" t="str">
        <x:v>P02R</x:v>
      </x:c>
      <x:c r="B7" s="51" t="str">
        <x:v>广东光华科技股份有限公司（再生功能）</x:v>
      </x:c>
      <x:c r="C7" s="51" t="str">
        <x:v>再生利用</x:v>
      </x:c>
      <x:c r="D7" s="51" t="str">
        <x:v>第1批</x:v>
      </x:c>
      <x:c r="E7" s="51" t="str">
        <x:v>原再生利用规范企业继续有效，仍需关注动态名单</x:v>
      </x:c>
      <x:c r="F7" s="51" t="str">
        <x:v>保留</x:v>
      </x:c>
      <x:c r="G7" s="51" t="str">
        <x:v>作为现行综合利用候选；定稿前逐家核验动态状态</x:v>
      </x:c>
      <x:c r="H7" s="51" t="str">
        <x:v>名单资格不披露实际容量、成本或合作关系</x:v>
      </x:c>
      <x:c r="I7" s="51" t="str">
        <x:v>https://news.smm.cn/news/104034391</x:v>
      </x:c>
    </x:row>
    <x:row r="8" ht="24" hidden="0" customHeight="1">
      <x:c r="A8" s="51" t="str">
        <x:v>P03</x:v>
      </x:c>
      <x:c r="B8" s="51" t="str">
        <x:v>深圳深汕特别合作区乾泰技术有限公司</x:v>
      </x:c>
      <x:c r="C8" s="51" t="str">
        <x:v>梯次利用</x:v>
      </x:c>
      <x:c r="D8" s="51" t="str">
        <x:v>第2批</x:v>
      </x:c>
      <x:c r="E8" s="51" t="str">
        <x:v>原梯次规范企业已移出公告名单；不再按梯次规范企业公告管理</x:v>
      </x:c>
      <x:c r="F8" s="51" t="str">
        <x:v>保留历史基准</x:v>
      </x:c>
      <x:c r="G8" s="51" t="str">
        <x:v>改称‘历史二次利用功能候选’或‘电池产品再制造候选’，逐家核验产品标准与经营许可</x:v>
      </x:c>
      <x:c r="H8" s="51" t="str">
        <x:v>不代表企业停业，也不代表产品天然合规</x:v>
      </x:c>
      <x:c r="I8" s="51" t="str">
        <x:v>https://news.smm.cn/news/104034391</x:v>
      </x:c>
    </x:row>
    <x:row r="9" ht="24" hidden="0" customHeight="1">
      <x:c r="A9" s="51" t="str">
        <x:v>P04</x:v>
      </x:c>
      <x:c r="B9" s="51" t="str">
        <x:v>珠海中力新能源科技有限公司</x:v>
      </x:c>
      <x:c r="C9" s="51" t="str">
        <x:v>梯次利用</x:v>
      </x:c>
      <x:c r="D9" s="51" t="str">
        <x:v>第2批</x:v>
      </x:c>
      <x:c r="E9" s="51" t="str">
        <x:v>原梯次规范企业已移出公告名单；不再按梯次规范企业公告管理</x:v>
      </x:c>
      <x:c r="F9" s="51" t="str">
        <x:v>保留历史基准</x:v>
      </x:c>
      <x:c r="G9" s="51" t="str">
        <x:v>改称‘历史二次利用功能候选’或‘电池产品再制造候选’，逐家核验产品标准与经营许可</x:v>
      </x:c>
      <x:c r="H9" s="51" t="str">
        <x:v>不代表企业停业，也不代表产品天然合规</x:v>
      </x:c>
      <x:c r="I9" s="51" t="str">
        <x:v>https://news.smm.cn/news/104034391</x:v>
      </x:c>
    </x:row>
    <x:row r="10" ht="24" hidden="0" customHeight="1">
      <x:c r="A10" s="51" t="str">
        <x:v>P05</x:v>
      </x:c>
      <x:c r="B10" s="51" t="str">
        <x:v>惠州市恒创睿能环保科技有限公司</x:v>
      </x:c>
      <x:c r="C10" s="51" t="str">
        <x:v>梯次利用</x:v>
      </x:c>
      <x:c r="D10" s="51" t="str">
        <x:v>第2批</x:v>
      </x:c>
      <x:c r="E10" s="51" t="str">
        <x:v>原梯次规范企业已移出公告名单；不再按梯次规范企业公告管理</x:v>
      </x:c>
      <x:c r="F10" s="51" t="str">
        <x:v>保留历史基准</x:v>
      </x:c>
      <x:c r="G10" s="51" t="str">
        <x:v>改称‘历史二次利用功能候选’或‘电池产品再制造候选’，逐家核验产品标准与经营许可</x:v>
      </x:c>
      <x:c r="H10" s="51" t="str">
        <x:v>不代表企业停业，也不代表产品天然合规</x:v>
      </x:c>
      <x:c r="I10" s="51" t="str">
        <x:v>https://news.smm.cn/news/104034391</x:v>
      </x:c>
    </x:row>
    <x:row r="11" ht="24" hidden="0" customHeight="1">
      <x:c r="A11" s="51" t="str">
        <x:v>P06</x:v>
      </x:c>
      <x:c r="B11" s="51" t="str">
        <x:v>江门市朗达锂电池有限公司</x:v>
      </x:c>
      <x:c r="C11" s="51" t="str">
        <x:v>梯次利用</x:v>
      </x:c>
      <x:c r="D11" s="51" t="str">
        <x:v>第3批</x:v>
      </x:c>
      <x:c r="E11" s="51" t="str">
        <x:v>原梯次规范企业已移出公告名单；不再按梯次规范企业公告管理</x:v>
      </x:c>
      <x:c r="F11" s="51" t="str">
        <x:v>保留历史基准</x:v>
      </x:c>
      <x:c r="G11" s="51" t="str">
        <x:v>改称‘历史二次利用功能候选’或‘电池产品再制造候选’，逐家核验产品标准与经营许可</x:v>
      </x:c>
      <x:c r="H11" s="51" t="str">
        <x:v>不代表企业停业，也不代表产品天然合规</x:v>
      </x:c>
      <x:c r="I11" s="51" t="str">
        <x:v>https://news.smm.cn/news/104034391</x:v>
      </x:c>
    </x:row>
    <x:row r="12" ht="24" hidden="0" customHeight="1">
      <x:c r="A12" s="51" t="str">
        <x:v>P07</x:v>
      </x:c>
      <x:c r="B12" s="51" t="str">
        <x:v>广东迪度新能源有限公司</x:v>
      </x:c>
      <x:c r="C12" s="51" t="str">
        <x:v>梯次利用</x:v>
      </x:c>
      <x:c r="D12" s="51" t="str">
        <x:v>第3批</x:v>
      </x:c>
      <x:c r="E12" s="51" t="str">
        <x:v>原梯次规范企业已移出公告名单；不再按梯次规范企业公告管理</x:v>
      </x:c>
      <x:c r="F12" s="51" t="str">
        <x:v>保留历史基准</x:v>
      </x:c>
      <x:c r="G12" s="51" t="str">
        <x:v>改称‘历史二次利用功能候选’或‘电池产品再制造候选’，逐家核验产品标准与经营许可</x:v>
      </x:c>
      <x:c r="H12" s="51" t="str">
        <x:v>不代表企业停业，也不代表产品天然合规</x:v>
      </x:c>
      <x:c r="I12" s="51" t="str">
        <x:v>https://news.smm.cn/news/104034391</x:v>
      </x:c>
    </x:row>
    <x:row r="13" ht="24" hidden="0" customHeight="1">
      <x:c r="A13" s="51" t="str">
        <x:v>P08</x:v>
      </x:c>
      <x:c r="B13" s="51" t="str">
        <x:v>东莞市博森新能源有限公司</x:v>
      </x:c>
      <x:c r="C13" s="51" t="str">
        <x:v>梯次利用</x:v>
      </x:c>
      <x:c r="D13" s="51" t="str">
        <x:v>第4批</x:v>
      </x:c>
      <x:c r="E13" s="51" t="str">
        <x:v>原梯次规范企业已移出公告名单；不再按梯次规范企业公告管理</x:v>
      </x:c>
      <x:c r="F13" s="51" t="str">
        <x:v>保留历史基准</x:v>
      </x:c>
      <x:c r="G13" s="51" t="str">
        <x:v>改称‘历史二次利用功能候选’或‘电池产品再制造候选’，逐家核验产品标准与经营许可</x:v>
      </x:c>
      <x:c r="H13" s="51" t="str">
        <x:v>不代表企业停业，也不代表产品天然合规</x:v>
      </x:c>
      <x:c r="I13" s="51" t="str">
        <x:v>https://news.smm.cn/news/104034391</x:v>
      </x:c>
    </x:row>
    <x:row r="14" ht="24" hidden="0" customHeight="1">
      <x:c r="A14" s="51" t="str">
        <x:v>P09</x:v>
      </x:c>
      <x:c r="B14" s="51" t="str">
        <x:v>广东宇阳新能源有限公司</x:v>
      </x:c>
      <x:c r="C14" s="51" t="str">
        <x:v>梯次利用</x:v>
      </x:c>
      <x:c r="D14" s="51" t="str">
        <x:v>第4批</x:v>
      </x:c>
      <x:c r="E14" s="51" t="str">
        <x:v>原梯次规范企业已移出公告名单；不再按梯次规范企业公告管理</x:v>
      </x:c>
      <x:c r="F14" s="51" t="str">
        <x:v>保留历史基准</x:v>
      </x:c>
      <x:c r="G14" s="51" t="str">
        <x:v>改称‘历史二次利用功能候选’或‘电池产品再制造候选’，逐家核验产品标准与经营许可</x:v>
      </x:c>
      <x:c r="H14" s="51" t="str">
        <x:v>不代表企业停业，也不代表产品天然合规</x:v>
      </x:c>
      <x:c r="I14" s="51" t="str">
        <x:v>https://news.smm.cn/news/104034391</x:v>
      </x:c>
    </x:row>
    <x:row r="15" ht="24" hidden="0" customHeight="1">
      <x:c r="A15" s="51" t="str">
        <x:v>P10</x:v>
      </x:c>
      <x:c r="B15" s="51" t="str">
        <x:v>广州广汽商贸再生资源有限公司</x:v>
      </x:c>
      <x:c r="C15" s="51" t="str">
        <x:v>梯次利用</x:v>
      </x:c>
      <x:c r="D15" s="51" t="str">
        <x:v>第4批</x:v>
      </x:c>
      <x:c r="E15" s="51" t="str">
        <x:v>原梯次规范企业已移出公告名单；不再按梯次规范企业公告管理</x:v>
      </x:c>
      <x:c r="F15" s="51" t="str">
        <x:v>保留历史基准</x:v>
      </x:c>
      <x:c r="G15" s="51" t="str">
        <x:v>改称‘历史二次利用功能候选’或‘电池产品再制造候选’，逐家核验产品标准与经营许可</x:v>
      </x:c>
      <x:c r="H15" s="51" t="str">
        <x:v>不代表企业停业，也不代表产品天然合规</x:v>
      </x:c>
      <x:c r="I15" s="51" t="str">
        <x:v>https://news.smm.cn/news/104034391</x:v>
      </x:c>
    </x:row>
    <x:row r="16" ht="24" hidden="0" customHeight="1">
      <x:c r="A16" s="51" t="str">
        <x:v>P11</x:v>
      </x:c>
      <x:c r="B16" s="51" t="str">
        <x:v>深圳市杰成镍钴新能源科技有限公司</x:v>
      </x:c>
      <x:c r="C16" s="51" t="str">
        <x:v>梯次利用</x:v>
      </x:c>
      <x:c r="D16" s="51" t="str">
        <x:v>第4批</x:v>
      </x:c>
      <x:c r="E16" s="51" t="str">
        <x:v>原梯次规范企业已移出公告名单；不再按梯次规范企业公告管理</x:v>
      </x:c>
      <x:c r="F16" s="51" t="str">
        <x:v>保留历史基准</x:v>
      </x:c>
      <x:c r="G16" s="51" t="str">
        <x:v>改称‘历史二次利用功能候选’或‘电池产品再制造候选’，逐家核验产品标准与经营许可</x:v>
      </x:c>
      <x:c r="H16" s="51" t="str">
        <x:v>不代表企业停业，也不代表产品天然合规</x:v>
      </x:c>
      <x:c r="I16" s="51" t="str">
        <x:v>https://news.smm.cn/news/104034391</x:v>
      </x:c>
    </x:row>
    <x:row r="17" ht="15" hidden="0" customHeight="1">
      <x:c r="A17" s="51" t="str">
        <x:v>P12</x:v>
      </x:c>
      <x:c r="B17" s="51" t="str">
        <x:v>江门市恒创睿能环保科技有限公司</x:v>
      </x:c>
      <x:c r="C17" s="51" t="str">
        <x:v>再生利用</x:v>
      </x:c>
      <x:c r="D17" s="51" t="str">
        <x:v>第2批</x:v>
      </x:c>
      <x:c r="E17" s="51" t="str">
        <x:v>原再生利用规范企业继续有效，仍需关注动态名单</x:v>
      </x:c>
      <x:c r="F17" s="51" t="str">
        <x:v>保留</x:v>
      </x:c>
      <x:c r="G17" s="51" t="str">
        <x:v>作为现行综合利用候选；定稿前逐家核验动态状态</x:v>
      </x:c>
      <x:c r="H17" s="51" t="str">
        <x:v>名单资格不披露实际容量、成本或合作关系</x:v>
      </x:c>
      <x:c r="I17" s="51" t="str">
        <x:v>https://news.smm.cn/news/104034391</x:v>
      </x:c>
    </x:row>
    <x:row r="18" ht="15" hidden="0" customHeight="1">
      <x:c r="A18" s="51" t="str">
        <x:v>P13</x:v>
      </x:c>
      <x:c r="B18" s="51" t="str">
        <x:v>广东佳纳能源科技有限公司</x:v>
      </x:c>
      <x:c r="C18" s="51" t="str">
        <x:v>再生利用</x:v>
      </x:c>
      <x:c r="D18" s="51" t="str">
        <x:v>第2批</x:v>
      </x:c>
      <x:c r="E18" s="51" t="str">
        <x:v>原再生利用规范企业继续有效，仍需关注动态名单</x:v>
      </x:c>
      <x:c r="F18" s="51" t="str">
        <x:v>保留</x:v>
      </x:c>
      <x:c r="G18" s="51" t="str">
        <x:v>作为现行综合利用候选；定稿前逐家核验动态状态</x:v>
      </x:c>
      <x:c r="H18" s="51" t="str">
        <x:v>名单资格不披露实际容量、成本或合作关系</x:v>
      </x:c>
      <x:c r="I18" s="51" t="str">
        <x:v>https://news.smm.cn/news/104034391</x:v>
      </x:c>
    </x:row>
    <x:row r="19" ht="24" hidden="0" customHeight="1">
      <x:c r="A19" s="51" t="str">
        <x:v>P14</x:v>
      </x:c>
      <x:c r="B19" s="51" t="str">
        <x:v>格林美（深圳）循环科技有限公司</x:v>
      </x:c>
      <x:c r="C19" s="51" t="str">
        <x:v>梯次利用</x:v>
      </x:c>
      <x:c r="D19" s="51" t="str">
        <x:v>第5批</x:v>
      </x:c>
      <x:c r="E19" s="51" t="str">
        <x:v>原梯次规范企业已移出公告名单；不再按梯次规范企业公告管理</x:v>
      </x:c>
      <x:c r="F19" s="51" t="str">
        <x:v>保留历史基准</x:v>
      </x:c>
      <x:c r="G19" s="51" t="str">
        <x:v>改称‘历史二次利用功能候选’或‘电池产品再制造候选’，逐家核验产品标准与经营许可</x:v>
      </x:c>
      <x:c r="H19" s="51" t="str">
        <x:v>不代表企业停业，也不代表产品天然合规</x:v>
      </x:c>
      <x:c r="I19" s="51" t="str">
        <x:v>https://news.smm.cn/news/104034391</x:v>
      </x:c>
    </x:row>
    <x:row r="20" ht="24" hidden="0" customHeight="1">
      <x:c r="A20" s="51" t="str">
        <x:v>P15</x:v>
      </x:c>
      <x:c r="B20" s="51" t="str">
        <x:v>绿循新能源科技（佛山）有限责任公司</x:v>
      </x:c>
      <x:c r="C20" s="51" t="str">
        <x:v>梯次利用</x:v>
      </x:c>
      <x:c r="D20" s="51" t="str">
        <x:v>第5批</x:v>
      </x:c>
      <x:c r="E20" s="51" t="str">
        <x:v>原梯次规范企业已移出公告名单；不再按梯次规范企业公告管理</x:v>
      </x:c>
      <x:c r="F20" s="51" t="str">
        <x:v>保留历史基准</x:v>
      </x:c>
      <x:c r="G20" s="51" t="str">
        <x:v>改称‘历史二次利用功能候选’或‘电池产品再制造候选’，逐家核验产品标准与经营许可</x:v>
      </x:c>
      <x:c r="H20" s="51" t="str">
        <x:v>不代表企业停业，也不代表产品天然合规</x:v>
      </x:c>
      <x:c r="I20" s="51" t="str">
        <x:v>https://news.smm.cn/news/104034391</x:v>
      </x:c>
    </x:row>
    <x:row r="21" ht="24" hidden="0" customHeight="1">
      <x:c r="A21" s="51" t="str">
        <x:v>P16</x:v>
      </x:c>
      <x:c r="B21" s="51" t="str">
        <x:v>深圳艾云动智慧科技有限公司</x:v>
      </x:c>
      <x:c r="C21" s="51" t="str">
        <x:v>梯次利用</x:v>
      </x:c>
      <x:c r="D21" s="51" t="str">
        <x:v>第5批</x:v>
      </x:c>
      <x:c r="E21" s="51" t="str">
        <x:v>原梯次规范企业已移出公告名单；不再按梯次规范企业公告管理</x:v>
      </x:c>
      <x:c r="F21" s="51" t="str">
        <x:v>保留历史基准</x:v>
      </x:c>
      <x:c r="G21" s="51" t="str">
        <x:v>改称‘历史二次利用功能候选’或‘电池产品再制造候选’，逐家核验产品标准与经营许可</x:v>
      </x:c>
      <x:c r="H21" s="51" t="str">
        <x:v>不代表企业停业，也不代表产品天然合规</x:v>
      </x:c>
      <x:c r="I21" s="51" t="str">
        <x:v>https://news.smm.cn/news/104034391</x:v>
      </x:c>
    </x:row>
    <x:row r="22" ht="24" hidden="0" customHeight="1">
      <x:c r="A22" s="51" t="str">
        <x:v>P17</x:v>
      </x:c>
      <x:c r="B22" s="51" t="str">
        <x:v>深圳市荣高晟新能源科技有限公司</x:v>
      </x:c>
      <x:c r="C22" s="51" t="str">
        <x:v>梯次利用</x:v>
      </x:c>
      <x:c r="D22" s="51" t="str">
        <x:v>第5批</x:v>
      </x:c>
      <x:c r="E22" s="51" t="str">
        <x:v>原梯次规范企业已移出公告名单；不再按梯次规范企业公告管理</x:v>
      </x:c>
      <x:c r="F22" s="51" t="str">
        <x:v>保留历史基准</x:v>
      </x:c>
      <x:c r="G22" s="51" t="str">
        <x:v>改称‘历史二次利用功能候选’或‘电池产品再制造候选’，逐家核验产品标准与经营许可</x:v>
      </x:c>
      <x:c r="H22" s="51" t="str">
        <x:v>不代表企业停业，也不代表产品天然合规</x:v>
      </x:c>
      <x:c r="I22" s="51" t="str">
        <x:v>https://news.smm.cn/news/104034391</x:v>
      </x:c>
    </x:row>
    <x:row r="23" ht="24" hidden="0" customHeight="1">
      <x:c r="A23" s="51" t="str">
        <x:v>P18</x:v>
      </x:c>
      <x:c r="B23" s="51" t="str">
        <x:v>中商锂新能源科技（惠州）有限公司</x:v>
      </x:c>
      <x:c r="C23" s="51" t="str">
        <x:v>梯次利用</x:v>
      </x:c>
      <x:c r="D23" s="51" t="str">
        <x:v>第5批</x:v>
      </x:c>
      <x:c r="E23" s="51" t="str">
        <x:v>原梯次规范企业已移出公告名单；不再按梯次规范企业公告管理</x:v>
      </x:c>
      <x:c r="F23" s="51" t="str">
        <x:v>保留历史基准</x:v>
      </x:c>
      <x:c r="G23" s="51" t="str">
        <x:v>改称‘历史二次利用功能候选’或‘电池产品再制造候选’，逐家核验产品标准与经营许可</x:v>
      </x:c>
      <x:c r="H23" s="51" t="str">
        <x:v>不代表企业停业，也不代表产品天然合规</x:v>
      </x:c>
      <x:c r="I23" s="51" t="str">
        <x:v>https://news.smm.cn/news/104034391</x:v>
      </x:c>
    </x:row>
    <x:row r="24" ht="15" hidden="0" customHeight="1">
      <x:c r="A24" s="51" t="str">
        <x:v>P19</x:v>
      </x:c>
      <x:c r="B24" s="51" t="str">
        <x:v>广东盛祥新材料科技有限公司</x:v>
      </x:c>
      <x:c r="C24" s="51" t="str">
        <x:v>再生利用</x:v>
      </x:c>
      <x:c r="D24" s="51" t="str">
        <x:v>第5批</x:v>
      </x:c>
      <x:c r="E24" s="51" t="str">
        <x:v>原再生利用规范企业继续有效，仍需关注动态名单</x:v>
      </x:c>
      <x:c r="F24" s="51" t="str">
        <x:v>保留</x:v>
      </x:c>
      <x:c r="G24" s="51" t="str">
        <x:v>作为现行综合利用候选；定稿前逐家核验动态状态</x:v>
      </x:c>
      <x:c r="H24" s="51" t="str">
        <x:v>名单资格不披露实际容量、成本或合作关系</x:v>
      </x:c>
      <x:c r="I24" s="51" t="str">
        <x:v>https://news.smm.cn/news/104034391</x:v>
      </x:c>
    </x:row>
    <x:row r="25" ht="24" hidden="0" customHeight="1">
      <x:c r="A25" s="51" t="str">
        <x:v>P20E</x:v>
      </x:c>
      <x:c r="B25" s="51" t="str">
        <x:v>广东金晟新能源股份有限公司（梯次功能）</x:v>
      </x:c>
      <x:c r="C25" s="51" t="str">
        <x:v>梯次利用</x:v>
      </x:c>
      <x:c r="D25" s="51" t="str">
        <x:v>第5批</x:v>
      </x:c>
      <x:c r="E25" s="51" t="str">
        <x:v>原梯次规范企业已移出公告名单；不再按梯次规范企业公告管理</x:v>
      </x:c>
      <x:c r="F25" s="51" t="str">
        <x:v>保留历史基准</x:v>
      </x:c>
      <x:c r="G25" s="51" t="str">
        <x:v>改称‘历史二次利用功能候选’或‘电池产品再制造候选’，逐家核验产品标准与经营许可</x:v>
      </x:c>
      <x:c r="H25" s="51" t="str">
        <x:v>不代表企业停业，也不代表产品天然合规</x:v>
      </x:c>
      <x:c r="I25" s="51" t="str">
        <x:v>https://news.smm.cn/news/104034391</x:v>
      </x:c>
    </x:row>
    <x:row r="26" ht="15" hidden="0" customHeight="1">
      <x:c r="A26" s="51" t="str">
        <x:v>P20R</x:v>
      </x:c>
      <x:c r="B26" s="51" t="str">
        <x:v>广东金晟新能源股份有限公司（再生功能）</x:v>
      </x:c>
      <x:c r="C26" s="51" t="str">
        <x:v>再生利用</x:v>
      </x:c>
      <x:c r="D26" s="51" t="str">
        <x:v>第5批</x:v>
      </x:c>
      <x:c r="E26" s="51" t="str">
        <x:v>原再生利用规范企业继续有效，仍需关注动态名单</x:v>
      </x:c>
      <x:c r="F26" s="51" t="str">
        <x:v>保留</x:v>
      </x:c>
      <x:c r="G26" s="51" t="str">
        <x:v>作为现行综合利用候选；定稿前逐家核验动态状态</x:v>
      </x:c>
      <x:c r="H26" s="51" t="str">
        <x:v>名单资格不披露实际容量、成本或合作关系</x:v>
      </x:c>
      <x:c r="I26" s="51" t="str">
        <x:v>https://news.smm.cn/news/104034391</x:v>
      </x:c>
    </x:row>
    <x:row r="27" ht="24" hidden="0" customHeight="1">
      <x:c r="A27" s="51" t="str">
        <x:v>P21E</x:v>
      </x:c>
      <x:c r="B27" s="51" t="str">
        <x:v>广东瑞科美电源技术有限公司（梯次功能）</x:v>
      </x:c>
      <x:c r="C27" s="51" t="str">
        <x:v>梯次利用</x:v>
      </x:c>
      <x:c r="D27" s="51" t="str">
        <x:v>第5批</x:v>
      </x:c>
      <x:c r="E27" s="51" t="str">
        <x:v>原梯次规范企业已移出公告名单；不再按梯次规范企业公告管理</x:v>
      </x:c>
      <x:c r="F27" s="51" t="str">
        <x:v>保留历史基准</x:v>
      </x:c>
      <x:c r="G27" s="51" t="str">
        <x:v>改称‘历史二次利用功能候选’或‘电池产品再制造候选’，逐家核验产品标准与经营许可</x:v>
      </x:c>
      <x:c r="H27" s="51" t="str">
        <x:v>不代表企业停业，也不代表产品天然合规</x:v>
      </x:c>
      <x:c r="I27" s="51" t="str">
        <x:v>https://news.smm.cn/news/104034391</x:v>
      </x:c>
    </x:row>
    <x:row r="28" ht="15" hidden="0" customHeight="1">
      <x:c r="A28" s="51" t="str">
        <x:v>P21R</x:v>
      </x:c>
      <x:c r="B28" s="51" t="str">
        <x:v>广东瑞科美电源技术有限公司（再生功能）</x:v>
      </x:c>
      <x:c r="C28" s="51" t="str">
        <x:v>再生利用</x:v>
      </x:c>
      <x:c r="D28" s="51" t="str">
        <x:v>第5批</x:v>
      </x:c>
      <x:c r="E28" s="51" t="str">
        <x:v>原再生利用规范企业继续有效，仍需关注动态名单</x:v>
      </x:c>
      <x:c r="F28" s="51" t="str">
        <x:v>保留</x:v>
      </x:c>
      <x:c r="G28" s="51" t="str">
        <x:v>作为现行综合利用候选；定稿前逐家核验动态状态</x:v>
      </x:c>
      <x:c r="H28" s="51" t="str">
        <x:v>名单资格不披露实际容量、成本或合作关系</x:v>
      </x:c>
      <x:c r="I28" s="51" t="str">
        <x:v>https://news.smm.cn/news/104034391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8" hidden="0" customWidth="1"/>
    <x:col min="5" max="5" width="28" hidden="0" customWidth="1"/>
    <x:col min="6" max="6" width="30" hidden="0" customWidth="1"/>
    <x:col min="7" max="7" width="46" hidden="0" customWidth="1"/>
    <x:col min="8" max="8" width="20" hidden="0" customWidth="1"/>
    <x:col min="9" max="9" width="52" hidden="0" customWidth="1"/>
  </x:cols>
  <x:sheetData>
    <x:row r="1" ht="30" customHeight="1">
      <x:c r="A1" s="56" t="str">
        <x:v>最低处理量：公开产能门槛、模型启动约束与敏感性分离</x:v>
      </x:c>
      <x:c r="B1" s="56" t="str">
        <x:v>最低处理量：公开产能门槛、模型启动约束与敏感性分离</x:v>
      </x:c>
      <x:c r="C1" s="56" t="str">
        <x:v>最低处理量：公开产能门槛、模型启动约束与敏感性分离</x:v>
      </x:c>
      <x:c r="D1" s="56" t="str">
        <x:v>最低处理量：公开产能门槛、模型启动约束与敏感性分离</x:v>
      </x:c>
      <x:c r="E1" s="56" t="str">
        <x:v>最低处理量：公开产能门槛、模型启动约束与敏感性分离</x:v>
      </x:c>
      <x:c r="F1" s="56" t="str">
        <x:v>最低处理量：公开产能门槛、模型启动约束与敏感性分离</x:v>
      </x:c>
      <x:c r="G1" s="56" t="str">
        <x:v>最低处理量：公开产能门槛、模型启动约束与敏感性分离</x:v>
      </x:c>
      <x:c r="H1" s="56" t="str">
        <x:v>最低处理量：公开产能门槛、模型启动约束与敏感性分离</x:v>
      </x:c>
      <x:c r="I1" s="56" t="str">
        <x:v>最低处理量：公开产能门槛、模型启动约束与敏感性分离</x:v>
      </x:c>
    </x:row>
    <x:row r="2" ht="44" customHeight="1">
      <x:c r="A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B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C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D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E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F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G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H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  <x:c r="I2" s="74" t="str">
        <x:v>关键纠正：2024规范条件中的1000/5000吨是原梯次/再生设施的名义产能门槛，不是‘低于该处理量就不能开工’。模型中的300吨、1000吨是10%利用率启动情景，数据等级仍为D。</x:v>
      </x:c>
    </x:row>
    <x:row r="4" ht="15" hidden="0" customHeight="1">
      <x:c r="A4" s="48" t="str">
        <x:v>依据ID</x:v>
      </x:c>
      <x:c r="B4" s="48" t="str">
        <x:v>对象</x:v>
      </x:c>
      <x:c r="C4" s="48" t="str">
        <x:v>公开/模型数值</x:v>
      </x:c>
      <x:c r="D4" s="48" t="str">
        <x:v>单位</x:v>
      </x:c>
      <x:c r="E4" s="48" t="str">
        <x:v>性质</x:v>
      </x:c>
      <x:c r="F4" s="48" t="str">
        <x:v>可否作为min_throughput</x:v>
      </x:c>
      <x:c r="G4" s="48" t="str">
        <x:v>正确用法</x:v>
      </x:c>
      <x:c r="H4" s="48" t="str">
        <x:v>数据等级</x:v>
      </x:c>
      <x:c r="I4" s="48" t="str">
        <x:v>来源</x:v>
      </x:c>
    </x:row>
    <x:row r="5" ht="24" hidden="0" customHeight="1">
      <x:c r="A5" s="51" t="str">
        <x:v>MT01</x:v>
      </x:c>
      <x:c r="B5" s="51" t="str">
        <x:v>2024规范原梯次利用设施</x:v>
      </x:c>
      <x:c r="C5" s="51" t="n">
        <x:v>1000</x:v>
      </x:c>
      <x:c r="D5" s="51" t="str">
        <x:v>吨/年</x:v>
      </x:c>
      <x:c r="E5" s="51" t="str">
        <x:v>名义产能下限</x:v>
      </x:c>
      <x:c r="F5" s="51" t="str">
        <x:v>否</x:v>
      </x:c>
      <x:c r="G5" s="51" t="str">
        <x:v>仅校准候选设施容量低情景；2026政策时点另行说明</x:v>
      </x:c>
      <x:c r="H5" s="51" t="str">
        <x:v>A-历史政策</x:v>
      </x:c>
      <x:c r="I5" s="51" t="str">
        <x:v>https://www.miit.gov.cn/zwgk/zcjd/art/2024/art_a2042b19234045b5881e7123f46a8d06.html</x:v>
      </x:c>
    </x:row>
    <x:row r="6" ht="24" hidden="0" customHeight="1">
      <x:c r="A6" s="51" t="str">
        <x:v>MT02</x:v>
      </x:c>
      <x:c r="B6" s="51" t="str">
        <x:v>2024规范再生利用设施</x:v>
      </x:c>
      <x:c r="C6" s="51" t="n">
        <x:v>5000</x:v>
      </x:c>
      <x:c r="D6" s="51" t="str">
        <x:v>吨/年</x:v>
      </x:c>
      <x:c r="E6" s="51" t="str">
        <x:v>名义产能下限</x:v>
      </x:c>
      <x:c r="F6" s="51" t="str">
        <x:v>否</x:v>
      </x:c>
      <x:c r="G6" s="51" t="str">
        <x:v>仅校准候选设施容量低情景；不是最低开工量</x:v>
      </x:c>
      <x:c r="H6" s="51" t="str">
        <x:v>A-政策</x:v>
      </x:c>
      <x:c r="I6" s="51" t="str">
        <x:v>https://www.miit.gov.cn/zwgk/zcjd/art/2024/art_a2042b19234045b5881e7123f46a8d06.html</x:v>
      </x:c>
    </x:row>
    <x:row r="7" ht="15" hidden="0" customHeight="1">
      <x:c r="A7" s="51" t="str">
        <x:v>MT03</x:v>
      </x:c>
      <x:c r="B7" s="51" t="str">
        <x:v>模型虚拟收集中心</x:v>
      </x:c>
      <x:c r="C7" s="51" t="n">
        <x:v>3000</x:v>
      </x:c>
      <x:c r="D7" s="51" t="str">
        <x:v>吨/年</x:v>
      </x:c>
      <x:c r="E7" s="51" t="str">
        <x:v>基准名义容量</x:v>
      </x:c>
      <x:c r="F7" s="51" t="str">
        <x:v>否</x:v>
      </x:c>
      <x:c r="G7" s="51" t="str">
        <x:v>作为规模情景母数</x:v>
      </x:c>
      <x:c r="H7" s="51" t="str">
        <x:v>D-规模假设</x:v>
      </x:c>
      <x:c r="I7" s="51" t="str">
        <x:v>情景参数模板/本工作簿</x:v>
      </x:c>
    </x:row>
    <x:row r="8" ht="15" hidden="0" customHeight="1">
      <x:c r="A8" s="51" t="str">
        <x:v>MT04</x:v>
      </x:c>
      <x:c r="B8" s="51" t="str">
        <x:v>模型虚拟收集中心</x:v>
      </x:c>
      <x:c r="C8" s="51" t="n">
        <x:v>300</x:v>
      </x:c>
      <x:c r="D8" s="51" t="str">
        <x:v>吨/年</x:v>
      </x:c>
      <x:c r="E8" s="51" t="str">
        <x:v>10%容量启动约束</x:v>
      </x:c>
      <x:c r="F8" s="51" t="str">
        <x:v>可以，但必须敏感性</x:v>
      </x:c>
      <x:c r="G8" s="51" t="str">
        <x:v>基准情景；不得称企业真实经济负荷</x:v>
      </x:c>
      <x:c r="H8" s="51" t="str">
        <x:v>D-情景</x:v>
      </x:c>
      <x:c r="I8" s="51" t="str">
        <x:v>facilities_input</x:v>
      </x:c>
    </x:row>
    <x:row r="9" ht="15" hidden="0" customHeight="1">
      <x:c r="A9" s="51" t="str">
        <x:v>MT05</x:v>
      </x:c>
      <x:c r="B9" s="51" t="str">
        <x:v>模型历史二次利用功能节点</x:v>
      </x:c>
      <x:c r="C9" s="51" t="n">
        <x:v>300</x:v>
      </x:c>
      <x:c r="D9" s="51" t="str">
        <x:v>吨/年</x:v>
      </x:c>
      <x:c r="E9" s="51" t="str">
        <x:v>3000吨容量的10%启动约束</x:v>
      </x:c>
      <x:c r="F9" s="51" t="str">
        <x:v>可以，但必须敏感性</x:v>
      </x:c>
      <x:c r="G9" s="51" t="str">
        <x:v>历史模型基准情景</x:v>
      </x:c>
      <x:c r="H9" s="51" t="str">
        <x:v>D-情景</x:v>
      </x:c>
      <x:c r="I9" s="51" t="str">
        <x:v>facilities_input</x:v>
      </x:c>
    </x:row>
    <x:row r="10" ht="15" hidden="0" customHeight="1">
      <x:c r="A10" s="51" t="str">
        <x:v>MT06</x:v>
      </x:c>
      <x:c r="B10" s="51" t="str">
        <x:v>模型再生功能节点（除P01）</x:v>
      </x:c>
      <x:c r="C10" s="51" t="n">
        <x:v>1000</x:v>
      </x:c>
      <x:c r="D10" s="51" t="str">
        <x:v>吨/年</x:v>
      </x:c>
      <x:c r="E10" s="51" t="str">
        <x:v>10000吨容量的10%启动约束</x:v>
      </x:c>
      <x:c r="F10" s="51" t="str">
        <x:v>可以，但必须敏感性</x:v>
      </x:c>
      <x:c r="G10" s="51" t="str">
        <x:v>基准情景</x:v>
      </x:c>
      <x:c r="H10" s="51" t="str">
        <x:v>D-情景</x:v>
      </x:c>
      <x:c r="I10" s="51" t="str">
        <x:v>facilities_input</x:v>
      </x:c>
    </x:row>
    <x:row r="11" ht="15" hidden="0" customHeight="1">
      <x:c r="A11" s="51" t="str">
        <x:v>MT07</x:v>
      </x:c>
      <x:c r="B11" s="51" t="str">
        <x:v>P01既有再生节点</x:v>
      </x:c>
      <x:c r="C11" s="51" t="n">
        <x:v>1000</x:v>
      </x:c>
      <x:c r="D11" s="51" t="str">
        <x:v>吨/年</x:v>
      </x:c>
      <x:c r="E11" s="51" t="str">
        <x:v>10000吨公开容量的10%启动约束</x:v>
      </x:c>
      <x:c r="F11" s="51" t="str">
        <x:v>可以，但必须敏感性</x:v>
      </x:c>
      <x:c r="G11" s="51" t="str">
        <x:v>既有设施启用情景；实际最低负荷未知</x:v>
      </x:c>
      <x:c r="H11" s="51" t="str">
        <x:v>D-情景+A容量</x:v>
      </x:c>
      <x:c r="I11" s="51" t="str">
        <x:v>https://www.shanwei.gov.cn/swhbj/493/506/content/post_526956.html</x:v>
      </x:c>
    </x:row>
    <x:row r="12"/>
    <x:row r="13"/>
    <x:row r="14" ht="15" hidden="0" customHeight="1">
      <x:c r="A14" s="48" t="str">
        <x:v>情景</x:v>
      </x:c>
      <x:c r="B14" s="48" t="str">
        <x:v>收集中心最低处理量_吨</x:v>
      </x:c>
      <x:c r="C14" s="48" t="str">
        <x:v>相对3000吨容量</x:v>
      </x:c>
      <x:c r="D14" s="48" t="str">
        <x:v>模型目的</x:v>
      </x:c>
      <x:c r="E14" s="48" t="str">
        <x:v>解释</x:v>
      </x:c>
      <x:c r="F14" s="48" t="str">
        <x:v>论文写法</x:v>
      </x:c>
    </x:row>
    <x:row r="15" ht="24" hidden="0" customHeight="1">
      <x:c r="A15" s="51" t="str">
        <x:v>MT_S0</x:v>
      </x:c>
      <x:c r="B15" s="51" t="n">
        <x:v>0</x:v>
      </x:c>
      <x:c r="C15" s="70" t="n">
        <x:v>0</x:v>
      </x:c>
      <x:c r="D15" s="51" t="str">
        <x:v>检验启动约束是否驱动选址</x:v>
      </x:c>
      <x:c r="E15" s="51" t="str">
        <x:v>允许零最小负荷</x:v>
      </x:c>
      <x:c r="F15" s="51" t="str">
        <x:v>无最低负荷约束情景</x:v>
      </x:c>
    </x:row>
    <x:row r="16" ht="15" hidden="0" customHeight="1">
      <x:c r="A16" s="51" t="str">
        <x:v>MT_S1</x:v>
      </x:c>
      <x:c r="B16" s="51" t="n">
        <x:v>100</x:v>
      </x:c>
      <x:c r="C16" s="70" t="n">
        <x:v>0.03333333333333333</x:v>
      </x:c>
      <x:c r="D16" s="51" t="str">
        <x:v>低约束稳健性</x:v>
      </x:c>
      <x:c r="E16" s="51" t="str">
        <x:v>约3.33%容量</x:v>
      </x:c>
      <x:c r="F16" s="51" t="str">
        <x:v>低最低负荷情景</x:v>
      </x:c>
    </x:row>
    <x:row r="17" ht="15" hidden="0" customHeight="1">
      <x:c r="A17" s="51" t="str">
        <x:v>MT_BASE</x:v>
      </x:c>
      <x:c r="B17" s="51" t="n">
        <x:v>300</x:v>
      </x:c>
      <x:c r="C17" s="70" t="n">
        <x:v>0.1</x:v>
      </x:c>
      <x:c r="D17" s="51" t="str">
        <x:v>基准</x:v>
      </x:c>
      <x:c r="E17" s="51" t="str">
        <x:v>10%容量</x:v>
      </x:c>
      <x:c r="F17" s="51" t="str">
        <x:v>基准最低负荷情景（D级）</x:v>
      </x:c>
    </x:row>
    <x:row r="18" ht="15" hidden="0" customHeight="1">
      <x:c r="A18" s="51" t="str">
        <x:v>MT_S2</x:v>
      </x:c>
      <x:c r="B18" s="51" t="n">
        <x:v>500</x:v>
      </x:c>
      <x:c r="C18" s="70" t="n">
        <x:v>0.16666666666666666</x:v>
      </x:c>
      <x:c r="D18" s="51" t="str">
        <x:v>高约束稳健性</x:v>
      </x:c>
      <x:c r="E18" s="51" t="str">
        <x:v>约16.67%容量</x:v>
      </x:c>
      <x:c r="F18" s="51" t="str">
        <x:v>高最低负荷情景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46" hidden="0" customWidth="1"/>
    <x:col min="5" max="5" width="18" hidden="0" customWidth="1"/>
    <x:col min="6" max="6" width="16" hidden="0" customWidth="1"/>
    <x:col min="7" max="7" width="44" hidden="0" customWidth="1"/>
    <x:col min="8" max="8" width="44" hidden="0" customWidth="1"/>
    <x:col min="9" max="9" width="54" hidden="0" customWidth="1"/>
  </x:cols>
  <x:sheetData>
    <x:row r="1" ht="30" customHeight="1">
      <x:c r="A1" s="56" t="str">
        <x:v>P01汕尾比亚迪节点：可核验证据与不可推断事项</x:v>
      </x:c>
      <x:c r="B1" s="56" t="str">
        <x:v>P01汕尾比亚迪节点：可核验证据与不可推断事项</x:v>
      </x:c>
      <x:c r="C1" s="56" t="str">
        <x:v>P01汕尾比亚迪节点：可核验证据与不可推断事项</x:v>
      </x:c>
      <x:c r="D1" s="56" t="str">
        <x:v>P01汕尾比亚迪节点：可核验证据与不可推断事项</x:v>
      </x:c>
      <x:c r="E1" s="56" t="str">
        <x:v>P01汕尾比亚迪节点：可核验证据与不可推断事项</x:v>
      </x:c>
      <x:c r="F1" s="56" t="str">
        <x:v>P01汕尾比亚迪节点：可核验证据与不可推断事项</x:v>
      </x:c>
      <x:c r="G1" s="56" t="str">
        <x:v>P01汕尾比亚迪节点：可核验证据与不可推断事项</x:v>
      </x:c>
      <x:c r="H1" s="56" t="str">
        <x:v>P01汕尾比亚迪节点：可核验证据与不可推断事项</x:v>
      </x:c>
      <x:c r="I1" s="56" t="str">
        <x:v>P01汕尾比亚迪节点：可核验证据与不可推断事项</x:v>
      </x:c>
    </x:row>
    <x:row r="2" ht="44" customHeight="1">
      <x:c r="A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B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C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D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E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F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G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H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  <x:c r="I2" s="64" t="str">
        <x:v>结论：公开材料足以把P01设为既有比亚迪项目，并支持1万吨/年设计能力；但仍无法得到2025实际处理吨数、产能利用率、单位成本和实际回收来源结构。许可或验收不等于满产。</x:v>
      </x:c>
    </x:row>
    <x:row r="4" ht="15" hidden="0" customHeight="1">
      <x:c r="A4" s="48" t="str">
        <x:v>证据ID</x:v>
      </x:c>
      <x:c r="B4" s="48" t="str">
        <x:v>时间</x:v>
      </x:c>
      <x:c r="C4" s="48" t="str">
        <x:v>证据类型</x:v>
      </x:c>
      <x:c r="D4" s="48" t="str">
        <x:v>可核验事实</x:v>
      </x:c>
      <x:c r="E4" s="48" t="str">
        <x:v>数值</x:v>
      </x:c>
      <x:c r="F4" s="48" t="str">
        <x:v>单位</x:v>
      </x:c>
      <x:c r="G4" s="48" t="str">
        <x:v>可支持的模型设定</x:v>
      </x:c>
      <x:c r="H4" s="48" t="str">
        <x:v>不能推出</x:v>
      </x:c>
      <x:c r="I4" s="48" t="str">
        <x:v>来源</x:v>
      </x:c>
    </x:row>
    <x:row r="5" ht="15" hidden="0" customHeight="1">
      <x:c r="A5" s="51" t="str">
        <x:v>P01-E1</x:v>
      </x:c>
      <x:c r="B5" s="51" t="n">
        <x:v>2018</x:v>
      </x:c>
      <x:c r="C5" s="51" t="str">
        <x:v>环评审批前公示</x:v>
      </x:c>
      <x:c r="D5" s="51" t="str">
        <x:v>汕尾比亚迪废旧动力电池回收项目设计能力</x:v>
      </x:c>
      <x:c r="E5" s="51" t="n">
        <x:v>10000</x:v>
      </x:c>
      <x:c r="F5" s="51" t="str">
        <x:v>吨/年</x:v>
      </x:c>
      <x:c r="G5" s="51" t="str">
        <x:v>P01 capacity_tons=10000；既有企业项目锚点</x:v>
      </x:c>
      <x:c r="H5" s="51" t="str">
        <x:v>实际年处理量、实际开工率</x:v>
      </x:c>
      <x:c r="I5" s="51" t="str">
        <x:v>https://www.shanwei.gov.cn/swhbj/493/506/content/post_526956.html</x:v>
      </x:c>
    </x:row>
    <x:row r="6" ht="15" hidden="0" customHeight="1">
      <x:c r="A6" s="51" t="str">
        <x:v>P01-E2</x:v>
      </x:c>
      <x:c r="B6" s="51" t="n">
        <x:v>2018</x:v>
      </x:c>
      <x:c r="C6" s="51" t="str">
        <x:v>环评审批前公示</x:v>
      </x:c>
      <x:c r="D6" s="51" t="str">
        <x:v>项目总投资</x:v>
      </x:c>
      <x:c r="E6" s="51" t="n">
        <x:v>3904.65</x:v>
      </x:c>
      <x:c r="F6" s="51" t="str">
        <x:v>万元</x:v>
      </x:c>
      <x:c r="G6" s="51" t="str">
        <x:v>固定资产/年化成本校准锚点</x:v>
      </x:c>
      <x:c r="H6" s="51" t="str">
        <x:v>当前重置成本和年度运营成本</x:v>
      </x:c>
      <x:c r="I6" s="51" t="str">
        <x:v>https://www.shanwei.gov.cn/swhbj/493/506/content/post_526956.html</x:v>
      </x:c>
    </x:row>
    <x:row r="7" ht="15" hidden="0" customHeight="1">
      <x:c r="A7" s="51" t="str">
        <x:v>P01-E3</x:v>
      </x:c>
      <x:c r="B7" s="51" t="n">
        <x:v>2024</x:v>
      </x:c>
      <x:c r="C7" s="51" t="str">
        <x:v>政府环评汇总材料</x:v>
      </x:c>
      <x:c r="D7" s="51" t="str">
        <x:v>动力模组/电芯相关项目存在验收记录</x:v>
      </x:c>
      <x:c r="E7" s="51" t="str">
        <x:v>已记录</x:v>
      </x:c>
      <x:c r="F7" s="51" t="str">
        <x:v>文本</x:v>
      </x:c>
      <x:c r="G7" s="51" t="str">
        <x:v>说明汕尾基地具备后续电池产品项目证据</x:v>
      </x:c>
      <x:c r="H7" s="51" t="str">
        <x:v>不能把MWh能力直接加为回收吨数</x:v>
      </x:c>
      <x:c r="I7" s="51" t="str">
        <x:v>https://www.shanwei.gov.cn/attachment/0/84/84827/1245132.pdf</x:v>
      </x:c>
    </x:row>
    <x:row r="8" ht="15" hidden="0" customHeight="1">
      <x:c r="A8" s="51" t="str">
        <x:v>P01-E4</x:v>
      </x:c>
      <x:c r="B8" s="51" t="n">
        <x:v>2025</x:v>
      </x:c>
      <x:c r="C8" s="51" t="str">
        <x:v>政府环评材料</x:v>
      </x:c>
      <x:c r="D8" s="51" t="str">
        <x:v>材料将回收项目列入现有工程并提及排污许可办理</x:v>
      </x:c>
      <x:c r="E8" s="51" t="str">
        <x:v>已记录</x:v>
      </x:c>
      <x:c r="F8" s="51" t="str">
        <x:v>文本</x:v>
      </x:c>
      <x:c r="G8" s="51" t="str">
        <x:v>existing=1、must_open=1的证据增强</x:v>
      </x:c>
      <x:c r="H8" s="51" t="str">
        <x:v>实际处理量、产能利用率或盈利性</x:v>
      </x:c>
      <x:c r="I8" s="51" t="str">
        <x:v>https://www.shanwei.gov.cn/attachment/0/84/84827/1245132.pdf</x:v>
      </x:c>
    </x:row>
    <x:row r="9" ht="15" hidden="0" customHeight="1">
      <x:c r="A9" s="51" t="str">
        <x:v>P01-GAP</x:v>
      </x:c>
      <x:c r="B9" s="51" t="n">
        <x:v>2026</x:v>
      </x:c>
      <x:c r="C9" s="51" t="str">
        <x:v>公开信息缺口</x:v>
      </x:c>
      <x:c r="D9" s="51" t="str">
        <x:v>实际年度吞吐量/利用率未公开</x:v>
      </x:c>
      <x:c r="E9" s="51"/>
      <x:c r="F9" s="51" t="str">
        <x:v>吨/年</x:v>
      </x:c>
      <x:c r="G9" s="51" t="str">
        <x:v>用50%/80%/100%容量系数做敏感性</x:v>
      </x:c>
      <x:c r="H9" s="51" t="str">
        <x:v>不得把设计能力写成实际处理量</x:v>
      </x:c>
      <x:c r="I9" s="51" t="str">
        <x:v>需企业访谈、排污台账或年度处理台账</x:v>
      </x:c>
    </x:row>
  </x:sheetData>
  <x:mergeCells>
    <x:mergeCell ref="A1:I1"/>
    <x:mergeCell ref="A2:I2"/>
  </x:mergeCells>
  <x:pageMargins left="0.7" right="0.7" top="0.75" bottom="0.75" header="0.3" footer="0.3"/>
</x:worksheet>
</file>